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customXml/itemProps1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11"/>
  <workbookPr/>
  <mc:AlternateContent xmlns:mc="http://schemas.openxmlformats.org/markup-compatibility/2006">
    <mc:Choice Requires="x15">
      <x15ac:absPath xmlns:x15ac="http://schemas.microsoft.com/office/spreadsheetml/2010/11/ac" url="C:\Users\Viet\Downloads\"/>
    </mc:Choice>
  </mc:AlternateContent>
  <xr:revisionPtr revIDLastSave="7" documentId="13_ncr:1_{C58D7F17-70C7-4752-83BF-A2D16594B62D}" xr6:coauthVersionLast="47" xr6:coauthVersionMax="47" xr10:uidLastSave="{3BB94054-90BD-4AE5-B873-698B341D45DA}"/>
  <bookViews>
    <workbookView xWindow="-120" yWindow="-120" windowWidth="38640" windowHeight="21120" xr2:uid="{00000000-000D-0000-FFFF-FFFF00000000}"/>
  </bookViews>
  <sheets>
    <sheet name="Australian Open" sheetId="1" r:id="rId1"/>
    <sheet name="Sheet2" sheetId="3" r:id="rId2"/>
  </sheets>
  <calcPr calcId="191028"/>
  <pivotCaches>
    <pivotCache cacheId="3300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4" i="1" l="1"/>
  <c r="X3" i="1"/>
  <c r="X4" i="1"/>
  <c r="X5" i="1"/>
  <c r="X6" i="1"/>
  <c r="X7" i="1"/>
  <c r="X8" i="1"/>
  <c r="X9" i="1"/>
  <c r="X10" i="1"/>
  <c r="X11" i="1"/>
  <c r="X12" i="1"/>
  <c r="X13" i="1"/>
  <c r="X14" i="1"/>
  <c r="X15" i="1"/>
  <c r="X16" i="1"/>
  <c r="X17" i="1"/>
  <c r="X18" i="1"/>
  <c r="X19" i="1"/>
  <c r="X20" i="1"/>
  <c r="X21" i="1"/>
  <c r="X22" i="1"/>
  <c r="X23" i="1"/>
  <c r="X24" i="1"/>
  <c r="X25" i="1"/>
  <c r="X26" i="1"/>
  <c r="X27" i="1"/>
  <c r="X28" i="1"/>
  <c r="X29" i="1"/>
  <c r="X30" i="1"/>
  <c r="X31" i="1"/>
  <c r="X32" i="1"/>
  <c r="X33" i="1"/>
  <c r="X34" i="1"/>
  <c r="X35" i="1"/>
  <c r="X36" i="1"/>
  <c r="X37" i="1"/>
  <c r="X38" i="1"/>
  <c r="X39" i="1"/>
  <c r="X40" i="1"/>
  <c r="X41" i="1"/>
  <c r="X42" i="1"/>
  <c r="X43" i="1"/>
  <c r="X44" i="1"/>
  <c r="X45" i="1"/>
  <c r="X46" i="1"/>
  <c r="X47" i="1"/>
  <c r="X48" i="1"/>
  <c r="X49" i="1"/>
  <c r="X50" i="1"/>
  <c r="X51" i="1"/>
  <c r="X52" i="1"/>
  <c r="X53" i="1"/>
  <c r="X54" i="1"/>
  <c r="X55" i="1"/>
  <c r="X56" i="1"/>
  <c r="X57" i="1"/>
  <c r="X58" i="1"/>
  <c r="X59" i="1"/>
  <c r="X60" i="1"/>
  <c r="X61" i="1"/>
  <c r="X62" i="1"/>
  <c r="X63" i="1"/>
  <c r="X64" i="1"/>
  <c r="X65" i="1"/>
  <c r="X66" i="1"/>
  <c r="X67" i="1"/>
  <c r="X68" i="1"/>
  <c r="X69" i="1"/>
  <c r="X70" i="1"/>
  <c r="X71" i="1"/>
  <c r="X72" i="1"/>
  <c r="X73" i="1"/>
  <c r="X74" i="1"/>
  <c r="X75" i="1"/>
  <c r="X76" i="1"/>
  <c r="X77" i="1"/>
  <c r="X78" i="1"/>
  <c r="X79" i="1"/>
  <c r="X80" i="1"/>
  <c r="X81" i="1"/>
  <c r="X82" i="1"/>
  <c r="X83" i="1"/>
  <c r="X84" i="1"/>
  <c r="X85" i="1"/>
  <c r="X86" i="1"/>
  <c r="X87" i="1"/>
  <c r="X88" i="1"/>
  <c r="X89" i="1"/>
  <c r="X90" i="1"/>
  <c r="X91" i="1"/>
  <c r="X92" i="1"/>
  <c r="X93" i="1"/>
  <c r="X94" i="1"/>
  <c r="X95" i="1"/>
  <c r="X96" i="1"/>
  <c r="X97" i="1"/>
  <c r="X98" i="1"/>
  <c r="X99" i="1"/>
  <c r="X100" i="1"/>
  <c r="X101" i="1"/>
  <c r="X102" i="1"/>
  <c r="X103" i="1"/>
  <c r="X104" i="1"/>
  <c r="X105" i="1"/>
  <c r="X106" i="1"/>
  <c r="X107" i="1"/>
  <c r="X108" i="1"/>
  <c r="X109" i="1"/>
  <c r="X110" i="1"/>
  <c r="X111" i="1"/>
  <c r="X112" i="1"/>
  <c r="X113" i="1"/>
  <c r="X114" i="1"/>
  <c r="X115" i="1"/>
  <c r="X116" i="1"/>
  <c r="X117" i="1"/>
  <c r="X118" i="1"/>
  <c r="X119" i="1"/>
  <c r="X120" i="1"/>
  <c r="X121" i="1"/>
  <c r="X122" i="1"/>
  <c r="X123" i="1"/>
  <c r="X124" i="1"/>
  <c r="X125" i="1"/>
  <c r="X126" i="1"/>
  <c r="X127" i="1"/>
  <c r="X128" i="1"/>
  <c r="X129" i="1"/>
  <c r="X130" i="1"/>
  <c r="X131" i="1"/>
  <c r="X132" i="1"/>
  <c r="X133" i="1"/>
  <c r="X134" i="1"/>
  <c r="X135" i="1"/>
  <c r="X136" i="1"/>
  <c r="X137" i="1"/>
  <c r="X138" i="1"/>
  <c r="X139" i="1"/>
  <c r="X140" i="1"/>
  <c r="X141" i="1"/>
  <c r="X142" i="1"/>
  <c r="X143" i="1"/>
  <c r="X144" i="1"/>
  <c r="X145" i="1"/>
  <c r="X146" i="1"/>
  <c r="X147" i="1"/>
  <c r="X148" i="1"/>
  <c r="X149" i="1"/>
  <c r="X150" i="1"/>
  <c r="X151" i="1"/>
  <c r="X152" i="1"/>
  <c r="X153" i="1"/>
  <c r="X154" i="1"/>
  <c r="X155" i="1"/>
  <c r="X156" i="1"/>
  <c r="X157" i="1"/>
  <c r="X158" i="1"/>
  <c r="X159" i="1"/>
  <c r="X160" i="1"/>
  <c r="X161" i="1"/>
  <c r="X162" i="1"/>
  <c r="X163" i="1"/>
  <c r="X164" i="1"/>
  <c r="X165" i="1"/>
  <c r="X166" i="1"/>
  <c r="X167" i="1"/>
  <c r="X168" i="1"/>
  <c r="X169" i="1"/>
  <c r="X170" i="1"/>
  <c r="X171" i="1"/>
  <c r="X172" i="1"/>
  <c r="X173" i="1"/>
  <c r="X174" i="1"/>
  <c r="X175" i="1"/>
  <c r="X176" i="1"/>
  <c r="X177" i="1"/>
  <c r="X178" i="1"/>
  <c r="X179" i="1"/>
  <c r="X180" i="1"/>
  <c r="X181" i="1"/>
  <c r="X182" i="1"/>
  <c r="X183" i="1"/>
  <c r="X184" i="1"/>
  <c r="X185" i="1"/>
  <c r="X186" i="1"/>
  <c r="X187" i="1"/>
  <c r="X188" i="1"/>
  <c r="X189" i="1"/>
  <c r="X190" i="1"/>
  <c r="X191" i="1"/>
  <c r="X192" i="1"/>
  <c r="X193" i="1"/>
  <c r="X194" i="1"/>
  <c r="X195" i="1"/>
  <c r="X196" i="1"/>
  <c r="X197" i="1"/>
  <c r="X198" i="1"/>
  <c r="X199" i="1"/>
  <c r="X200" i="1"/>
  <c r="X201" i="1"/>
  <c r="X202" i="1"/>
  <c r="X203" i="1"/>
  <c r="X204" i="1"/>
  <c r="X205" i="1"/>
  <c r="X206" i="1"/>
  <c r="X207" i="1"/>
  <c r="X208" i="1"/>
  <c r="X209" i="1"/>
  <c r="X210" i="1"/>
  <c r="X211" i="1"/>
  <c r="X212" i="1"/>
  <c r="X213" i="1"/>
  <c r="X2" i="1"/>
  <c r="U3" i="1"/>
  <c r="U4" i="1"/>
  <c r="U5" i="1"/>
  <c r="U6" i="1"/>
  <c r="U7" i="1"/>
  <c r="U8" i="1"/>
  <c r="U9" i="1"/>
  <c r="U10" i="1"/>
  <c r="U11" i="1"/>
  <c r="U12" i="1"/>
  <c r="U13" i="1"/>
  <c r="U14" i="1"/>
  <c r="U15" i="1"/>
  <c r="U16" i="1"/>
  <c r="U17" i="1"/>
  <c r="U18" i="1"/>
  <c r="U19" i="1"/>
  <c r="U20" i="1"/>
  <c r="U21" i="1"/>
  <c r="U22" i="1"/>
  <c r="U23" i="1"/>
  <c r="U24" i="1"/>
  <c r="U25" i="1"/>
  <c r="U26" i="1"/>
  <c r="U27" i="1"/>
  <c r="U28" i="1"/>
  <c r="U29" i="1"/>
  <c r="U30" i="1"/>
  <c r="U31" i="1"/>
  <c r="U32" i="1"/>
  <c r="U33" i="1"/>
  <c r="U34" i="1"/>
  <c r="U35" i="1"/>
  <c r="U36" i="1"/>
  <c r="U37" i="1"/>
  <c r="U38" i="1"/>
  <c r="U39" i="1"/>
  <c r="U40" i="1"/>
  <c r="U41" i="1"/>
  <c r="U42" i="1"/>
  <c r="U43" i="1"/>
  <c r="U44" i="1"/>
  <c r="U45" i="1"/>
  <c r="U46" i="1"/>
  <c r="U47" i="1"/>
  <c r="U48" i="1"/>
  <c r="U49" i="1"/>
  <c r="U50" i="1"/>
  <c r="U51" i="1"/>
  <c r="U52" i="1"/>
  <c r="U53" i="1"/>
  <c r="U54" i="1"/>
  <c r="U55" i="1"/>
  <c r="U56" i="1"/>
  <c r="U57" i="1"/>
  <c r="U58" i="1"/>
  <c r="U59" i="1"/>
  <c r="U60" i="1"/>
  <c r="U61" i="1"/>
  <c r="U62" i="1"/>
  <c r="U63" i="1"/>
  <c r="U64" i="1"/>
  <c r="U65" i="1"/>
  <c r="U66" i="1"/>
  <c r="U67" i="1"/>
  <c r="U68" i="1"/>
  <c r="U69" i="1"/>
  <c r="U70" i="1"/>
  <c r="U71" i="1"/>
  <c r="U72" i="1"/>
  <c r="U73" i="1"/>
  <c r="U74" i="1"/>
  <c r="U75" i="1"/>
  <c r="U76" i="1"/>
  <c r="U77" i="1"/>
  <c r="U78" i="1"/>
  <c r="U79" i="1"/>
  <c r="U80" i="1"/>
  <c r="U81" i="1"/>
  <c r="U82" i="1"/>
  <c r="U83" i="1"/>
  <c r="U84" i="1"/>
  <c r="U85" i="1"/>
  <c r="U86" i="1"/>
  <c r="U87" i="1"/>
  <c r="U88" i="1"/>
  <c r="U89" i="1"/>
  <c r="U90" i="1"/>
  <c r="U91" i="1"/>
  <c r="U92" i="1"/>
  <c r="U93" i="1"/>
  <c r="U94" i="1"/>
  <c r="U95" i="1"/>
  <c r="U96" i="1"/>
  <c r="U97" i="1"/>
  <c r="U98" i="1"/>
  <c r="U99" i="1"/>
  <c r="U100" i="1"/>
  <c r="U101" i="1"/>
  <c r="U102" i="1"/>
  <c r="U103" i="1"/>
  <c r="U104" i="1"/>
  <c r="U105" i="1"/>
  <c r="U106" i="1"/>
  <c r="U107" i="1"/>
  <c r="U108" i="1"/>
  <c r="U109" i="1"/>
  <c r="U110" i="1"/>
  <c r="U111" i="1"/>
  <c r="U112" i="1"/>
  <c r="U113" i="1"/>
  <c r="U114" i="1"/>
  <c r="U115" i="1"/>
  <c r="U116" i="1"/>
  <c r="U117" i="1"/>
  <c r="U118" i="1"/>
  <c r="U119" i="1"/>
  <c r="Y119" i="1" s="1"/>
  <c r="U120" i="1"/>
  <c r="U121" i="1"/>
  <c r="U122" i="1"/>
  <c r="U123" i="1"/>
  <c r="Y123" i="1" s="1"/>
  <c r="U124" i="1"/>
  <c r="Y124" i="1" s="1"/>
  <c r="U125" i="1"/>
  <c r="U126" i="1"/>
  <c r="Y126" i="1" s="1"/>
  <c r="U127" i="1"/>
  <c r="U128" i="1"/>
  <c r="U129" i="1"/>
  <c r="U130" i="1"/>
  <c r="U131" i="1"/>
  <c r="U132" i="1"/>
  <c r="U133" i="1"/>
  <c r="U134" i="1"/>
  <c r="U135" i="1"/>
  <c r="U136" i="1"/>
  <c r="U137" i="1"/>
  <c r="U138" i="1"/>
  <c r="U139" i="1"/>
  <c r="U140" i="1"/>
  <c r="U141" i="1"/>
  <c r="U142" i="1"/>
  <c r="U143" i="1"/>
  <c r="U144" i="1"/>
  <c r="U145" i="1"/>
  <c r="U146" i="1"/>
  <c r="U147" i="1"/>
  <c r="U148" i="1"/>
  <c r="U149" i="1"/>
  <c r="U150" i="1"/>
  <c r="U151" i="1"/>
  <c r="Y151" i="1" s="1"/>
  <c r="U152" i="1"/>
  <c r="U153" i="1"/>
  <c r="U154" i="1"/>
  <c r="U155" i="1"/>
  <c r="Y155" i="1" s="1"/>
  <c r="U156" i="1"/>
  <c r="U157" i="1"/>
  <c r="Y157" i="1" s="1"/>
  <c r="U158" i="1"/>
  <c r="U159" i="1"/>
  <c r="U160" i="1"/>
  <c r="U161" i="1"/>
  <c r="U162" i="1"/>
  <c r="U163" i="1"/>
  <c r="U164" i="1"/>
  <c r="U165" i="1"/>
  <c r="U166" i="1"/>
  <c r="U167" i="1"/>
  <c r="U168" i="1"/>
  <c r="U169" i="1"/>
  <c r="U170" i="1"/>
  <c r="U171" i="1"/>
  <c r="U172" i="1"/>
  <c r="U173" i="1"/>
  <c r="U174" i="1"/>
  <c r="U175" i="1"/>
  <c r="U176" i="1"/>
  <c r="U177" i="1"/>
  <c r="U178" i="1"/>
  <c r="U179" i="1"/>
  <c r="U180" i="1"/>
  <c r="U181" i="1"/>
  <c r="U182" i="1"/>
  <c r="U183" i="1"/>
  <c r="U184" i="1"/>
  <c r="U185" i="1"/>
  <c r="U186" i="1"/>
  <c r="U187" i="1"/>
  <c r="U188" i="1"/>
  <c r="U189" i="1"/>
  <c r="U190" i="1"/>
  <c r="U191" i="1"/>
  <c r="U192" i="1"/>
  <c r="U193" i="1"/>
  <c r="U194" i="1"/>
  <c r="U195" i="1"/>
  <c r="U196" i="1"/>
  <c r="U197" i="1"/>
  <c r="U198" i="1"/>
  <c r="U199" i="1"/>
  <c r="U200" i="1"/>
  <c r="U201" i="1"/>
  <c r="U202" i="1"/>
  <c r="U203" i="1"/>
  <c r="U204" i="1"/>
  <c r="U205" i="1"/>
  <c r="U206" i="1"/>
  <c r="U207" i="1"/>
  <c r="U208" i="1"/>
  <c r="U209" i="1"/>
  <c r="U210" i="1"/>
  <c r="U211" i="1"/>
  <c r="U212" i="1"/>
  <c r="U213" i="1"/>
  <c r="U2" i="1"/>
  <c r="R3" i="1"/>
  <c r="R5" i="1"/>
  <c r="R6" i="1"/>
  <c r="R7" i="1"/>
  <c r="R8" i="1"/>
  <c r="R9" i="1"/>
  <c r="R10" i="1"/>
  <c r="R11" i="1"/>
  <c r="Y11" i="1" s="1"/>
  <c r="R12" i="1"/>
  <c r="Y12" i="1" s="1"/>
  <c r="R13" i="1"/>
  <c r="R14" i="1"/>
  <c r="R15" i="1"/>
  <c r="R16" i="1"/>
  <c r="R17" i="1"/>
  <c r="R18" i="1"/>
  <c r="R19" i="1"/>
  <c r="R20" i="1"/>
  <c r="R21" i="1"/>
  <c r="R22" i="1"/>
  <c r="R23" i="1"/>
  <c r="R24" i="1"/>
  <c r="R25" i="1"/>
  <c r="R26" i="1"/>
  <c r="R27" i="1"/>
  <c r="R28" i="1"/>
  <c r="R29" i="1"/>
  <c r="R30" i="1"/>
  <c r="R31" i="1"/>
  <c r="R32" i="1"/>
  <c r="R33" i="1"/>
  <c r="R34" i="1"/>
  <c r="R35" i="1"/>
  <c r="R36" i="1"/>
  <c r="R37" i="1"/>
  <c r="R38" i="1"/>
  <c r="R39" i="1"/>
  <c r="R40" i="1"/>
  <c r="R41" i="1"/>
  <c r="R42" i="1"/>
  <c r="Y42" i="1" s="1"/>
  <c r="R43" i="1"/>
  <c r="R44" i="1"/>
  <c r="R45" i="1"/>
  <c r="R46" i="1"/>
  <c r="R47" i="1"/>
  <c r="R48" i="1"/>
  <c r="R49" i="1"/>
  <c r="R50" i="1"/>
  <c r="R51" i="1"/>
  <c r="R52" i="1"/>
  <c r="R53" i="1"/>
  <c r="R54" i="1"/>
  <c r="R55" i="1"/>
  <c r="R56" i="1"/>
  <c r="R57" i="1"/>
  <c r="R58" i="1"/>
  <c r="R59" i="1"/>
  <c r="R60" i="1"/>
  <c r="R61" i="1"/>
  <c r="R62" i="1"/>
  <c r="R63" i="1"/>
  <c r="R64" i="1"/>
  <c r="R65" i="1"/>
  <c r="R66" i="1"/>
  <c r="R67" i="1"/>
  <c r="R68" i="1"/>
  <c r="R69" i="1"/>
  <c r="R70" i="1"/>
  <c r="R71" i="1"/>
  <c r="R72" i="1"/>
  <c r="R73" i="1"/>
  <c r="R74" i="1"/>
  <c r="R75" i="1"/>
  <c r="R76" i="1"/>
  <c r="R77" i="1"/>
  <c r="R78" i="1"/>
  <c r="R79" i="1"/>
  <c r="R80" i="1"/>
  <c r="R81" i="1"/>
  <c r="R82" i="1"/>
  <c r="R83" i="1"/>
  <c r="R84" i="1"/>
  <c r="R85" i="1"/>
  <c r="R86" i="1"/>
  <c r="R87" i="1"/>
  <c r="R88" i="1"/>
  <c r="R89" i="1"/>
  <c r="R90" i="1"/>
  <c r="R91" i="1"/>
  <c r="R92" i="1"/>
  <c r="R93" i="1"/>
  <c r="R94" i="1"/>
  <c r="R95" i="1"/>
  <c r="R96" i="1"/>
  <c r="R97" i="1"/>
  <c r="R98" i="1"/>
  <c r="R99" i="1"/>
  <c r="R100" i="1"/>
  <c r="R101" i="1"/>
  <c r="R102" i="1"/>
  <c r="R103" i="1"/>
  <c r="R104" i="1"/>
  <c r="R105" i="1"/>
  <c r="R106" i="1"/>
  <c r="Y106" i="1" s="1"/>
  <c r="R107" i="1"/>
  <c r="R108" i="1"/>
  <c r="Y108" i="1" s="1"/>
  <c r="R109" i="1"/>
  <c r="R110" i="1"/>
  <c r="R111" i="1"/>
  <c r="R112" i="1"/>
  <c r="R113" i="1"/>
  <c r="R114" i="1"/>
  <c r="R115" i="1"/>
  <c r="R116" i="1"/>
  <c r="R117" i="1"/>
  <c r="R118" i="1"/>
  <c r="R119" i="1"/>
  <c r="R120" i="1"/>
  <c r="R121" i="1"/>
  <c r="R122" i="1"/>
  <c r="R123" i="1"/>
  <c r="R124" i="1"/>
  <c r="R125" i="1"/>
  <c r="R126" i="1"/>
  <c r="R127" i="1"/>
  <c r="R128" i="1"/>
  <c r="R129" i="1"/>
  <c r="R130" i="1"/>
  <c r="R131" i="1"/>
  <c r="R132" i="1"/>
  <c r="R133" i="1"/>
  <c r="R134" i="1"/>
  <c r="R135" i="1"/>
  <c r="R136" i="1"/>
  <c r="R137" i="1"/>
  <c r="R138" i="1"/>
  <c r="Y138" i="1" s="1"/>
  <c r="R139" i="1"/>
  <c r="R140" i="1"/>
  <c r="Y140" i="1" s="1"/>
  <c r="R141" i="1"/>
  <c r="Y141" i="1" s="1"/>
  <c r="R142" i="1"/>
  <c r="R143" i="1"/>
  <c r="R144" i="1"/>
  <c r="R145" i="1"/>
  <c r="R146" i="1"/>
  <c r="R147" i="1"/>
  <c r="R148" i="1"/>
  <c r="R149" i="1"/>
  <c r="R150" i="1"/>
  <c r="R151" i="1"/>
  <c r="R152" i="1"/>
  <c r="R153" i="1"/>
  <c r="R154" i="1"/>
  <c r="R155" i="1"/>
  <c r="R156" i="1"/>
  <c r="R157" i="1"/>
  <c r="R158" i="1"/>
  <c r="Y158" i="1" s="1"/>
  <c r="R159" i="1"/>
  <c r="R160" i="1"/>
  <c r="R161" i="1"/>
  <c r="R162" i="1"/>
  <c r="R163" i="1"/>
  <c r="R164" i="1"/>
  <c r="R165" i="1"/>
  <c r="R166" i="1"/>
  <c r="R167" i="1"/>
  <c r="R168" i="1"/>
  <c r="R169" i="1"/>
  <c r="R170" i="1"/>
  <c r="R171" i="1"/>
  <c r="R172" i="1"/>
  <c r="R173" i="1"/>
  <c r="R174" i="1"/>
  <c r="R175" i="1"/>
  <c r="R176" i="1"/>
  <c r="R177" i="1"/>
  <c r="R178" i="1"/>
  <c r="R179" i="1"/>
  <c r="R180" i="1"/>
  <c r="R181" i="1"/>
  <c r="R182" i="1"/>
  <c r="R183" i="1"/>
  <c r="R184" i="1"/>
  <c r="R185" i="1"/>
  <c r="R186" i="1"/>
  <c r="R187" i="1"/>
  <c r="R188" i="1"/>
  <c r="Y188" i="1" s="1"/>
  <c r="R189" i="1"/>
  <c r="R190" i="1"/>
  <c r="R191" i="1"/>
  <c r="R192" i="1"/>
  <c r="R193" i="1"/>
  <c r="R194" i="1"/>
  <c r="R195" i="1"/>
  <c r="R196" i="1"/>
  <c r="R197" i="1"/>
  <c r="R198" i="1"/>
  <c r="R199" i="1"/>
  <c r="R200" i="1"/>
  <c r="R201" i="1"/>
  <c r="R202" i="1"/>
  <c r="R203" i="1"/>
  <c r="R204" i="1"/>
  <c r="R205" i="1"/>
  <c r="R206" i="1"/>
  <c r="R207" i="1"/>
  <c r="R208" i="1"/>
  <c r="R209" i="1"/>
  <c r="R210" i="1"/>
  <c r="R211" i="1"/>
  <c r="R212" i="1"/>
  <c r="R213" i="1"/>
  <c r="O3" i="1"/>
  <c r="O4" i="1"/>
  <c r="O5" i="1"/>
  <c r="O6" i="1"/>
  <c r="O7" i="1"/>
  <c r="O8" i="1"/>
  <c r="O9" i="1"/>
  <c r="O10" i="1"/>
  <c r="Y10" i="1" s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Y39" i="1" s="1"/>
  <c r="O40" i="1"/>
  <c r="O41" i="1"/>
  <c r="O42" i="1"/>
  <c r="O43" i="1"/>
  <c r="O44" i="1"/>
  <c r="O45" i="1"/>
  <c r="O46" i="1"/>
  <c r="O47" i="1"/>
  <c r="O48" i="1"/>
  <c r="O49" i="1"/>
  <c r="O50" i="1"/>
  <c r="O51" i="1"/>
  <c r="O52" i="1"/>
  <c r="O53" i="1"/>
  <c r="O54" i="1"/>
  <c r="O55" i="1"/>
  <c r="Y55" i="1" s="1"/>
  <c r="O56" i="1"/>
  <c r="O57" i="1"/>
  <c r="O58" i="1"/>
  <c r="O59" i="1"/>
  <c r="O60" i="1"/>
  <c r="O61" i="1"/>
  <c r="O62" i="1"/>
  <c r="O63" i="1"/>
  <c r="O64" i="1"/>
  <c r="O65" i="1"/>
  <c r="O66" i="1"/>
  <c r="O67" i="1"/>
  <c r="O68" i="1"/>
  <c r="O69" i="1"/>
  <c r="O70" i="1"/>
  <c r="O71" i="1"/>
  <c r="O72" i="1"/>
  <c r="Y72" i="1" s="1"/>
  <c r="O73" i="1"/>
  <c r="O74" i="1"/>
  <c r="O75" i="1"/>
  <c r="O76" i="1"/>
  <c r="O77" i="1"/>
  <c r="O78" i="1"/>
  <c r="O79" i="1"/>
  <c r="O80" i="1"/>
  <c r="O81" i="1"/>
  <c r="O82" i="1"/>
  <c r="O83" i="1"/>
  <c r="O84" i="1"/>
  <c r="O85" i="1"/>
  <c r="O86" i="1"/>
  <c r="O87" i="1"/>
  <c r="O88" i="1"/>
  <c r="O89" i="1"/>
  <c r="O90" i="1"/>
  <c r="O91" i="1"/>
  <c r="O92" i="1"/>
  <c r="O93" i="1"/>
  <c r="O94" i="1"/>
  <c r="O95" i="1"/>
  <c r="O96" i="1"/>
  <c r="O97" i="1"/>
  <c r="O98" i="1"/>
  <c r="O99" i="1"/>
  <c r="O100" i="1"/>
  <c r="O101" i="1"/>
  <c r="O102" i="1"/>
  <c r="O103" i="1"/>
  <c r="Y103" i="1" s="1"/>
  <c r="O104" i="1"/>
  <c r="O105" i="1"/>
  <c r="O106" i="1"/>
  <c r="O107" i="1"/>
  <c r="O108" i="1"/>
  <c r="O109" i="1"/>
  <c r="O110" i="1"/>
  <c r="O111" i="1"/>
  <c r="O112" i="1"/>
  <c r="O113" i="1"/>
  <c r="O114" i="1"/>
  <c r="O115" i="1"/>
  <c r="O116" i="1"/>
  <c r="O117" i="1"/>
  <c r="O118" i="1"/>
  <c r="O119" i="1"/>
  <c r="O120" i="1"/>
  <c r="O121" i="1"/>
  <c r="O122" i="1"/>
  <c r="Y122" i="1" s="1"/>
  <c r="O123" i="1"/>
  <c r="O124" i="1"/>
  <c r="O125" i="1"/>
  <c r="O126" i="1"/>
  <c r="O127" i="1"/>
  <c r="O128" i="1"/>
  <c r="O129" i="1"/>
  <c r="O130" i="1"/>
  <c r="O131" i="1"/>
  <c r="O132" i="1"/>
  <c r="O133" i="1"/>
  <c r="O134" i="1"/>
  <c r="O135" i="1"/>
  <c r="Y135" i="1" s="1"/>
  <c r="O136" i="1"/>
  <c r="Y136" i="1" s="1"/>
  <c r="O137" i="1"/>
  <c r="O138" i="1"/>
  <c r="O139" i="1"/>
  <c r="O140" i="1"/>
  <c r="O141" i="1"/>
  <c r="O142" i="1"/>
  <c r="O143" i="1"/>
  <c r="O144" i="1"/>
  <c r="O145" i="1"/>
  <c r="O146" i="1"/>
  <c r="O147" i="1"/>
  <c r="O148" i="1"/>
  <c r="O149" i="1"/>
  <c r="O150" i="1"/>
  <c r="O151" i="1"/>
  <c r="O152" i="1"/>
  <c r="Y152" i="1" s="1"/>
  <c r="O153" i="1"/>
  <c r="O154" i="1"/>
  <c r="O155" i="1"/>
  <c r="O156" i="1"/>
  <c r="O157" i="1"/>
  <c r="O158" i="1"/>
  <c r="O159" i="1"/>
  <c r="O160" i="1"/>
  <c r="O161" i="1"/>
  <c r="O162" i="1"/>
  <c r="O163" i="1"/>
  <c r="O164" i="1"/>
  <c r="O165" i="1"/>
  <c r="O166" i="1"/>
  <c r="O167" i="1"/>
  <c r="O168" i="1"/>
  <c r="O169" i="1"/>
  <c r="O170" i="1"/>
  <c r="O171" i="1"/>
  <c r="O172" i="1"/>
  <c r="O173" i="1"/>
  <c r="O174" i="1"/>
  <c r="O175" i="1"/>
  <c r="O176" i="1"/>
  <c r="O177" i="1"/>
  <c r="O178" i="1"/>
  <c r="O179" i="1"/>
  <c r="O180" i="1"/>
  <c r="O181" i="1"/>
  <c r="O182" i="1"/>
  <c r="O183" i="1"/>
  <c r="O184" i="1"/>
  <c r="O185" i="1"/>
  <c r="O186" i="1"/>
  <c r="O187" i="1"/>
  <c r="O188" i="1"/>
  <c r="O189" i="1"/>
  <c r="O190" i="1"/>
  <c r="O191" i="1"/>
  <c r="O192" i="1"/>
  <c r="O193" i="1"/>
  <c r="O194" i="1"/>
  <c r="O195" i="1"/>
  <c r="O196" i="1"/>
  <c r="O197" i="1"/>
  <c r="O198" i="1"/>
  <c r="O199" i="1"/>
  <c r="Y199" i="1" s="1"/>
  <c r="O200" i="1"/>
  <c r="O201" i="1"/>
  <c r="O202" i="1"/>
  <c r="O203" i="1"/>
  <c r="O204" i="1"/>
  <c r="O205" i="1"/>
  <c r="O206" i="1"/>
  <c r="O207" i="1"/>
  <c r="O208" i="1"/>
  <c r="O209" i="1"/>
  <c r="O210" i="1"/>
  <c r="O211" i="1"/>
  <c r="O212" i="1"/>
  <c r="O213" i="1"/>
  <c r="R2" i="1"/>
  <c r="O2" i="1"/>
  <c r="L3" i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Y40" i="1" s="1"/>
  <c r="L41" i="1"/>
  <c r="Y41" i="1" s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Y56" i="1" s="1"/>
  <c r="L57" i="1"/>
  <c r="Y57" i="1" s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Y73" i="1" s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Y168" i="1" s="1"/>
  <c r="L169" i="1"/>
  <c r="Y169" i="1" s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Y184" i="1" s="1"/>
  <c r="L185" i="1"/>
  <c r="Y185" i="1" s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Y201" i="1" s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" i="1"/>
  <c r="Z2" i="1"/>
  <c r="Y6" i="1"/>
  <c r="Y7" i="1"/>
  <c r="Y8" i="1"/>
  <c r="Y9" i="1"/>
  <c r="Y19" i="1"/>
  <c r="Y20" i="1"/>
  <c r="Y21" i="1"/>
  <c r="Y22" i="1"/>
  <c r="Y23" i="1"/>
  <c r="Y24" i="1"/>
  <c r="Y25" i="1"/>
  <c r="Y26" i="1"/>
  <c r="Y27" i="1"/>
  <c r="Y28" i="1"/>
  <c r="Y35" i="1"/>
  <c r="Y36" i="1"/>
  <c r="Y37" i="1"/>
  <c r="Y38" i="1"/>
  <c r="Y43" i="1"/>
  <c r="Y44" i="1"/>
  <c r="Y51" i="1"/>
  <c r="Y52" i="1"/>
  <c r="Y53" i="1"/>
  <c r="Y54" i="1"/>
  <c r="Y67" i="1"/>
  <c r="Y68" i="1"/>
  <c r="Y69" i="1"/>
  <c r="Y70" i="1"/>
  <c r="Y71" i="1"/>
  <c r="Y83" i="1"/>
  <c r="Y84" i="1"/>
  <c r="Y85" i="1"/>
  <c r="Y86" i="1"/>
  <c r="Y87" i="1"/>
  <c r="Y88" i="1"/>
  <c r="Y89" i="1"/>
  <c r="Y90" i="1"/>
  <c r="Y99" i="1"/>
  <c r="Y100" i="1"/>
  <c r="Y101" i="1"/>
  <c r="Y102" i="1"/>
  <c r="Y104" i="1"/>
  <c r="Y105" i="1"/>
  <c r="Y107" i="1"/>
  <c r="Y115" i="1"/>
  <c r="Y116" i="1"/>
  <c r="Y117" i="1"/>
  <c r="Y118" i="1"/>
  <c r="Y120" i="1"/>
  <c r="Y121" i="1"/>
  <c r="Y131" i="1"/>
  <c r="Y132" i="1"/>
  <c r="Y133" i="1"/>
  <c r="Y134" i="1"/>
  <c r="Y137" i="1"/>
  <c r="Y139" i="1"/>
  <c r="Y147" i="1"/>
  <c r="Y148" i="1"/>
  <c r="Y149" i="1"/>
  <c r="Y150" i="1"/>
  <c r="Y153" i="1"/>
  <c r="Y154" i="1"/>
  <c r="Y156" i="1"/>
  <c r="Y163" i="1"/>
  <c r="Y164" i="1"/>
  <c r="Y165" i="1"/>
  <c r="Y166" i="1"/>
  <c r="Y167" i="1"/>
  <c r="Y170" i="1"/>
  <c r="Y171" i="1"/>
  <c r="Y172" i="1"/>
  <c r="Y179" i="1"/>
  <c r="Y180" i="1"/>
  <c r="Y181" i="1"/>
  <c r="Y182" i="1"/>
  <c r="Y183" i="1"/>
  <c r="Y195" i="1"/>
  <c r="Y196" i="1"/>
  <c r="Y197" i="1"/>
  <c r="Y198" i="1"/>
  <c r="Y200" i="1"/>
  <c r="Y211" i="1"/>
  <c r="Y212" i="1"/>
  <c r="Y213" i="1"/>
  <c r="Y3" i="1"/>
  <c r="Y4" i="1"/>
  <c r="Y5" i="1"/>
  <c r="Y2" i="1"/>
  <c r="AA3" i="1"/>
  <c r="AA4" i="1"/>
  <c r="AA5" i="1"/>
  <c r="AA6" i="1"/>
  <c r="AA7" i="1"/>
  <c r="AA8" i="1"/>
  <c r="AA9" i="1"/>
  <c r="AA10" i="1"/>
  <c r="AA11" i="1"/>
  <c r="AA12" i="1"/>
  <c r="AA13" i="1"/>
  <c r="AA14" i="1"/>
  <c r="AA15" i="1"/>
  <c r="AA16" i="1"/>
  <c r="AA17" i="1"/>
  <c r="AA18" i="1"/>
  <c r="AA19" i="1"/>
  <c r="AA20" i="1"/>
  <c r="AA21" i="1"/>
  <c r="AA22" i="1"/>
  <c r="AA23" i="1"/>
  <c r="AA24" i="1"/>
  <c r="AA25" i="1"/>
  <c r="AA26" i="1"/>
  <c r="AA27" i="1"/>
  <c r="AA28" i="1"/>
  <c r="AA29" i="1"/>
  <c r="AA30" i="1"/>
  <c r="AA31" i="1"/>
  <c r="AA32" i="1"/>
  <c r="AA33" i="1"/>
  <c r="AA34" i="1"/>
  <c r="AA35" i="1"/>
  <c r="AA36" i="1"/>
  <c r="AA37" i="1"/>
  <c r="AA38" i="1"/>
  <c r="AA39" i="1"/>
  <c r="AA40" i="1"/>
  <c r="AA41" i="1"/>
  <c r="AA42" i="1"/>
  <c r="AA43" i="1"/>
  <c r="AA44" i="1"/>
  <c r="AA45" i="1"/>
  <c r="AA46" i="1"/>
  <c r="AA47" i="1"/>
  <c r="AA48" i="1"/>
  <c r="AA49" i="1"/>
  <c r="AA50" i="1"/>
  <c r="AA51" i="1"/>
  <c r="AA52" i="1"/>
  <c r="AA53" i="1"/>
  <c r="AA54" i="1"/>
  <c r="AA55" i="1"/>
  <c r="AA56" i="1"/>
  <c r="AA57" i="1"/>
  <c r="AA58" i="1"/>
  <c r="AA59" i="1"/>
  <c r="AA60" i="1"/>
  <c r="AA61" i="1"/>
  <c r="AA62" i="1"/>
  <c r="AA63" i="1"/>
  <c r="AA64" i="1"/>
  <c r="AA65" i="1"/>
  <c r="AA66" i="1"/>
  <c r="AA67" i="1"/>
  <c r="AA68" i="1"/>
  <c r="AA69" i="1"/>
  <c r="AA70" i="1"/>
  <c r="AA71" i="1"/>
  <c r="AA72" i="1"/>
  <c r="AA73" i="1"/>
  <c r="AA74" i="1"/>
  <c r="AA75" i="1"/>
  <c r="AA76" i="1"/>
  <c r="AA77" i="1"/>
  <c r="AA78" i="1"/>
  <c r="AA79" i="1"/>
  <c r="AA80" i="1"/>
  <c r="AA81" i="1"/>
  <c r="AA82" i="1"/>
  <c r="AA83" i="1"/>
  <c r="AA84" i="1"/>
  <c r="AA85" i="1"/>
  <c r="AA86" i="1"/>
  <c r="AA87" i="1"/>
  <c r="AA88" i="1"/>
  <c r="AA89" i="1"/>
  <c r="AA90" i="1"/>
  <c r="AA91" i="1"/>
  <c r="AA92" i="1"/>
  <c r="AA93" i="1"/>
  <c r="AA94" i="1"/>
  <c r="AA95" i="1"/>
  <c r="AA96" i="1"/>
  <c r="AA97" i="1"/>
  <c r="AA98" i="1"/>
  <c r="AA99" i="1"/>
  <c r="AA100" i="1"/>
  <c r="AA101" i="1"/>
  <c r="AA102" i="1"/>
  <c r="AA103" i="1"/>
  <c r="AA104" i="1"/>
  <c r="AA105" i="1"/>
  <c r="AA106" i="1"/>
  <c r="AA107" i="1"/>
  <c r="AA108" i="1"/>
  <c r="AA109" i="1"/>
  <c r="AA110" i="1"/>
  <c r="AA111" i="1"/>
  <c r="AA112" i="1"/>
  <c r="AA113" i="1"/>
  <c r="AA114" i="1"/>
  <c r="AA115" i="1"/>
  <c r="AA116" i="1"/>
  <c r="AA117" i="1"/>
  <c r="AA118" i="1"/>
  <c r="AA119" i="1"/>
  <c r="AA120" i="1"/>
  <c r="AA121" i="1"/>
  <c r="AA122" i="1"/>
  <c r="AA123" i="1"/>
  <c r="AA124" i="1"/>
  <c r="AA125" i="1"/>
  <c r="AA126" i="1"/>
  <c r="AA127" i="1"/>
  <c r="AA128" i="1"/>
  <c r="AA129" i="1"/>
  <c r="AA130" i="1"/>
  <c r="AA131" i="1"/>
  <c r="AA132" i="1"/>
  <c r="AA133" i="1"/>
  <c r="AA134" i="1"/>
  <c r="AA135" i="1"/>
  <c r="AA136" i="1"/>
  <c r="AA137" i="1"/>
  <c r="AA138" i="1"/>
  <c r="AA139" i="1"/>
  <c r="AA140" i="1"/>
  <c r="AA141" i="1"/>
  <c r="AA142" i="1"/>
  <c r="AA143" i="1"/>
  <c r="AA144" i="1"/>
  <c r="AA145" i="1"/>
  <c r="AA146" i="1"/>
  <c r="AA147" i="1"/>
  <c r="AA148" i="1"/>
  <c r="AA149" i="1"/>
  <c r="AA150" i="1"/>
  <c r="AA151" i="1"/>
  <c r="AA152" i="1"/>
  <c r="AA153" i="1"/>
  <c r="AA154" i="1"/>
  <c r="AA155" i="1"/>
  <c r="AA156" i="1"/>
  <c r="AA157" i="1"/>
  <c r="AA158" i="1"/>
  <c r="AA159" i="1"/>
  <c r="AA160" i="1"/>
  <c r="AA161" i="1"/>
  <c r="AA162" i="1"/>
  <c r="AA163" i="1"/>
  <c r="AA164" i="1"/>
  <c r="AA165" i="1"/>
  <c r="AA166" i="1"/>
  <c r="AA167" i="1"/>
  <c r="AA168" i="1"/>
  <c r="AA169" i="1"/>
  <c r="AA170" i="1"/>
  <c r="AA171" i="1"/>
  <c r="AA172" i="1"/>
  <c r="AA173" i="1"/>
  <c r="AA174" i="1"/>
  <c r="AA175" i="1"/>
  <c r="AA176" i="1"/>
  <c r="AA177" i="1"/>
  <c r="AA178" i="1"/>
  <c r="AA179" i="1"/>
  <c r="AA180" i="1"/>
  <c r="AA181" i="1"/>
  <c r="AA182" i="1"/>
  <c r="AA183" i="1"/>
  <c r="AA184" i="1"/>
  <c r="AA185" i="1"/>
  <c r="AA186" i="1"/>
  <c r="AA187" i="1"/>
  <c r="AA188" i="1"/>
  <c r="AA189" i="1"/>
  <c r="AA190" i="1"/>
  <c r="AA191" i="1"/>
  <c r="AA192" i="1"/>
  <c r="AA193" i="1"/>
  <c r="AA194" i="1"/>
  <c r="AA195" i="1"/>
  <c r="AA196" i="1"/>
  <c r="AA197" i="1"/>
  <c r="AA198" i="1"/>
  <c r="AA199" i="1"/>
  <c r="AA200" i="1"/>
  <c r="AA201" i="1"/>
  <c r="AA202" i="1"/>
  <c r="AA203" i="1"/>
  <c r="AA204" i="1"/>
  <c r="AA205" i="1"/>
  <c r="AA206" i="1"/>
  <c r="AA207" i="1"/>
  <c r="AA208" i="1"/>
  <c r="AA209" i="1"/>
  <c r="AA210" i="1"/>
  <c r="AA211" i="1"/>
  <c r="AA212" i="1"/>
  <c r="AA213" i="1"/>
  <c r="AA2" i="1"/>
  <c r="Z3" i="1"/>
  <c r="Z4" i="1"/>
  <c r="Z5" i="1"/>
  <c r="Z6" i="1"/>
  <c r="Z7" i="1"/>
  <c r="Z8" i="1"/>
  <c r="Z9" i="1"/>
  <c r="Z10" i="1"/>
  <c r="Z11" i="1"/>
  <c r="Z12" i="1"/>
  <c r="Z13" i="1"/>
  <c r="Z14" i="1"/>
  <c r="Z15" i="1"/>
  <c r="Z16" i="1"/>
  <c r="Z17" i="1"/>
  <c r="Z18" i="1"/>
  <c r="Z19" i="1"/>
  <c r="Z20" i="1"/>
  <c r="Z21" i="1"/>
  <c r="Z22" i="1"/>
  <c r="Z23" i="1"/>
  <c r="Z24" i="1"/>
  <c r="Z25" i="1"/>
  <c r="Z26" i="1"/>
  <c r="Z27" i="1"/>
  <c r="Z28" i="1"/>
  <c r="Z29" i="1"/>
  <c r="Z30" i="1"/>
  <c r="Z31" i="1"/>
  <c r="Z32" i="1"/>
  <c r="Z33" i="1"/>
  <c r="Z34" i="1"/>
  <c r="Z35" i="1"/>
  <c r="Z36" i="1"/>
  <c r="Z37" i="1"/>
  <c r="Z38" i="1"/>
  <c r="Z39" i="1"/>
  <c r="Z40" i="1"/>
  <c r="Z41" i="1"/>
  <c r="Z42" i="1"/>
  <c r="Z43" i="1"/>
  <c r="Z44" i="1"/>
  <c r="Z45" i="1"/>
  <c r="Z46" i="1"/>
  <c r="Z47" i="1"/>
  <c r="Z48" i="1"/>
  <c r="Z49" i="1"/>
  <c r="Z50" i="1"/>
  <c r="Z51" i="1"/>
  <c r="Z52" i="1"/>
  <c r="Z53" i="1"/>
  <c r="Z54" i="1"/>
  <c r="Z55" i="1"/>
  <c r="Z56" i="1"/>
  <c r="Z57" i="1"/>
  <c r="Z58" i="1"/>
  <c r="Z59" i="1"/>
  <c r="Z60" i="1"/>
  <c r="Z61" i="1"/>
  <c r="Z62" i="1"/>
  <c r="Z63" i="1"/>
  <c r="Z64" i="1"/>
  <c r="Z65" i="1"/>
  <c r="Z66" i="1"/>
  <c r="Z67" i="1"/>
  <c r="Z68" i="1"/>
  <c r="Z69" i="1"/>
  <c r="Z70" i="1"/>
  <c r="Z71" i="1"/>
  <c r="Z72" i="1"/>
  <c r="Z73" i="1"/>
  <c r="Z74" i="1"/>
  <c r="Z75" i="1"/>
  <c r="Z76" i="1"/>
  <c r="Z77" i="1"/>
  <c r="Z78" i="1"/>
  <c r="Z79" i="1"/>
  <c r="Z80" i="1"/>
  <c r="Z81" i="1"/>
  <c r="Z82" i="1"/>
  <c r="Z83" i="1"/>
  <c r="Z84" i="1"/>
  <c r="Z85" i="1"/>
  <c r="Z86" i="1"/>
  <c r="Z87" i="1"/>
  <c r="Z88" i="1"/>
  <c r="Z89" i="1"/>
  <c r="Z90" i="1"/>
  <c r="Z91" i="1"/>
  <c r="Z92" i="1"/>
  <c r="Z93" i="1"/>
  <c r="Z94" i="1"/>
  <c r="Z95" i="1"/>
  <c r="Z96" i="1"/>
  <c r="Z97" i="1"/>
  <c r="Z98" i="1"/>
  <c r="Z99" i="1"/>
  <c r="Z100" i="1"/>
  <c r="Z101" i="1"/>
  <c r="Z102" i="1"/>
  <c r="Z103" i="1"/>
  <c r="Z104" i="1"/>
  <c r="Z105" i="1"/>
  <c r="Z106" i="1"/>
  <c r="Z107" i="1"/>
  <c r="Z108" i="1"/>
  <c r="Z109" i="1"/>
  <c r="Z110" i="1"/>
  <c r="Z111" i="1"/>
  <c r="Z112" i="1"/>
  <c r="Z113" i="1"/>
  <c r="Z114" i="1"/>
  <c r="Z115" i="1"/>
  <c r="Z116" i="1"/>
  <c r="Z117" i="1"/>
  <c r="Z118" i="1"/>
  <c r="Z119" i="1"/>
  <c r="Z120" i="1"/>
  <c r="Z121" i="1"/>
  <c r="Z122" i="1"/>
  <c r="Z123" i="1"/>
  <c r="Z124" i="1"/>
  <c r="Z125" i="1"/>
  <c r="Z126" i="1"/>
  <c r="Z127" i="1"/>
  <c r="Z128" i="1"/>
  <c r="Z129" i="1"/>
  <c r="Z130" i="1"/>
  <c r="Z131" i="1"/>
  <c r="Z132" i="1"/>
  <c r="Z133" i="1"/>
  <c r="Z134" i="1"/>
  <c r="Z135" i="1"/>
  <c r="Z136" i="1"/>
  <c r="Z137" i="1"/>
  <c r="Z138" i="1"/>
  <c r="Z139" i="1"/>
  <c r="Z140" i="1"/>
  <c r="Z141" i="1"/>
  <c r="Z142" i="1"/>
  <c r="Z143" i="1"/>
  <c r="Z144" i="1"/>
  <c r="Z145" i="1"/>
  <c r="Z146" i="1"/>
  <c r="Z147" i="1"/>
  <c r="Z148" i="1"/>
  <c r="Z149" i="1"/>
  <c r="Z150" i="1"/>
  <c r="Z151" i="1"/>
  <c r="Z152" i="1"/>
  <c r="Z153" i="1"/>
  <c r="Z154" i="1"/>
  <c r="Z155" i="1"/>
  <c r="Z156" i="1"/>
  <c r="Z157" i="1"/>
  <c r="Z158" i="1"/>
  <c r="Z159" i="1"/>
  <c r="Z160" i="1"/>
  <c r="Z161" i="1"/>
  <c r="Z162" i="1"/>
  <c r="Z163" i="1"/>
  <c r="Z164" i="1"/>
  <c r="Z165" i="1"/>
  <c r="Z166" i="1"/>
  <c r="Z167" i="1"/>
  <c r="Z168" i="1"/>
  <c r="Z169" i="1"/>
  <c r="Z170" i="1"/>
  <c r="Z171" i="1"/>
  <c r="Z172" i="1"/>
  <c r="Z173" i="1"/>
  <c r="Z174" i="1"/>
  <c r="Z175" i="1"/>
  <c r="Z176" i="1"/>
  <c r="Z177" i="1"/>
  <c r="Z178" i="1"/>
  <c r="Z179" i="1"/>
  <c r="Z180" i="1"/>
  <c r="Z181" i="1"/>
  <c r="Z182" i="1"/>
  <c r="Z183" i="1"/>
  <c r="Z184" i="1"/>
  <c r="Z185" i="1"/>
  <c r="Z186" i="1"/>
  <c r="Z187" i="1"/>
  <c r="Z188" i="1"/>
  <c r="Z189" i="1"/>
  <c r="Z190" i="1"/>
  <c r="Z191" i="1"/>
  <c r="Z192" i="1"/>
  <c r="Z193" i="1"/>
  <c r="Z194" i="1"/>
  <c r="Z195" i="1"/>
  <c r="Z196" i="1"/>
  <c r="Z197" i="1"/>
  <c r="Z198" i="1"/>
  <c r="Z199" i="1"/>
  <c r="Z200" i="1"/>
  <c r="Z201" i="1"/>
  <c r="Z202" i="1"/>
  <c r="Z203" i="1"/>
  <c r="Z204" i="1"/>
  <c r="Z205" i="1"/>
  <c r="Z206" i="1"/>
  <c r="Z207" i="1"/>
  <c r="Z208" i="1"/>
  <c r="Z209" i="1"/>
  <c r="Z210" i="1"/>
  <c r="Z211" i="1"/>
  <c r="Z212" i="1"/>
  <c r="Z213" i="1"/>
  <c r="Y143" i="1" l="1"/>
  <c r="Y31" i="1"/>
  <c r="Y125" i="1"/>
  <c r="Y29" i="1"/>
  <c r="Y13" i="1"/>
  <c r="Y160" i="1"/>
  <c r="Y48" i="1"/>
  <c r="Y16" i="1"/>
  <c r="Y159" i="1"/>
  <c r="Y15" i="1"/>
  <c r="Y209" i="1"/>
  <c r="Y193" i="1"/>
  <c r="Y177" i="1"/>
  <c r="Y161" i="1"/>
  <c r="Y145" i="1"/>
  <c r="Y129" i="1"/>
  <c r="Y113" i="1"/>
  <c r="Y97" i="1"/>
  <c r="Y81" i="1"/>
  <c r="Y65" i="1"/>
  <c r="Y49" i="1"/>
  <c r="Y33" i="1"/>
  <c r="Y17" i="1"/>
  <c r="Y203" i="1"/>
  <c r="Y187" i="1"/>
  <c r="Y91" i="1"/>
  <c r="Y75" i="1"/>
  <c r="Y59" i="1"/>
  <c r="Y202" i="1"/>
  <c r="Y186" i="1"/>
  <c r="Y74" i="1"/>
  <c r="Y58" i="1"/>
  <c r="Y176" i="1"/>
  <c r="Y144" i="1"/>
  <c r="Y32" i="1"/>
  <c r="Y210" i="1"/>
  <c r="Y194" i="1"/>
  <c r="Y178" i="1"/>
  <c r="Y162" i="1"/>
  <c r="Y146" i="1"/>
  <c r="Y130" i="1"/>
  <c r="Y114" i="1"/>
  <c r="Y98" i="1"/>
  <c r="Y82" i="1"/>
  <c r="Y66" i="1"/>
  <c r="Y50" i="1"/>
  <c r="Y34" i="1"/>
  <c r="Y18" i="1"/>
  <c r="Y64" i="1"/>
  <c r="Y112" i="1"/>
  <c r="Y207" i="1"/>
  <c r="Y191" i="1"/>
  <c r="Y175" i="1"/>
  <c r="Y127" i="1"/>
  <c r="Y111" i="1"/>
  <c r="Y95" i="1"/>
  <c r="Y79" i="1"/>
  <c r="Y63" i="1"/>
  <c r="Y47" i="1"/>
  <c r="Y192" i="1"/>
  <c r="Y80" i="1"/>
  <c r="Y206" i="1"/>
  <c r="Y190" i="1"/>
  <c r="Y174" i="1"/>
  <c r="Y142" i="1"/>
  <c r="Y110" i="1"/>
  <c r="Y94" i="1"/>
  <c r="Y78" i="1"/>
  <c r="Y62" i="1"/>
  <c r="Y46" i="1"/>
  <c r="Y30" i="1"/>
  <c r="Y14" i="1"/>
  <c r="Y208" i="1"/>
  <c r="Y96" i="1"/>
  <c r="Y205" i="1"/>
  <c r="Y189" i="1"/>
  <c r="Y173" i="1"/>
  <c r="Y109" i="1"/>
  <c r="Y93" i="1"/>
  <c r="Y77" i="1"/>
  <c r="Y61" i="1"/>
  <c r="Y45" i="1"/>
  <c r="Y128" i="1"/>
  <c r="Y204" i="1"/>
  <c r="Y92" i="1"/>
  <c r="Y76" i="1"/>
  <c r="Y60" i="1"/>
  <c r="AB120" i="1"/>
  <c r="AC213" i="1"/>
  <c r="AB213" i="1"/>
  <c r="AC212" i="1"/>
  <c r="AB212" i="1"/>
  <c r="AC211" i="1"/>
  <c r="AB211" i="1"/>
  <c r="AC210" i="1"/>
  <c r="AB210" i="1"/>
  <c r="AC209" i="1"/>
  <c r="AB209" i="1"/>
  <c r="AC208" i="1"/>
  <c r="AB208" i="1"/>
  <c r="AC207" i="1"/>
  <c r="AB207" i="1"/>
  <c r="AC206" i="1"/>
  <c r="AB206" i="1"/>
  <c r="AC205" i="1"/>
  <c r="AB205" i="1"/>
  <c r="AC204" i="1"/>
  <c r="AB204" i="1"/>
  <c r="AC203" i="1"/>
  <c r="AB203" i="1"/>
  <c r="AC202" i="1"/>
  <c r="AB202" i="1"/>
  <c r="AC201" i="1"/>
  <c r="AB201" i="1"/>
  <c r="AC200" i="1"/>
  <c r="AB200" i="1"/>
  <c r="AC199" i="1"/>
  <c r="AB199" i="1"/>
  <c r="AC198" i="1"/>
  <c r="AB198" i="1"/>
  <c r="AC197" i="1"/>
  <c r="AB197" i="1"/>
  <c r="AC196" i="1"/>
  <c r="AB196" i="1"/>
  <c r="AC195" i="1"/>
  <c r="AB195" i="1"/>
  <c r="AC194" i="1"/>
  <c r="AB194" i="1"/>
  <c r="AC193" i="1"/>
  <c r="AB193" i="1"/>
  <c r="AC192" i="1"/>
  <c r="AB192" i="1"/>
  <c r="AC191" i="1"/>
  <c r="AB191" i="1"/>
  <c r="AC190" i="1"/>
  <c r="AB190" i="1"/>
  <c r="AC189" i="1"/>
  <c r="AB189" i="1"/>
  <c r="AC188" i="1"/>
  <c r="AB188" i="1"/>
  <c r="AC187" i="1"/>
  <c r="AB187" i="1"/>
  <c r="AC186" i="1"/>
  <c r="AB186" i="1"/>
  <c r="AC185" i="1"/>
  <c r="AB185" i="1"/>
  <c r="AC184" i="1"/>
  <c r="AB184" i="1"/>
  <c r="AC183" i="1"/>
  <c r="AB183" i="1"/>
  <c r="AC182" i="1"/>
  <c r="AB182" i="1"/>
  <c r="AC181" i="1"/>
  <c r="AB181" i="1"/>
  <c r="AC180" i="1"/>
  <c r="AB180" i="1"/>
  <c r="AC179" i="1"/>
  <c r="AB179" i="1"/>
  <c r="AC178" i="1"/>
  <c r="AB178" i="1"/>
  <c r="AC177" i="1"/>
  <c r="AB177" i="1"/>
  <c r="AC176" i="1"/>
  <c r="AB176" i="1"/>
  <c r="AC175" i="1"/>
  <c r="AB175" i="1"/>
  <c r="AC174" i="1"/>
  <c r="AB174" i="1"/>
  <c r="AC173" i="1"/>
  <c r="AB173" i="1"/>
  <c r="AC172" i="1"/>
  <c r="AB172" i="1"/>
  <c r="AC171" i="1"/>
  <c r="AB171" i="1"/>
  <c r="AC170" i="1"/>
  <c r="AB170" i="1"/>
  <c r="AC169" i="1"/>
  <c r="AB169" i="1"/>
  <c r="AC168" i="1"/>
  <c r="AB168" i="1"/>
  <c r="AC167" i="1"/>
  <c r="AB167" i="1"/>
  <c r="AC166" i="1"/>
  <c r="AB166" i="1"/>
  <c r="AC165" i="1"/>
  <c r="AB165" i="1"/>
  <c r="AC164" i="1"/>
  <c r="AB164" i="1"/>
  <c r="AC163" i="1"/>
  <c r="AB163" i="1"/>
  <c r="AC162" i="1"/>
  <c r="AB162" i="1"/>
  <c r="AC161" i="1"/>
  <c r="AB161" i="1"/>
  <c r="AC160" i="1"/>
  <c r="AB160" i="1"/>
  <c r="AC159" i="1"/>
  <c r="AB159" i="1"/>
  <c r="AC158" i="1"/>
  <c r="AB158" i="1"/>
  <c r="AC157" i="1"/>
  <c r="AB157" i="1"/>
  <c r="AC156" i="1"/>
  <c r="AB156" i="1"/>
  <c r="AC155" i="1"/>
  <c r="AB155" i="1"/>
  <c r="AC154" i="1"/>
  <c r="AB154" i="1"/>
  <c r="AC153" i="1"/>
  <c r="AB153" i="1"/>
  <c r="AC152" i="1"/>
  <c r="AB152" i="1"/>
  <c r="AC151" i="1"/>
  <c r="AB151" i="1"/>
  <c r="AC150" i="1"/>
  <c r="AB150" i="1"/>
  <c r="AC149" i="1"/>
  <c r="AB149" i="1"/>
  <c r="AC148" i="1"/>
  <c r="AB148" i="1"/>
  <c r="AC147" i="1"/>
  <c r="AB147" i="1"/>
  <c r="AC146" i="1"/>
  <c r="AB146" i="1"/>
  <c r="AC145" i="1"/>
  <c r="AB145" i="1"/>
  <c r="AC144" i="1"/>
  <c r="AB144" i="1"/>
  <c r="AC143" i="1"/>
  <c r="AB143" i="1"/>
  <c r="AC142" i="1"/>
  <c r="AB142" i="1"/>
  <c r="AC141" i="1"/>
  <c r="AB141" i="1"/>
  <c r="AC140" i="1"/>
  <c r="AB140" i="1"/>
  <c r="AC139" i="1"/>
  <c r="AB139" i="1"/>
  <c r="AC138" i="1"/>
  <c r="AB138" i="1"/>
  <c r="AC137" i="1"/>
  <c r="AB137" i="1"/>
  <c r="AC136" i="1"/>
  <c r="AB136" i="1"/>
  <c r="AC135" i="1"/>
  <c r="AB135" i="1"/>
  <c r="AC134" i="1"/>
  <c r="AB134" i="1"/>
  <c r="AC133" i="1"/>
  <c r="AB133" i="1"/>
  <c r="AC132" i="1"/>
  <c r="AB132" i="1"/>
  <c r="AC131" i="1"/>
  <c r="AB131" i="1"/>
  <c r="AC130" i="1"/>
  <c r="AB130" i="1"/>
  <c r="AC129" i="1"/>
  <c r="AB129" i="1"/>
  <c r="AC128" i="1"/>
  <c r="AB128" i="1"/>
  <c r="AC127" i="1"/>
  <c r="AB127" i="1"/>
  <c r="AC126" i="1"/>
  <c r="AB126" i="1"/>
  <c r="AC125" i="1"/>
  <c r="AB125" i="1"/>
  <c r="AC124" i="1"/>
  <c r="AB124" i="1"/>
  <c r="AC123" i="1"/>
  <c r="AB123" i="1"/>
  <c r="AC122" i="1"/>
  <c r="AB122" i="1"/>
  <c r="AC121" i="1"/>
  <c r="AB121" i="1"/>
  <c r="AC119" i="1"/>
  <c r="AB119" i="1"/>
  <c r="AC118" i="1"/>
  <c r="AB118" i="1"/>
  <c r="AC117" i="1"/>
  <c r="AB117" i="1"/>
  <c r="AC116" i="1"/>
  <c r="AB116" i="1"/>
  <c r="AC115" i="1"/>
  <c r="AB115" i="1"/>
  <c r="AC114" i="1"/>
  <c r="AB114" i="1"/>
  <c r="AC113" i="1"/>
  <c r="AB113" i="1"/>
  <c r="AC112" i="1"/>
  <c r="AB112" i="1"/>
  <c r="AC111" i="1"/>
  <c r="AB111" i="1"/>
  <c r="AC110" i="1"/>
  <c r="AB110" i="1"/>
  <c r="AC109" i="1"/>
  <c r="AB109" i="1"/>
  <c r="AC108" i="1"/>
  <c r="AB108" i="1"/>
  <c r="AC107" i="1"/>
  <c r="AB107" i="1"/>
  <c r="AC106" i="1"/>
  <c r="AB106" i="1"/>
  <c r="AC105" i="1"/>
  <c r="AB105" i="1"/>
  <c r="AC104" i="1"/>
  <c r="AB104" i="1"/>
  <c r="AC103" i="1"/>
  <c r="AB103" i="1"/>
  <c r="AC102" i="1"/>
  <c r="AB102" i="1"/>
  <c r="AC101" i="1"/>
  <c r="AB101" i="1"/>
  <c r="AC100" i="1"/>
  <c r="AB100" i="1"/>
  <c r="AC99" i="1"/>
  <c r="AB99" i="1"/>
  <c r="AC98" i="1"/>
  <c r="AB98" i="1"/>
  <c r="AC97" i="1"/>
  <c r="AB97" i="1"/>
  <c r="AC96" i="1"/>
  <c r="AB96" i="1"/>
  <c r="AC95" i="1"/>
  <c r="AB95" i="1"/>
  <c r="AC94" i="1"/>
  <c r="AB94" i="1"/>
  <c r="AC93" i="1"/>
  <c r="AB93" i="1"/>
  <c r="AC92" i="1"/>
  <c r="AB92" i="1"/>
  <c r="AC91" i="1"/>
  <c r="AB91" i="1"/>
  <c r="AC90" i="1"/>
  <c r="AB90" i="1"/>
  <c r="AC89" i="1"/>
  <c r="AB89" i="1"/>
  <c r="AC88" i="1"/>
  <c r="AB88" i="1"/>
  <c r="AC87" i="1"/>
  <c r="AB87" i="1"/>
  <c r="AC86" i="1"/>
  <c r="AB86" i="1"/>
  <c r="AC85" i="1"/>
  <c r="AB85" i="1"/>
  <c r="AC84" i="1"/>
  <c r="AB84" i="1"/>
  <c r="AC83" i="1"/>
  <c r="AB83" i="1"/>
  <c r="AC82" i="1"/>
  <c r="AB82" i="1"/>
  <c r="AC81" i="1"/>
  <c r="AB81" i="1"/>
  <c r="AC80" i="1"/>
  <c r="AB80" i="1"/>
  <c r="AC79" i="1"/>
  <c r="AB79" i="1"/>
  <c r="AC78" i="1"/>
  <c r="AB78" i="1"/>
  <c r="AC77" i="1"/>
  <c r="AB77" i="1"/>
  <c r="AC76" i="1"/>
  <c r="AB76" i="1"/>
  <c r="AC75" i="1"/>
  <c r="AB75" i="1"/>
  <c r="AC74" i="1"/>
  <c r="AB74" i="1"/>
  <c r="AC73" i="1"/>
  <c r="AB73" i="1"/>
  <c r="AC72" i="1"/>
  <c r="AB72" i="1"/>
  <c r="AC71" i="1"/>
  <c r="AB71" i="1"/>
  <c r="AC70" i="1"/>
  <c r="AB70" i="1"/>
  <c r="AC69" i="1"/>
  <c r="AB69" i="1"/>
  <c r="AC68" i="1"/>
  <c r="AB68" i="1"/>
  <c r="AC67" i="1"/>
  <c r="AB67" i="1"/>
  <c r="AC66" i="1"/>
  <c r="AB66" i="1"/>
  <c r="AC65" i="1"/>
  <c r="AB65" i="1"/>
  <c r="AC64" i="1"/>
  <c r="AB64" i="1"/>
  <c r="AC63" i="1"/>
  <c r="AB63" i="1"/>
  <c r="AC62" i="1"/>
  <c r="AB62" i="1"/>
  <c r="AC61" i="1"/>
  <c r="AB61" i="1"/>
  <c r="AC60" i="1"/>
  <c r="AB60" i="1"/>
  <c r="AC59" i="1"/>
  <c r="AB59" i="1"/>
  <c r="AC58" i="1"/>
  <c r="AB58" i="1"/>
  <c r="AC57" i="1"/>
  <c r="AB57" i="1"/>
  <c r="AC56" i="1"/>
  <c r="AB56" i="1"/>
  <c r="AC55" i="1"/>
  <c r="AB55" i="1"/>
  <c r="AC54" i="1"/>
  <c r="AB54" i="1"/>
  <c r="AC53" i="1"/>
  <c r="AB53" i="1"/>
  <c r="AC52" i="1"/>
  <c r="AB52" i="1"/>
  <c r="AC51" i="1"/>
  <c r="AB51" i="1"/>
  <c r="AC50" i="1"/>
  <c r="AB50" i="1"/>
  <c r="AC49" i="1"/>
  <c r="AB49" i="1"/>
  <c r="AC48" i="1"/>
  <c r="AB48" i="1"/>
  <c r="AC47" i="1"/>
  <c r="AB47" i="1"/>
  <c r="AC46" i="1"/>
  <c r="AB46" i="1"/>
  <c r="AC45" i="1"/>
  <c r="AB45" i="1"/>
  <c r="AC44" i="1"/>
  <c r="AB44" i="1"/>
  <c r="AC43" i="1"/>
  <c r="AB43" i="1"/>
  <c r="AC42" i="1"/>
  <c r="AB42" i="1"/>
  <c r="AC41" i="1"/>
  <c r="AB41" i="1"/>
  <c r="AC40" i="1"/>
  <c r="AB40" i="1"/>
  <c r="AC39" i="1"/>
  <c r="AB39" i="1"/>
  <c r="AC38" i="1"/>
  <c r="AB38" i="1"/>
  <c r="AC37" i="1"/>
  <c r="AB37" i="1"/>
  <c r="AC36" i="1"/>
  <c r="AB36" i="1"/>
  <c r="AC35" i="1"/>
  <c r="AB35" i="1"/>
  <c r="AC34" i="1"/>
  <c r="AB34" i="1"/>
  <c r="AC33" i="1"/>
  <c r="AB33" i="1"/>
  <c r="AC32" i="1"/>
  <c r="AB32" i="1"/>
  <c r="AC31" i="1"/>
  <c r="AB31" i="1"/>
  <c r="AC30" i="1"/>
  <c r="AB30" i="1"/>
  <c r="AC29" i="1"/>
  <c r="AB29" i="1"/>
  <c r="AC28" i="1"/>
  <c r="AB28" i="1"/>
  <c r="AC27" i="1"/>
  <c r="AB27" i="1"/>
  <c r="AC26" i="1"/>
  <c r="AB26" i="1"/>
  <c r="AC25" i="1"/>
  <c r="AB25" i="1"/>
  <c r="AC24" i="1"/>
  <c r="AB24" i="1"/>
  <c r="AC23" i="1"/>
  <c r="AB23" i="1"/>
  <c r="AC22" i="1"/>
  <c r="AB22" i="1"/>
  <c r="AC21" i="1"/>
  <c r="AB21" i="1"/>
  <c r="AC20" i="1"/>
  <c r="AB20" i="1"/>
  <c r="AC19" i="1"/>
  <c r="AB19" i="1"/>
  <c r="AC18" i="1"/>
  <c r="AB18" i="1"/>
  <c r="AC17" i="1"/>
  <c r="AB17" i="1"/>
  <c r="AC16" i="1"/>
  <c r="AB16" i="1"/>
  <c r="AC15" i="1"/>
  <c r="AB15" i="1"/>
  <c r="AC14" i="1"/>
  <c r="AB14" i="1"/>
  <c r="AC13" i="1"/>
  <c r="AB13" i="1"/>
  <c r="AC12" i="1"/>
  <c r="AB12" i="1"/>
  <c r="AC11" i="1"/>
  <c r="AB11" i="1"/>
  <c r="AC10" i="1"/>
  <c r="AB10" i="1"/>
  <c r="AC9" i="1"/>
  <c r="AB9" i="1"/>
  <c r="AC8" i="1"/>
  <c r="AB8" i="1"/>
  <c r="AC7" i="1"/>
  <c r="AB7" i="1"/>
  <c r="AC6" i="1"/>
  <c r="AB6" i="1"/>
  <c r="AC5" i="1"/>
  <c r="AB5" i="1"/>
  <c r="AC4" i="1"/>
  <c r="AB4" i="1"/>
  <c r="AC3" i="1"/>
  <c r="AB3" i="1"/>
  <c r="AB2" i="1"/>
  <c r="AC2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keepAlive="1" name="Query - List of Australian Open men's singles champions" description="Connection to the 'List of Australian Open men's singles champions' query in the workbook." type="5" refreshedVersion="0" background="1" saveData="1">
    <dbPr connection="Provider=Microsoft.Mashup.OleDb.1;Data Source=$Workbook$;Location=&quot;List of Australian Open men's singles champions&quot;;Extended Properties=&quot;&quot;" command="SELECT * FROM [List of Australian Open men's singles champions]"/>
  </connection>
  <connection id="2" xr16:uid="{00000000-0015-0000-FFFF-FFFF01000000}" keepAlive="1" name="Query - List of Australian Open women's singles champions" description="Connection to the 'List of Australian Open women's singles champions' query in the workbook." type="5" refreshedVersion="0" background="1">
    <dbPr connection="Provider=Microsoft.Mashup.OleDb.1;Data Source=$Workbook$;Location=&quot;List of Australian Open women's singles champions&quot;;Extended Properties=&quot;&quot;" command="SELECT * FROM [List of Australian Open women's singles champions]"/>
  </connection>
  <connection id="3" xr16:uid="{00000000-0015-0000-FFFF-FFFF02000000}" keepAlive="1" name="Query - win rate" description="Connection to the 'win rate' query in the workbook." type="5" refreshedVersion="0" background="1" saveData="1">
    <dbPr connection="Provider=Microsoft.Mashup.OleDb.1;Data Source=$Workbook$;Location=&quot;win rate&quot;;Extended Properties=&quot;&quot;" command="SELECT * FROM [win rate]"/>
  </connection>
  <connection id="4" xr16:uid="{00000000-0015-0000-FFFF-FFFF03000000}" keepAlive="1" name="Query - win rate (2)" description="Connection to the 'win rate (2)' query in the workbook." type="5" refreshedVersion="0" background="1" saveData="1">
    <dbPr connection="Provider=Microsoft.Mashup.OleDb.1;Data Source=$Workbook$;Location=&quot;win rate (2)&quot;;Extended Properties=&quot;&quot;" command="SELECT * FROM [win rate (2)]"/>
  </connection>
  <connection id="5" xr16:uid="{00000000-0015-0000-FFFF-FFFF04000000}" keepAlive="1" name="Query - win rate (3)" description="Connection to the 'win rate (3)' query in the workbook." type="5" refreshedVersion="0" background="1" saveData="1">
    <dbPr connection="Provider=Microsoft.Mashup.OleDb.1;Data Source=$Workbook$;Location=&quot;win rate (3)&quot;;Extended Properties=&quot;&quot;" command="SELECT * FROM [win rate (3)]"/>
  </connection>
</connections>
</file>

<file path=xl/sharedStrings.xml><?xml version="1.0" encoding="utf-8"?>
<sst xmlns="http://schemas.openxmlformats.org/spreadsheetml/2006/main" count="2321" uniqueCount="588">
  <si>
    <t>Year</t>
  </si>
  <si>
    <t>Gender</t>
  </si>
  <si>
    <t>Champion</t>
  </si>
  <si>
    <t>Champion Nationality</t>
  </si>
  <si>
    <t>Champion Country</t>
  </si>
  <si>
    <t>Score</t>
  </si>
  <si>
    <t>Retired/Walkover</t>
  </si>
  <si>
    <t>Champion Seed</t>
  </si>
  <si>
    <t>Mins</t>
  </si>
  <si>
    <t>1st-won</t>
  </si>
  <si>
    <t>1st-loss</t>
  </si>
  <si>
    <t>1st-win rate</t>
  </si>
  <si>
    <t>2nd-won</t>
  </si>
  <si>
    <t>2nd-loss</t>
  </si>
  <si>
    <t>2nd-win rate</t>
  </si>
  <si>
    <t>3rd-won</t>
  </si>
  <si>
    <t>3rd-loss</t>
  </si>
  <si>
    <t>3rd-win rate</t>
  </si>
  <si>
    <t>4th-won</t>
  </si>
  <si>
    <t>4th-loss</t>
  </si>
  <si>
    <t>4th-win rate</t>
  </si>
  <si>
    <t>5th-won</t>
  </si>
  <si>
    <t>5th-loss</t>
  </si>
  <si>
    <t>5th-win rate</t>
  </si>
  <si>
    <t>Sets played</t>
  </si>
  <si>
    <t>Total win</t>
  </si>
  <si>
    <t>Total loss</t>
  </si>
  <si>
    <t>Total games played</t>
  </si>
  <si>
    <t>Match Win rate</t>
  </si>
  <si>
    <t>Runner-up</t>
  </si>
  <si>
    <t>Runner-up Nationality</t>
  </si>
  <si>
    <t>Runner-up Country</t>
  </si>
  <si>
    <t>Runner-up Seed</t>
  </si>
  <si>
    <t>2025</t>
  </si>
  <si>
    <t>Women's</t>
  </si>
  <si>
    <t>Madison Keys</t>
  </si>
  <si>
    <t>USA</t>
  </si>
  <si>
    <t>United States</t>
  </si>
  <si>
    <t>6-3,2-6,7-5</t>
  </si>
  <si>
    <t>No</t>
  </si>
  <si>
    <t>Aryna Sabalenka</t>
  </si>
  <si>
    <t>BLR</t>
  </si>
  <si>
    <t>Belarus</t>
  </si>
  <si>
    <t>Men's</t>
  </si>
  <si>
    <t>Jannik Sinner</t>
  </si>
  <si>
    <t>ITA</t>
  </si>
  <si>
    <t>Italy</t>
  </si>
  <si>
    <t>6-3,7-6,6-3</t>
  </si>
  <si>
    <t>Alexander Zverev</t>
  </si>
  <si>
    <t>GER</t>
  </si>
  <si>
    <t>Germany</t>
  </si>
  <si>
    <t>6-3, 6-2</t>
  </si>
  <si>
    <t>Qinwen Zheng</t>
  </si>
  <si>
    <t>CHN</t>
  </si>
  <si>
    <t>China</t>
  </si>
  <si>
    <t>3-6, 3-6, 6-4, 6-4, 6-3</t>
  </si>
  <si>
    <t>Daniil Medvedev</t>
  </si>
  <si>
    <t>RUS</t>
  </si>
  <si>
    <t>Russia</t>
  </si>
  <si>
    <t>4-6, 6-3, 6-4</t>
  </si>
  <si>
    <t>Elena Rybakina</t>
  </si>
  <si>
    <t>KAZ</t>
  </si>
  <si>
    <t>Kazakhstan</t>
  </si>
  <si>
    <t>Novak Djokovic</t>
  </si>
  <si>
    <t>SRB</t>
  </si>
  <si>
    <t>Serbia</t>
  </si>
  <si>
    <t>6-3, 7-6(7-4), 7-6(7-5)</t>
  </si>
  <si>
    <t>Stefanos Tsitsipas</t>
  </si>
  <si>
    <t>GRE</t>
  </si>
  <si>
    <t>Greece</t>
  </si>
  <si>
    <t>2022</t>
  </si>
  <si>
    <t>Ashleigh Barty</t>
  </si>
  <si>
    <t>AUS</t>
  </si>
  <si>
    <t>Australia</t>
  </si>
  <si>
    <t>6–3, 7–6(7–2)</t>
  </si>
  <si>
    <t>Danielle Collins</t>
  </si>
  <si>
    <t>Rafael Nadal</t>
  </si>
  <si>
    <t>ESP</t>
  </si>
  <si>
    <t>Spain</t>
  </si>
  <si>
    <t>2–6, 6–7(5–7), 6–4, 6–4, 7–5</t>
  </si>
  <si>
    <t>2021</t>
  </si>
  <si>
    <t>Naomi Osaka</t>
  </si>
  <si>
    <t>JPN</t>
  </si>
  <si>
    <t>Japan</t>
  </si>
  <si>
    <t>6–4, 6–3</t>
  </si>
  <si>
    <t>Jennifer Brady</t>
  </si>
  <si>
    <t>7–5, 6–2, 6–2</t>
  </si>
  <si>
    <t>2020</t>
  </si>
  <si>
    <t>Sofia Kenin</t>
  </si>
  <si>
    <t>4–6, 6–2, 6–2</t>
  </si>
  <si>
    <t>Garbiñe Muguruza</t>
  </si>
  <si>
    <t>U</t>
  </si>
  <si>
    <t>6–4, 4–6, 2–6, 6–3, 6–4</t>
  </si>
  <si>
    <t>Dominic Thiem</t>
  </si>
  <si>
    <t>AUT</t>
  </si>
  <si>
    <t>Austria</t>
  </si>
  <si>
    <t>2019</t>
  </si>
  <si>
    <t>7–6(7–2), 5–7, 6–4</t>
  </si>
  <si>
    <t>Petra Kvitová</t>
  </si>
  <si>
    <t>CZE</t>
  </si>
  <si>
    <t>Czechia</t>
  </si>
  <si>
    <t>6–3, 6–2, 6–3</t>
  </si>
  <si>
    <t>2018</t>
  </si>
  <si>
    <t>Caroline Wozniacki</t>
  </si>
  <si>
    <t>DEN</t>
  </si>
  <si>
    <t>Denmark</t>
  </si>
  <si>
    <t>7–6(7–2), 3–6, 6–4</t>
  </si>
  <si>
    <t>Simona Halep</t>
  </si>
  <si>
    <t>ROU</t>
  </si>
  <si>
    <t>Romania</t>
  </si>
  <si>
    <t>Roger Federer</t>
  </si>
  <si>
    <t>SUI</t>
  </si>
  <si>
    <t>Switzerland</t>
  </si>
  <si>
    <t>6–2, 6–7(5–7), 6–3, 3–6, 6–1</t>
  </si>
  <si>
    <t>Marin Čilić</t>
  </si>
  <si>
    <t>CRO</t>
  </si>
  <si>
    <t>Croatia</t>
  </si>
  <si>
    <t>2017</t>
  </si>
  <si>
    <t>Serena Williams</t>
  </si>
  <si>
    <t>6–4, 6–4</t>
  </si>
  <si>
    <t>Venus Williams</t>
  </si>
  <si>
    <t>6–4, 3–6, 6–1, 3–6, 6–3</t>
  </si>
  <si>
    <t>2016</t>
  </si>
  <si>
    <t>Angelique Kerber</t>
  </si>
  <si>
    <t>6–4, 3–6, 6–4</t>
  </si>
  <si>
    <t>6–1, 7–5, 7–6(7–3)</t>
  </si>
  <si>
    <t>Andy Murray</t>
  </si>
  <si>
    <t>GBR</t>
  </si>
  <si>
    <t>United Kingdom</t>
  </si>
  <si>
    <t>2015</t>
  </si>
  <si>
    <t>6–3, 7–6(7–5)</t>
  </si>
  <si>
    <t>Maria Sharapova</t>
  </si>
  <si>
    <t>7–6(7–5), 6–7(4–7), 6–3, 6–0</t>
  </si>
  <si>
    <t>2014</t>
  </si>
  <si>
    <t>Li Na</t>
  </si>
  <si>
    <t>7–6(7–3), 6–0</t>
  </si>
  <si>
    <t>Dominika Cibulková</t>
  </si>
  <si>
    <t>SVK</t>
  </si>
  <si>
    <t>Slovakia</t>
  </si>
  <si>
    <t>Stan Wawrinka</t>
  </si>
  <si>
    <t>6–3, 6–2, 3–6, 6–3</t>
  </si>
  <si>
    <t>2013</t>
  </si>
  <si>
    <t>Victoria Azarenka</t>
  </si>
  <si>
    <t>4–6, 6–4, 6–3</t>
  </si>
  <si>
    <t>6–7(2–7), 7–6(7–3), 6–3, 6–2</t>
  </si>
  <si>
    <t>2012</t>
  </si>
  <si>
    <t>6–3, 6–0</t>
  </si>
  <si>
    <t>5–7, 6–4, 6–2, 6–7(5–7), 7–5</t>
  </si>
  <si>
    <t>2011</t>
  </si>
  <si>
    <t>Kim Clijsters</t>
  </si>
  <si>
    <t>BEL</t>
  </si>
  <si>
    <t>Belgium</t>
  </si>
  <si>
    <t>3–6, 6–3, 6–3</t>
  </si>
  <si>
    <t>6–4, 6–2, 6–3</t>
  </si>
  <si>
    <t>2010</t>
  </si>
  <si>
    <t>6–4, 3–6, 6–2</t>
  </si>
  <si>
    <t>Justine Henin</t>
  </si>
  <si>
    <t>6–3, 6–4, 7–6(13–11)</t>
  </si>
  <si>
    <t>2009</t>
  </si>
  <si>
    <t>6–0, 6–3</t>
  </si>
  <si>
    <t>Dinara Safina</t>
  </si>
  <si>
    <t>7–5, 3–6, 7–6(7–3), 3–6, 6–2</t>
  </si>
  <si>
    <t>2008</t>
  </si>
  <si>
    <t>7–5, 6–3</t>
  </si>
  <si>
    <t>Ana Ivanovic</t>
  </si>
  <si>
    <t>4–6, 6–4, 6–3, 7–6(7–2)</t>
  </si>
  <si>
    <t>Jo-Wilfried Tsonga</t>
  </si>
  <si>
    <t>FRA</t>
  </si>
  <si>
    <t>France</t>
  </si>
  <si>
    <t>2007</t>
  </si>
  <si>
    <t>6–1, 6–2</t>
  </si>
  <si>
    <t>7–6(7–2), 6–4, 6–4</t>
  </si>
  <si>
    <t>Fernando González</t>
  </si>
  <si>
    <t>CHI</t>
  </si>
  <si>
    <t>Chile</t>
  </si>
  <si>
    <t>2006</t>
  </si>
  <si>
    <t>Amélie Mauresmo</t>
  </si>
  <si>
    <t>6–1, 2–0 retired</t>
  </si>
  <si>
    <t>Yes</t>
  </si>
  <si>
    <t>N/A</t>
  </si>
  <si>
    <t>5–7, 7–5, 6–0, 6–2</t>
  </si>
  <si>
    <t>Marcos Baghdatis</t>
  </si>
  <si>
    <t>CYP</t>
  </si>
  <si>
    <t>Cyprus</t>
  </si>
  <si>
    <t>2005</t>
  </si>
  <si>
    <t>2–6, 6–3, 6–0</t>
  </si>
  <si>
    <t>Lindsay Davenport</t>
  </si>
  <si>
    <t>Marat Safin</t>
  </si>
  <si>
    <t>1–6, 6–3, 6–4, 6–4</t>
  </si>
  <si>
    <t>Lleyton Hewitt</t>
  </si>
  <si>
    <t>2004</t>
  </si>
  <si>
    <t>6–3, 4–6, 6–3</t>
  </si>
  <si>
    <t>7–6(7–3), 6–4, 6–2</t>
  </si>
  <si>
    <t>2003</t>
  </si>
  <si>
    <t>7–6(7–4), 3–6, 6–4</t>
  </si>
  <si>
    <t>Andre Agassi</t>
  </si>
  <si>
    <t>6–2, 6–2, 6–1</t>
  </si>
  <si>
    <t>Rainer Schüttler</t>
  </si>
  <si>
    <t>2002</t>
  </si>
  <si>
    <t>Jennifer Capriati</t>
  </si>
  <si>
    <t>4–6, 7–6(9–7), 6–2</t>
  </si>
  <si>
    <t>Martina Hingis</t>
  </si>
  <si>
    <t>Thomas Johansson</t>
  </si>
  <si>
    <t>SWE</t>
  </si>
  <si>
    <t>Sweden</t>
  </si>
  <si>
    <t>3–6, 6–4, 6–4, 7–6(7–4)</t>
  </si>
  <si>
    <t>2001</t>
  </si>
  <si>
    <t>6–4, 6–2, 6–2</t>
  </si>
  <si>
    <t>Arnaud Clément</t>
  </si>
  <si>
    <t>2000</t>
  </si>
  <si>
    <t>6–1, 7–5</t>
  </si>
  <si>
    <t>3–6, 6–3, 6–2, 6–4</t>
  </si>
  <si>
    <t>Yevgeny Kafelnikov</t>
  </si>
  <si>
    <t>1999</t>
  </si>
  <si>
    <t>6–2, 6–3</t>
  </si>
  <si>
    <t>4–6, 6–0, 6–3, 7–6(7–1)</t>
  </si>
  <si>
    <t>Thomas Enqvist</t>
  </si>
  <si>
    <t>1998</t>
  </si>
  <si>
    <t>6–3, 6–3</t>
  </si>
  <si>
    <t>Conchita Martínez</t>
  </si>
  <si>
    <t>Petr Korda</t>
  </si>
  <si>
    <t>6–2, 6–2, 6–2</t>
  </si>
  <si>
    <t>Marcelo Ríos</t>
  </si>
  <si>
    <t>1997</t>
  </si>
  <si>
    <t>6–2, 6–2</t>
  </si>
  <si>
    <t>Mary Pierce</t>
  </si>
  <si>
    <t>Pete Sampras</t>
  </si>
  <si>
    <t>6–2, 6–3, 6–3</t>
  </si>
  <si>
    <t>Carlos Moyá</t>
  </si>
  <si>
    <t>1996</t>
  </si>
  <si>
    <t>Monica Seles</t>
  </si>
  <si>
    <t>6–4, 6–1</t>
  </si>
  <si>
    <t>Anke Huber</t>
  </si>
  <si>
    <t>Boris Becker</t>
  </si>
  <si>
    <t>6–2, 6–4, 2–6, 6–2</t>
  </si>
  <si>
    <t>Michael Chang</t>
  </si>
  <si>
    <t>1995</t>
  </si>
  <si>
    <t>6–3, 6–2</t>
  </si>
  <si>
    <t>Arantxa Sánchez Vicario</t>
  </si>
  <si>
    <t>4–6, 6–1, 7–6(8–6), 6–4</t>
  </si>
  <si>
    <t>1994</t>
  </si>
  <si>
    <t>Steffi Graf</t>
  </si>
  <si>
    <t>6–0, 6–2</t>
  </si>
  <si>
    <t>7–6(7–4), 6–4, 6–4</t>
  </si>
  <si>
    <t>Todd Martin</t>
  </si>
  <si>
    <t>1993</t>
  </si>
  <si>
    <t>YUG</t>
  </si>
  <si>
    <t>Yugoslavia</t>
  </si>
  <si>
    <t>4–6, 6–3, 6–2</t>
  </si>
  <si>
    <t>Jim Courier</t>
  </si>
  <si>
    <t>6–2, 6–1, 2–6, 7–5</t>
  </si>
  <si>
    <t>Stefan Edberg</t>
  </si>
  <si>
    <t>1992</t>
  </si>
  <si>
    <t>Mary Joe Fernández</t>
  </si>
  <si>
    <t>6–3, 3–6, 6–4, 6–2</t>
  </si>
  <si>
    <t>1991</t>
  </si>
  <si>
    <t>5–7, 6–3, 6–1</t>
  </si>
  <si>
    <t>Jana Novotná</t>
  </si>
  <si>
    <t>CAE</t>
  </si>
  <si>
    <t>1–6, 6–4, 6–4, 6–4</t>
  </si>
  <si>
    <t>Ivan Lendl</t>
  </si>
  <si>
    <t>1990</t>
  </si>
  <si>
    <t>6–3, 6–4</t>
  </si>
  <si>
    <t>4–6, 7–6(7–3), 5–2 retired[k]</t>
  </si>
  <si>
    <t>1989</t>
  </si>
  <si>
    <t>Helena Suková</t>
  </si>
  <si>
    <t>Miloslav Mečíř</t>
  </si>
  <si>
    <t>1988</t>
  </si>
  <si>
    <t>6–1, 7–6(7–3)</t>
  </si>
  <si>
    <t>Chris Evert</t>
  </si>
  <si>
    <t>Mats Wilander</t>
  </si>
  <si>
    <t>6–3, 6–7(3–7), 3–6, 6–1, 8–6</t>
  </si>
  <si>
    <t>Pat Cash</t>
  </si>
  <si>
    <t>1987</t>
  </si>
  <si>
    <t>Hana Mandlíková</t>
  </si>
  <si>
    <t>7–5, 7–6(7–1)</t>
  </si>
  <si>
    <t>Martina Navratilova</t>
  </si>
  <si>
    <t>6–3, 6–4, 3–6, 5–7, 6–3</t>
  </si>
  <si>
    <t>1985</t>
  </si>
  <si>
    <t>6–2, 4–6, 6–2</t>
  </si>
  <si>
    <t>6–4, 6–3, 6–3</t>
  </si>
  <si>
    <t>1984</t>
  </si>
  <si>
    <t>6–7(4–7), 6–1, 6–3</t>
  </si>
  <si>
    <t>6–7(5–7), 6–4, 7–6(7–3), 6–2</t>
  </si>
  <si>
    <t>Kevin Curren</t>
  </si>
  <si>
    <t>RSA</t>
  </si>
  <si>
    <t>South Africa</t>
  </si>
  <si>
    <t>1983</t>
  </si>
  <si>
    <t>6–2, 7–6(7–5)</t>
  </si>
  <si>
    <t>Kathy Jordan</t>
  </si>
  <si>
    <t>6–1, 6–4, 6–4</t>
  </si>
  <si>
    <t>1982</t>
  </si>
  <si>
    <t>6–3, 2–6, 6–3</t>
  </si>
  <si>
    <t>Johan Kriek</t>
  </si>
  <si>
    <t>6–3, 6–3, 6–2</t>
  </si>
  <si>
    <t>Steve Denton</t>
  </si>
  <si>
    <t>1981</t>
  </si>
  <si>
    <t>6–7(7–4), 6–4, 7–5</t>
  </si>
  <si>
    <t>6–2, 7–6(7–1), 6–7(1–7), 6–4</t>
  </si>
  <si>
    <t>1980</t>
  </si>
  <si>
    <t>6–0, 7–5</t>
  </si>
  <si>
    <t>Wendy Turnbull</t>
  </si>
  <si>
    <t>Brian Teacher</t>
  </si>
  <si>
    <t>7–5, 7–6(7–4), 6–2</t>
  </si>
  <si>
    <t>Kim Warwick</t>
  </si>
  <si>
    <t>1979</t>
  </si>
  <si>
    <t>Barbara Jordan</t>
  </si>
  <si>
    <t>Sharon Walsh</t>
  </si>
  <si>
    <t>Guillermo Vilas</t>
  </si>
  <si>
    <t>ARG</t>
  </si>
  <si>
    <t>Argentina</t>
  </si>
  <si>
    <t>7–6(7–4), 6–3, 6–2</t>
  </si>
  <si>
    <t>John Sadri</t>
  </si>
  <si>
    <t>1978</t>
  </si>
  <si>
    <t>Chris O'Neil</t>
  </si>
  <si>
    <t>6–3, 7–6(7–3)</t>
  </si>
  <si>
    <t>Betsy Nagelsen</t>
  </si>
  <si>
    <t>6–4, 6–4, 3–6, 6–3</t>
  </si>
  <si>
    <t>John Marks</t>
  </si>
  <si>
    <t>1977-(2)</t>
  </si>
  <si>
    <t>Evonne Goolagong</t>
  </si>
  <si>
    <t>Helen Gourlay</t>
  </si>
  <si>
    <t>Vitas Gerulaitis</t>
  </si>
  <si>
    <t>6–3, 7–6(7–1), 5–7, 3–6, 6–2</t>
  </si>
  <si>
    <t>John Lloyd</t>
  </si>
  <si>
    <t>1977-(1)</t>
  </si>
  <si>
    <t>Kerry Melville Reid</t>
  </si>
  <si>
    <t>7–5, 6–2</t>
  </si>
  <si>
    <t>Dianne Fromholtz</t>
  </si>
  <si>
    <t>Roscoe Tanner</t>
  </si>
  <si>
    <t>6–3, 6–3, 6–3</t>
  </si>
  <si>
    <t>1976</t>
  </si>
  <si>
    <t>Renáta Tomanová</t>
  </si>
  <si>
    <t>Mark Edmondson</t>
  </si>
  <si>
    <t>6–7, 6–3, 7–6, 6–1</t>
  </si>
  <si>
    <t>John Newcombe</t>
  </si>
  <si>
    <t>1975</t>
  </si>
  <si>
    <t>7–5, 3–6, 6–4, 7–6(9–7)</t>
  </si>
  <si>
    <t>Jimmy Connors</t>
  </si>
  <si>
    <t>1974</t>
  </si>
  <si>
    <t>7–6(7–5), 4–6, 6–0</t>
  </si>
  <si>
    <t>7–6(9–7), 6–4, 4–6, 6–3</t>
  </si>
  <si>
    <t>Phil Dent</t>
  </si>
  <si>
    <t>1973</t>
  </si>
  <si>
    <t>Margaret Court</t>
  </si>
  <si>
    <t>6–4, 7–5</t>
  </si>
  <si>
    <t>6–3, 6–7, 7–5, 6–1</t>
  </si>
  <si>
    <t>Onny Parun</t>
  </si>
  <si>
    <t>NZL</t>
  </si>
  <si>
    <t>New Zealand</t>
  </si>
  <si>
    <t>1972</t>
  </si>
  <si>
    <t>Virginia Wade</t>
  </si>
  <si>
    <t>Ken Rosewall</t>
  </si>
  <si>
    <t>7–6(7–2), 6–3, 7–5</t>
  </si>
  <si>
    <t>Malcolm Anderson</t>
  </si>
  <si>
    <t>1971</t>
  </si>
  <si>
    <t>2–6, 7–6(7–0), 7–5</t>
  </si>
  <si>
    <t>6–1, 7–5, 6–3</t>
  </si>
  <si>
    <t>Arthur Ashe</t>
  </si>
  <si>
    <t>1970</t>
  </si>
  <si>
    <t>6–1, 6–3</t>
  </si>
  <si>
    <t>6–4, 9–7, 6–2</t>
  </si>
  <si>
    <t>Dick Crealy</t>
  </si>
  <si>
    <t>1969</t>
  </si>
  <si>
    <t>Billie Jean King</t>
  </si>
  <si>
    <t>Rod Laver</t>
  </si>
  <si>
    <t>6–3, 6–4, 7–5</t>
  </si>
  <si>
    <t>Andrés Gimeno</t>
  </si>
  <si>
    <t>1968</t>
  </si>
  <si>
    <t>Bill Bowrey</t>
  </si>
  <si>
    <t>7–5, 2–6, 9–7, 6–4</t>
  </si>
  <si>
    <t>Juan Gisbert</t>
  </si>
  <si>
    <t>1967</t>
  </si>
  <si>
    <t>Nancy Richey</t>
  </si>
  <si>
    <t>6–1, 6–4</t>
  </si>
  <si>
    <t>Lesley Turner Bowrey</t>
  </si>
  <si>
    <t>Roy Emerson</t>
  </si>
  <si>
    <t>6–4, 6–1, 6–4</t>
  </si>
  <si>
    <t>1966</t>
  </si>
  <si>
    <t>walkover</t>
  </si>
  <si>
    <t>6–4, 6–8, 6–2, 6–3</t>
  </si>
  <si>
    <t>1965</t>
  </si>
  <si>
    <t>5–7, 6–4, 5–2, retired</t>
  </si>
  <si>
    <t>Maria Bueno</t>
  </si>
  <si>
    <t>BRA</t>
  </si>
  <si>
    <t>Brazil</t>
  </si>
  <si>
    <t>7–9, 2–6, 6–4, 7–5, 6–1</t>
  </si>
  <si>
    <t>Fred Stolle</t>
  </si>
  <si>
    <t>1964</t>
  </si>
  <si>
    <t>6–3, 6–4, 6–2</t>
  </si>
  <si>
    <t>1963</t>
  </si>
  <si>
    <t>Jan Lehane</t>
  </si>
  <si>
    <t>6–3, 6–3, 6–1</t>
  </si>
  <si>
    <t>Ken Fletcher</t>
  </si>
  <si>
    <t>1962</t>
  </si>
  <si>
    <t>8–6, 0–6, 6–4, 6–4</t>
  </si>
  <si>
    <t>1961</t>
  </si>
  <si>
    <t>1–6, 6–3, 7–5, 6–4</t>
  </si>
  <si>
    <t>1960</t>
  </si>
  <si>
    <t>5–7, 3–6, 6–3, 8–6, 8–6</t>
  </si>
  <si>
    <t>Neale Fraser</t>
  </si>
  <si>
    <t>1959</t>
  </si>
  <si>
    <t>Mary Carter Reitano</t>
  </si>
  <si>
    <t>Renée Schuurman</t>
  </si>
  <si>
    <t>Alex Olmedo</t>
  </si>
  <si>
    <t>6–1, 6–2, 3–6, 6–3</t>
  </si>
  <si>
    <t>1958</t>
  </si>
  <si>
    <t>Angela Mortimer</t>
  </si>
  <si>
    <t>Lorraine Coghlan</t>
  </si>
  <si>
    <t>Ashley Cooper</t>
  </si>
  <si>
    <t>7–5, 6–3, 6–4</t>
  </si>
  <si>
    <t>1957</t>
  </si>
  <si>
    <t>Shirley Fry Irvin</t>
  </si>
  <si>
    <t>Althea Gibson</t>
  </si>
  <si>
    <t>6–3, 9–11, 6–4, 6–2</t>
  </si>
  <si>
    <t>1956</t>
  </si>
  <si>
    <t>3–6, 6–2, 9–7</t>
  </si>
  <si>
    <t>Thelma Coyne Long</t>
  </si>
  <si>
    <t>Lew Hoad</t>
  </si>
  <si>
    <t>6–4, 3–6, 6–4, 7–5</t>
  </si>
  <si>
    <t>1955</t>
  </si>
  <si>
    <t>Beryl Penrose</t>
  </si>
  <si>
    <t>9–7, 6–4, 6–4</t>
  </si>
  <si>
    <t>1954</t>
  </si>
  <si>
    <t>Jenny Staley</t>
  </si>
  <si>
    <t>Mervyn Rose</t>
  </si>
  <si>
    <t>6–2, 0–6, 6–4, 6–2</t>
  </si>
  <si>
    <t>Rex Hartwig</t>
  </si>
  <si>
    <t>1953</t>
  </si>
  <si>
    <t>Maureen Connolly</t>
  </si>
  <si>
    <t>Julia Sampson Hayward</t>
  </si>
  <si>
    <t>6–0, 6–3, 6–4</t>
  </si>
  <si>
    <t>1952</t>
  </si>
  <si>
    <t>Helen Angwin</t>
  </si>
  <si>
    <t>Ken McGregor</t>
  </si>
  <si>
    <t>7–5, 12–10, 2–6, 6–2</t>
  </si>
  <si>
    <t>Frank Sedgman</t>
  </si>
  <si>
    <t>1951</t>
  </si>
  <si>
    <t>Nancye Wynne Bolton</t>
  </si>
  <si>
    <t>Dick Savitt</t>
  </si>
  <si>
    <t>6–3, 2–6, 6–3, 6–1</t>
  </si>
  <si>
    <t>1950</t>
  </si>
  <si>
    <t>Louise Brough</t>
  </si>
  <si>
    <t>Doris Hart</t>
  </si>
  <si>
    <t>6–3, 6–4, 4–6, 6–1</t>
  </si>
  <si>
    <t>1949</t>
  </si>
  <si>
    <t>6–3, 6–2, 6–2</t>
  </si>
  <si>
    <t>John Bromwich</t>
  </si>
  <si>
    <t>1948</t>
  </si>
  <si>
    <t>6–3, 6–1</t>
  </si>
  <si>
    <t>Marie Toomey</t>
  </si>
  <si>
    <t>Adrian Quist</t>
  </si>
  <si>
    <t>6–4, 3–6, 6–3, 2–6, 6–3</t>
  </si>
  <si>
    <t>1947</t>
  </si>
  <si>
    <t>Nell Hall Hopman</t>
  </si>
  <si>
    <t>Dinny Pails</t>
  </si>
  <si>
    <t>4–6, 6–4, 3–6, 7–5, 8–6</t>
  </si>
  <si>
    <t>1946</t>
  </si>
  <si>
    <t>Joyce Fitch</t>
  </si>
  <si>
    <t>5–7, 6–3, 7–5, 3–6, 6–2</t>
  </si>
  <si>
    <t>1940</t>
  </si>
  <si>
    <t>5–7, 6–4, 6–0</t>
  </si>
  <si>
    <t>6–3, 6–1, 6–2</t>
  </si>
  <si>
    <t>Jack Crawford</t>
  </si>
  <si>
    <t>1939</t>
  </si>
  <si>
    <t>Emily Hood Westacott</t>
  </si>
  <si>
    <t>6–4, 6–1, 6–3</t>
  </si>
  <si>
    <t>1938</t>
  </si>
  <si>
    <t>Dorothy Cheney</t>
  </si>
  <si>
    <t>Dorothy Stevenson</t>
  </si>
  <si>
    <t>Don Budge</t>
  </si>
  <si>
    <t>6–4, 6–2, 6–1</t>
  </si>
  <si>
    <t>1937</t>
  </si>
  <si>
    <t>6–3, 5–7, 6–4</t>
  </si>
  <si>
    <t>Vivian McGrath</t>
  </si>
  <si>
    <t>6–3, 1–6, 6–0, 2–6, 6–1</t>
  </si>
  <si>
    <t>1936</t>
  </si>
  <si>
    <t>Joan Hartigan</t>
  </si>
  <si>
    <t>6–2, 6–3, 4–6, 3–6, 9–7</t>
  </si>
  <si>
    <t>1935</t>
  </si>
  <si>
    <t>Dorothy Round</t>
  </si>
  <si>
    <t>1–6, 6–1, 6–3</t>
  </si>
  <si>
    <t>Nancy Lyle</t>
  </si>
  <si>
    <t>2–6, 6–4, 6–4, 6–4</t>
  </si>
  <si>
    <t>Fred Perry</t>
  </si>
  <si>
    <t>1934</t>
  </si>
  <si>
    <t>Margaret Molesworth</t>
  </si>
  <si>
    <t>6–3, 7–5, 6–1</t>
  </si>
  <si>
    <t>1933</t>
  </si>
  <si>
    <t>Coral Buttsworth</t>
  </si>
  <si>
    <t>2–6, 7–5, 6–3, 6–2</t>
  </si>
  <si>
    <t>Keith Gledhill</t>
  </si>
  <si>
    <t>1932</t>
  </si>
  <si>
    <t>9–7, 6–4</t>
  </si>
  <si>
    <t>Kathleen Le Messurier</t>
  </si>
  <si>
    <t>4–6, 6–3, 3–6, 6–3, 6–1</t>
  </si>
  <si>
    <t>Harry Hopman</t>
  </si>
  <si>
    <t>1931</t>
  </si>
  <si>
    <t>1–6, 6–3, 6–4</t>
  </si>
  <si>
    <t>Marjorie Cox Crawford</t>
  </si>
  <si>
    <t>6–4, 6–2, 2–6, 6–1</t>
  </si>
  <si>
    <t>1930</t>
  </si>
  <si>
    <t>Daphne Akhurst</t>
  </si>
  <si>
    <t>10–8, 2–6, 7–5</t>
  </si>
  <si>
    <t>Sylvia Lance Harper</t>
  </si>
  <si>
    <t>Edgar Moon</t>
  </si>
  <si>
    <t>6–3, 6–1, 6–3</t>
  </si>
  <si>
    <t>1929</t>
  </si>
  <si>
    <t>6–1, 5–7, 6–2</t>
  </si>
  <si>
    <t>Louie Bickerton</t>
  </si>
  <si>
    <t>John Colin Gregory</t>
  </si>
  <si>
    <t>6–2, 6–2, 5–7, 7–5</t>
  </si>
  <si>
    <t>Richard Schlesinger</t>
  </si>
  <si>
    <t>1928</t>
  </si>
  <si>
    <t>Esna Boyd</t>
  </si>
  <si>
    <t>Jean Borotra</t>
  </si>
  <si>
    <t>6–4, 6–1, 4–6, 5–7, 6–3</t>
  </si>
  <si>
    <t>Jack Cummings</t>
  </si>
  <si>
    <t>1927</t>
  </si>
  <si>
    <t>5–7, 6–1, 6–2</t>
  </si>
  <si>
    <t>Gerald Patterson</t>
  </si>
  <si>
    <t>3–6, 6–4, 3–6, 18–16, 6–3</t>
  </si>
  <si>
    <t>John Hawkes</t>
  </si>
  <si>
    <t>1926</t>
  </si>
  <si>
    <t>6–1, 6–3, 6–1</t>
  </si>
  <si>
    <t>James Willard</t>
  </si>
  <si>
    <t>1925</t>
  </si>
  <si>
    <t>1–6, 8–6, 6–4</t>
  </si>
  <si>
    <t>James Anderson</t>
  </si>
  <si>
    <t>11–9, 2–6, 6–2, 6–3</t>
  </si>
  <si>
    <t>1924</t>
  </si>
  <si>
    <t>6–3, 3–6, 8–6</t>
  </si>
  <si>
    <t>1923</t>
  </si>
  <si>
    <t>Pat O'Hara Wood</t>
  </si>
  <si>
    <t>6–1, 6–1, 6–3</t>
  </si>
  <si>
    <t>Bert St. John</t>
  </si>
  <si>
    <t>1922</t>
  </si>
  <si>
    <t>6–3, 10–8</t>
  </si>
  <si>
    <t>6–0, 3–6, 3–6, 6–3, 6–2</t>
  </si>
  <si>
    <t>1921</t>
  </si>
  <si>
    <t>Rhys Gemmell</t>
  </si>
  <si>
    <t>7–5, 6–1, 6–4</t>
  </si>
  <si>
    <t>Alf Hedeman</t>
  </si>
  <si>
    <t>1920</t>
  </si>
  <si>
    <t>6–3, 4–6, 6–8, 6–1, 6–3</t>
  </si>
  <si>
    <t>Ronald Thomas</t>
  </si>
  <si>
    <t>1919</t>
  </si>
  <si>
    <t>Algernon Kingscote</t>
  </si>
  <si>
    <t>6–4, 6–0, 6–3</t>
  </si>
  <si>
    <t>Eric Pockley</t>
  </si>
  <si>
    <t>1915</t>
  </si>
  <si>
    <t>Gordon Lowe</t>
  </si>
  <si>
    <t>4–6, 6–1, 6–1, 6–4</t>
  </si>
  <si>
    <t>Horace Rice</t>
  </si>
  <si>
    <t>1914</t>
  </si>
  <si>
    <t>Arthur O'Hara Wood</t>
  </si>
  <si>
    <t>6–4, 6–3, 5–7, 6–1</t>
  </si>
  <si>
    <t>1913</t>
  </si>
  <si>
    <t>Ernie Parker</t>
  </si>
  <si>
    <t>2–6, 6–1, 6–3, 6–2</t>
  </si>
  <si>
    <t>Harry Parker</t>
  </si>
  <si>
    <t>1912</t>
  </si>
  <si>
    <t>James Cecil Parke</t>
  </si>
  <si>
    <t>3–6, 6–3, 1–6, 6–1, 7–5</t>
  </si>
  <si>
    <t>Alfred Beamish</t>
  </si>
  <si>
    <t>1911</t>
  </si>
  <si>
    <t>Norman Brookes</t>
  </si>
  <si>
    <t>6–1, 6–2, 6–3</t>
  </si>
  <si>
    <t>1910</t>
  </si>
  <si>
    <t>Rodney Heath</t>
  </si>
  <si>
    <t>6–4, 6–3, 6–2</t>
  </si>
  <si>
    <t>1909</t>
  </si>
  <si>
    <t>Anthony Wilding</t>
  </si>
  <si>
    <t>6–1, 7–5, 6–2</t>
  </si>
  <si>
    <t>1908</t>
  </si>
  <si>
    <t>Fred Alexander</t>
  </si>
  <si>
    <t>3–6, 3–6, 6–0, 6–2, 6–3</t>
  </si>
  <si>
    <t>Alfred Dunlop</t>
  </si>
  <si>
    <t>1907</t>
  </si>
  <si>
    <t>6–3, 6–4, 6–4</t>
  </si>
  <si>
    <t>1906</t>
  </si>
  <si>
    <t>6–0, 6–4, 6–4</t>
  </si>
  <si>
    <t>Francis Fisher</t>
  </si>
  <si>
    <t>1905</t>
  </si>
  <si>
    <t>4–6, 6–3, 6–4, 6–4</t>
  </si>
  <si>
    <t>Albert Curtis</t>
  </si>
  <si>
    <t>Total wins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</si>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</sst>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202124"/>
      <name val="Arial"/>
      <family val="2"/>
    </font>
    <font>
      <b/>
      <sz val="11"/>
      <color rgb="FFFF0000"/>
      <name val="Calibri"/>
      <family val="2"/>
      <scheme val="minor"/>
    </font>
    <font>
      <b/>
      <sz val="11"/>
      <color theme="1"/>
      <name val="Calibri"/>
      <charset val="1"/>
    </font>
    <font>
      <sz val="11"/>
      <color theme="1"/>
      <name val="Calibri"/>
      <charset val="1"/>
    </font>
  </fonts>
  <fills count="7">
    <fill>
      <patternFill patternType="none"/>
    </fill>
    <fill>
      <patternFill patternType="gray125"/>
    </fill>
    <fill>
      <patternFill patternType="solid">
        <fgColor theme="9" tint="0.79998168889431442"/>
        <bgColor theme="9" tint="0.79998168889431442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theme="9" tint="0.79998168889431442"/>
      </patternFill>
    </fill>
    <fill>
      <patternFill patternType="solid">
        <fgColor rgb="FFE2EFD9"/>
        <bgColor indexed="64"/>
      </patternFill>
    </fill>
    <fill>
      <patternFill patternType="solid">
        <fgColor rgb="FFE2EFDA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CCCCCC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49" fontId="1" fillId="0" borderId="1" xfId="0" applyNumberFormat="1" applyFont="1" applyBorder="1" applyAlignment="1">
      <alignment horizontal="center"/>
    </xf>
    <xf numFmtId="0" fontId="0" fillId="0" borderId="0" xfId="0" applyAlignment="1">
      <alignment horizontal="right"/>
    </xf>
    <xf numFmtId="0" fontId="1" fillId="0" borderId="1" xfId="0" applyFont="1" applyBorder="1" applyAlignment="1">
      <alignment horizontal="left"/>
    </xf>
    <xf numFmtId="0" fontId="3" fillId="0" borderId="1" xfId="0" applyFont="1" applyBorder="1" applyAlignment="1">
      <alignment horizontal="left"/>
    </xf>
    <xf numFmtId="0" fontId="1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49" fontId="0" fillId="2" borderId="1" xfId="0" applyNumberFormat="1" applyFill="1" applyBorder="1"/>
    <xf numFmtId="0" fontId="0" fillId="0" borderId="1" xfId="0" applyBorder="1"/>
    <xf numFmtId="0" fontId="0" fillId="2" borderId="1" xfId="0" applyFill="1" applyBorder="1"/>
    <xf numFmtId="0" fontId="0" fillId="2" borderId="1" xfId="0" applyFill="1" applyBorder="1" applyAlignment="1">
      <alignment horizontal="left"/>
    </xf>
    <xf numFmtId="0" fontId="0" fillId="2" borderId="1" xfId="0" applyFill="1" applyBorder="1" applyAlignment="1">
      <alignment horizontal="right"/>
    </xf>
    <xf numFmtId="49" fontId="0" fillId="0" borderId="1" xfId="0" applyNumberFormat="1" applyBorder="1"/>
    <xf numFmtId="0" fontId="0" fillId="0" borderId="1" xfId="0" applyBorder="1" applyAlignment="1">
      <alignment horizontal="left"/>
    </xf>
    <xf numFmtId="0" fontId="0" fillId="0" borderId="1" xfId="0" applyBorder="1" applyAlignment="1">
      <alignment horizontal="right"/>
    </xf>
    <xf numFmtId="0" fontId="0" fillId="3" borderId="1" xfId="0" applyFill="1" applyBorder="1"/>
    <xf numFmtId="0" fontId="0" fillId="4" borderId="1" xfId="0" applyFill="1" applyBorder="1"/>
    <xf numFmtId="0" fontId="2" fillId="3" borderId="1" xfId="0" applyFont="1" applyFill="1" applyBorder="1"/>
    <xf numFmtId="0" fontId="1" fillId="0" borderId="1" xfId="0" applyFont="1" applyBorder="1" applyAlignment="1">
      <alignment horizontal="right"/>
    </xf>
    <xf numFmtId="49" fontId="0" fillId="0" borderId="1" xfId="0" applyNumberFormat="1" applyBorder="1" applyAlignment="1">
      <alignment horizontal="left"/>
    </xf>
    <xf numFmtId="0" fontId="0" fillId="0" borderId="0" xfId="0" applyAlignment="1">
      <alignment horizontal="left"/>
    </xf>
    <xf numFmtId="10" fontId="3" fillId="0" borderId="1" xfId="0" applyNumberFormat="1" applyFont="1" applyBorder="1" applyAlignment="1">
      <alignment horizontal="center"/>
    </xf>
    <xf numFmtId="10" fontId="0" fillId="0" borderId="1" xfId="0" applyNumberFormat="1" applyBorder="1" applyAlignment="1">
      <alignment horizontal="right"/>
    </xf>
    <xf numFmtId="10" fontId="0" fillId="0" borderId="0" xfId="0" applyNumberFormat="1"/>
    <xf numFmtId="0" fontId="0" fillId="0" borderId="0" xfId="0" pivotButton="1"/>
    <xf numFmtId="0" fontId="4" fillId="0" borderId="2" xfId="0" applyFont="1" applyBorder="1" applyAlignment="1">
      <alignment readingOrder="1"/>
    </xf>
    <xf numFmtId="0" fontId="5" fillId="0" borderId="3" xfId="0" applyFont="1" applyBorder="1" applyAlignment="1">
      <alignment readingOrder="1"/>
    </xf>
    <xf numFmtId="0" fontId="5" fillId="5" borderId="3" xfId="0" applyFont="1" applyFill="1" applyBorder="1" applyAlignment="1">
      <alignment readingOrder="1"/>
    </xf>
    <xf numFmtId="0" fontId="5" fillId="6" borderId="3" xfId="0" applyFont="1" applyFill="1" applyBorder="1" applyAlignment="1">
      <alignment readingOrder="1"/>
    </xf>
    <xf numFmtId="0" fontId="5" fillId="0" borderId="4" xfId="0" applyFont="1" applyBorder="1" applyAlignment="1">
      <alignment readingOrder="1"/>
    </xf>
    <xf numFmtId="2" fontId="0" fillId="0" borderId="1" xfId="0" applyNumberFormat="1" applyBorder="1" applyAlignment="1">
      <alignment horizontal="right"/>
    </xf>
    <xf numFmtId="1" fontId="1" fillId="0" borderId="1" xfId="0" applyNumberFormat="1" applyFont="1" applyBorder="1" applyAlignment="1">
      <alignment horizontal="right"/>
    </xf>
    <xf numFmtId="1" fontId="0" fillId="0" borderId="1" xfId="0" applyNumberFormat="1" applyBorder="1" applyAlignment="1">
      <alignment horizontal="right"/>
    </xf>
    <xf numFmtId="1" fontId="0" fillId="2" borderId="1" xfId="0" applyNumberFormat="1" applyFill="1" applyBorder="1" applyAlignment="1">
      <alignment horizontal="right"/>
    </xf>
    <xf numFmtId="1" fontId="0" fillId="0" borderId="0" xfId="0" applyNumberForma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pivotCacheDefinition" Target="pivotCache/pivotCacheDefinition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Relationship Id="rId9" Type="http://schemas.openxmlformats.org/officeDocument/2006/relationships/customXml" Target="../customXml/item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5909.659610532406" createdVersion="8" refreshedVersion="8" minRefreshableVersion="3" recordCount="212" xr:uid="{889ECE35-87C5-470C-A90A-B8C2F0193796}">
  <cacheSource type="worksheet">
    <worksheetSource ref="A1:AG213" sheet="Australian Open"/>
  </cacheSource>
  <cacheFields count="26">
    <cacheField name="Year" numFmtId="49">
      <sharedItems containsMixedTypes="1" containsNumber="1" containsInteger="1" minValue="2023" maxValue="2024"/>
    </cacheField>
    <cacheField name="Gender" numFmtId="0">
      <sharedItems/>
    </cacheField>
    <cacheField name="Champion" numFmtId="0">
      <sharedItems count="110">
        <s v="Madison Keys"/>
        <s v="Jannik Sinner"/>
        <s v="Aryna Sabalenka"/>
        <s v="Novak Djokovic"/>
        <s v="Ashleigh Barty"/>
        <s v="Rafael Nadal"/>
        <s v="Naomi Osaka"/>
        <s v="Sofia Kenin"/>
        <s v="Caroline Wozniacki"/>
        <s v="Roger Federer"/>
        <s v="Serena Williams"/>
        <s v="Angelique Kerber"/>
        <s v="Li Na"/>
        <s v="Stan Wawrinka"/>
        <s v="Victoria Azarenka"/>
        <s v="Kim Clijsters"/>
        <s v="Maria Sharapova"/>
        <s v="Amélie Mauresmo"/>
        <s v="Marat Safin"/>
        <s v="Justine Henin"/>
        <s v="Andre Agassi"/>
        <s v="Jennifer Capriati"/>
        <s v="Thomas Johansson"/>
        <s v="Lindsay Davenport"/>
        <s v="Martina Hingis"/>
        <s v="Yevgeny Kafelnikov"/>
        <s v="Petr Korda"/>
        <s v="Pete Sampras"/>
        <s v="Monica Seles"/>
        <s v="Boris Becker"/>
        <s v="Mary Pierce"/>
        <s v="Steffi Graf"/>
        <s v="Jim Courier"/>
        <s v="Ivan Lendl"/>
        <s v="Mats Wilander"/>
        <s v="Hana Mandlíková"/>
        <s v="Stefan Edberg"/>
        <s v="Martina Navratilova"/>
        <s v="Chris Evert"/>
        <s v="Johan Kriek"/>
        <s v="Brian Teacher"/>
        <s v="Barbara Jordan"/>
        <s v="Guillermo Vilas"/>
        <s v="Chris O'Neil"/>
        <s v="Evonne Goolagong"/>
        <s v="Vitas Gerulaitis"/>
        <s v="Kerry Melville Reid"/>
        <s v="Roscoe Tanner"/>
        <s v="Mark Edmondson"/>
        <s v="John Newcombe"/>
        <s v="Jimmy Connors"/>
        <s v="Margaret Court"/>
        <s v="Virginia Wade"/>
        <s v="Ken Rosewall"/>
        <s v="Arthur Ashe"/>
        <s v="Rod Laver"/>
        <s v="Billie Jean King"/>
        <s v="Bill Bowrey"/>
        <s v="Nancy Richey"/>
        <s v="Roy Emerson"/>
        <s v="Mary Carter Reitano"/>
        <s v="Alex Olmedo"/>
        <s v="Angela Mortimer"/>
        <s v="Ashley Cooper"/>
        <s v="Shirley Fry Irvin"/>
        <s v="Lew Hoad"/>
        <s v="Beryl Penrose"/>
        <s v="Thelma Coyne Long"/>
        <s v="Mervyn Rose"/>
        <s v="Maureen Connolly"/>
        <s v="Ken McGregor"/>
        <s v="Nancye Wynne Bolton"/>
        <s v="Dick Savitt"/>
        <s v="Louise Brough"/>
        <s v="Frank Sedgman"/>
        <s v="Doris Hart"/>
        <s v="Adrian Quist"/>
        <s v="Dinny Pails"/>
        <s v="John Bromwich"/>
        <s v="Emily Hood Westacott"/>
        <s v="Dorothy Cheney"/>
        <s v="Don Budge"/>
        <s v="Vivian McGrath"/>
        <s v="Joan Hartigan"/>
        <s v="Dorothy Round"/>
        <s v="Jack Crawford"/>
        <s v="Fred Perry"/>
        <s v="Coral Buttsworth"/>
        <s v="Daphne Akhurst"/>
        <s v="Edgar Moon"/>
        <s v="John Colin Gregory"/>
        <s v="Jean Borotra"/>
        <s v="Esna Boyd"/>
        <s v="Gerald Patterson"/>
        <s v="John Hawkes"/>
        <s v="James Anderson"/>
        <s v="Sylvia Lance Harper"/>
        <s v="Margaret Molesworth"/>
        <s v="Pat O'Hara Wood"/>
        <s v="Rhys Gemmell"/>
        <s v="Algernon Kingscote"/>
        <s v="Gordon Lowe"/>
        <s v="Arthur O'Hara Wood"/>
        <s v="Ernie Parker"/>
        <s v="James Cecil Parke"/>
        <s v="Norman Brookes"/>
        <s v="Rodney Heath"/>
        <s v="Anthony Wilding"/>
        <s v="Fred Alexander"/>
        <s v="Horace Rice"/>
      </sharedItems>
    </cacheField>
    <cacheField name="Champion Nationality" numFmtId="0">
      <sharedItems/>
    </cacheField>
    <cacheField name="Champion Country" numFmtId="0">
      <sharedItems/>
    </cacheField>
    <cacheField name="Score" numFmtId="0">
      <sharedItems/>
    </cacheField>
    <cacheField name="Champion Seed" numFmtId="0">
      <sharedItems containsBlank="1" containsMixedTypes="1" containsNumber="1" containsInteger="1" minValue="1" maxValue="19"/>
    </cacheField>
    <cacheField name="Mins" numFmtId="0">
      <sharedItems containsString="0" containsBlank="1" containsNumber="1" containsInteger="1" minValue="76" maxValue="224"/>
    </cacheField>
    <cacheField name="1st-won" numFmtId="0">
      <sharedItems containsString="0" containsBlank="1" containsNumber="1" containsInteger="1" minValue="1" maxValue="11"/>
    </cacheField>
    <cacheField name="1st-loss" numFmtId="0">
      <sharedItems containsString="0" containsBlank="1" containsNumber="1" containsInteger="1" minValue="0" maxValue="9"/>
    </cacheField>
    <cacheField name="2nd-won" numFmtId="0">
      <sharedItems containsString="0" containsBlank="1" containsNumber="1" containsInteger="1" minValue="0" maxValue="12"/>
    </cacheField>
    <cacheField name="2nd-loss" numFmtId="0">
      <sharedItems containsString="0" containsBlank="1" containsNumber="1" containsInteger="1" minValue="0" maxValue="11"/>
    </cacheField>
    <cacheField name="3rd-won" numFmtId="0">
      <sharedItems containsString="0" containsBlank="1" containsNumber="1" containsInteger="1" minValue="1" maxValue="9"/>
    </cacheField>
    <cacheField name="3rd-loss" numFmtId="0">
      <sharedItems containsString="0" containsBlank="1" containsNumber="1" containsInteger="1" minValue="0" maxValue="8"/>
    </cacheField>
    <cacheField name="4th-won" numFmtId="0">
      <sharedItems containsString="0" containsBlank="1" containsNumber="1" containsInteger="1" minValue="2" maxValue="18"/>
    </cacheField>
    <cacheField name="4th-loss" numFmtId="0">
      <sharedItems containsString="0" containsBlank="1" containsNumber="1" containsInteger="1" minValue="0" maxValue="16"/>
    </cacheField>
    <cacheField name="5th-won" numFmtId="0">
      <sharedItems containsString="0" containsBlank="1" containsNumber="1" containsInteger="1" minValue="6" maxValue="9"/>
    </cacheField>
    <cacheField name="5th-loss" numFmtId="0">
      <sharedItems containsString="0" containsBlank="1" containsNumber="1" containsInteger="1" minValue="1" maxValue="7"/>
    </cacheField>
    <cacheField name="Total win" numFmtId="0">
      <sharedItems containsSemiMixedTypes="0" containsString="0" containsNumber="1" containsInteger="1" minValue="0" maxValue="36"/>
    </cacheField>
    <cacheField name="Total loss" numFmtId="0">
      <sharedItems containsSemiMixedTypes="0" containsString="0" containsNumber="1" containsInteger="1" minValue="0" maxValue="35"/>
    </cacheField>
    <cacheField name="Match Win rate" numFmtId="10">
      <sharedItems containsMixedTypes="1" containsNumber="1" minValue="0.4838709677419355" maxValue="0.88888888888888884"/>
    </cacheField>
    <cacheField name="How many matches" numFmtId="0">
      <sharedItems containsNonDate="0" containsString="0" containsBlank="1"/>
    </cacheField>
    <cacheField name="Runner-up" numFmtId="0">
      <sharedItems/>
    </cacheField>
    <cacheField name="Runner-up Nationality" numFmtId="0">
      <sharedItems/>
    </cacheField>
    <cacheField name="Runner-up Country" numFmtId="0">
      <sharedItems/>
    </cacheField>
    <cacheField name="Runner-up Seed" numFmtId="0">
      <sharedItems containsBlank="1" containsMixedTypes="1" containsNumber="1" containsInteger="1" minValue="1" maxValue="3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12">
  <r>
    <s v="2025"/>
    <s v="Women's"/>
    <x v="0"/>
    <s v="USA"/>
    <s v="United States"/>
    <s v="6-3,2-6,7-5"/>
    <n v="19"/>
    <n v="122"/>
    <n v="6"/>
    <n v="3"/>
    <n v="2"/>
    <n v="6"/>
    <n v="7"/>
    <n v="5"/>
    <m/>
    <m/>
    <m/>
    <m/>
    <n v="15"/>
    <n v="14"/>
    <n v="0.51724137931034486"/>
    <m/>
    <s v="Aryna Sabalenka"/>
    <s v="BLR"/>
    <s v="Belarus"/>
    <n v="1"/>
  </r>
  <r>
    <s v="2025"/>
    <s v="Men's"/>
    <x v="1"/>
    <s v="ITA"/>
    <s v="Italy"/>
    <s v="6-3,7-6,6-3"/>
    <n v="1"/>
    <n v="162"/>
    <n v="6"/>
    <n v="3"/>
    <n v="7"/>
    <n v="6"/>
    <n v="6"/>
    <n v="3"/>
    <m/>
    <m/>
    <m/>
    <m/>
    <n v="19"/>
    <n v="12"/>
    <n v="0.61290322580645162"/>
    <m/>
    <s v="Alexander Zverev"/>
    <s v="GER"/>
    <s v="Germany"/>
    <n v="2"/>
  </r>
  <r>
    <n v="2024"/>
    <s v="Women's"/>
    <x v="2"/>
    <s v="BLR"/>
    <s v="Belarus"/>
    <s v="6-3, 6-2"/>
    <n v="2"/>
    <n v="76"/>
    <n v="6"/>
    <n v="3"/>
    <n v="6"/>
    <n v="2"/>
    <m/>
    <m/>
    <m/>
    <m/>
    <m/>
    <m/>
    <n v="12"/>
    <n v="5"/>
    <n v="0.70588235294117652"/>
    <m/>
    <s v="Qinwen Zheng"/>
    <s v="CHN"/>
    <s v="China"/>
    <n v="2"/>
  </r>
  <r>
    <n v="2024"/>
    <s v="Men's"/>
    <x v="1"/>
    <s v="ITA"/>
    <s v="Italy"/>
    <s v="3-6, 3-6, 6-4, 6-4, 6-3"/>
    <n v="4"/>
    <n v="224"/>
    <n v="3"/>
    <n v="6"/>
    <n v="3"/>
    <n v="6"/>
    <n v="6"/>
    <n v="4"/>
    <n v="6"/>
    <n v="4"/>
    <n v="6"/>
    <n v="3"/>
    <n v="24"/>
    <n v="23"/>
    <n v="0.51063829787234039"/>
    <m/>
    <s v="Daniil Medvedev"/>
    <s v="RUS"/>
    <s v="Russia"/>
    <n v="3"/>
  </r>
  <r>
    <n v="2023"/>
    <s v="Women's"/>
    <x v="2"/>
    <s v="BLR"/>
    <s v="Belarus"/>
    <s v="4-6, 6-3, 6-4"/>
    <n v="5"/>
    <m/>
    <n v="4"/>
    <n v="6"/>
    <n v="6"/>
    <n v="3"/>
    <n v="6"/>
    <n v="4"/>
    <m/>
    <m/>
    <m/>
    <m/>
    <n v="16"/>
    <n v="13"/>
    <n v="0.55172413793103448"/>
    <m/>
    <s v="Elena Rybakina"/>
    <s v="KAZ"/>
    <s v="Kazakhstan"/>
    <n v="22"/>
  </r>
  <r>
    <n v="2023"/>
    <s v="Men's"/>
    <x v="3"/>
    <s v="SRB"/>
    <s v="Serbia"/>
    <s v="6-3, 7-6(7-4), 7-6(7-5)"/>
    <n v="4"/>
    <m/>
    <n v="6"/>
    <n v="3"/>
    <n v="7"/>
    <n v="6"/>
    <n v="7"/>
    <n v="6"/>
    <m/>
    <m/>
    <m/>
    <m/>
    <n v="20"/>
    <n v="15"/>
    <n v="0.5714285714285714"/>
    <m/>
    <s v="Stefanos Tsitsipas"/>
    <s v="GRE"/>
    <s v="Greece"/>
    <n v="3"/>
  </r>
  <r>
    <s v="2022"/>
    <s v="Women's"/>
    <x v="4"/>
    <s v="AUS"/>
    <s v="Australia"/>
    <s v="6–3, 7–6(7–2)"/>
    <n v="1"/>
    <m/>
    <n v="6"/>
    <n v="3"/>
    <n v="7"/>
    <n v="6"/>
    <m/>
    <m/>
    <m/>
    <m/>
    <m/>
    <m/>
    <n v="13"/>
    <n v="9"/>
    <n v="0.59090909090909094"/>
    <m/>
    <s v="Danielle Collins"/>
    <s v="USA"/>
    <s v="United States"/>
    <n v="27"/>
  </r>
  <r>
    <s v="2022"/>
    <s v="Men's"/>
    <x v="5"/>
    <s v="ESP"/>
    <s v="Spain"/>
    <s v="2–6, 6–7(5–7), 6–4, 6–4, 7–5"/>
    <n v="2"/>
    <m/>
    <n v="2"/>
    <n v="6"/>
    <n v="6"/>
    <n v="7"/>
    <n v="6"/>
    <n v="4"/>
    <n v="6"/>
    <n v="4"/>
    <n v="7"/>
    <n v="5"/>
    <n v="27"/>
    <n v="26"/>
    <n v="0.50943396226415094"/>
    <m/>
    <s v="Daniil Medvedev"/>
    <s v="RUS"/>
    <s v="Russia"/>
    <n v="6"/>
  </r>
  <r>
    <s v="2021"/>
    <s v="Women's"/>
    <x v="6"/>
    <s v="JPN"/>
    <s v="Japan"/>
    <s v="6–4, 6–3"/>
    <n v="3"/>
    <m/>
    <n v="6"/>
    <n v="4"/>
    <n v="6"/>
    <n v="3"/>
    <m/>
    <m/>
    <m/>
    <m/>
    <m/>
    <m/>
    <n v="12"/>
    <n v="7"/>
    <n v="0.63157894736842102"/>
    <m/>
    <s v="Jennifer Brady"/>
    <s v="USA"/>
    <s v="United States"/>
    <n v="22"/>
  </r>
  <r>
    <s v="2021"/>
    <s v="Men's"/>
    <x v="3"/>
    <s v="SRB"/>
    <s v="Serbia"/>
    <s v="7–5, 6–2, 6–2"/>
    <n v="1"/>
    <m/>
    <n v="7"/>
    <n v="5"/>
    <n v="6"/>
    <n v="2"/>
    <n v="6"/>
    <n v="2"/>
    <m/>
    <m/>
    <m/>
    <m/>
    <n v="19"/>
    <n v="9"/>
    <n v="0.6785714285714286"/>
    <m/>
    <s v="Daniil Medvedev"/>
    <s v="RUS"/>
    <s v="Russia"/>
    <n v="4"/>
  </r>
  <r>
    <s v="2020"/>
    <s v="Women's"/>
    <x v="7"/>
    <s v="USA"/>
    <s v="United States"/>
    <s v="4–6, 6–2, 6–2"/>
    <n v="14"/>
    <m/>
    <n v="4"/>
    <n v="6"/>
    <n v="6"/>
    <n v="2"/>
    <n v="6"/>
    <n v="2"/>
    <m/>
    <m/>
    <m/>
    <m/>
    <n v="16"/>
    <n v="10"/>
    <n v="0.61538461538461542"/>
    <m/>
    <s v="Garbiñe Muguruza"/>
    <s v="ESP"/>
    <s v="Spain"/>
    <s v="U"/>
  </r>
  <r>
    <s v="2020"/>
    <s v="Men's"/>
    <x v="3"/>
    <s v="SRB"/>
    <s v="Serbia"/>
    <s v="6–4, 4–6, 2–6, 6–3, 6–4"/>
    <n v="2"/>
    <m/>
    <n v="6"/>
    <n v="4"/>
    <n v="4"/>
    <n v="6"/>
    <n v="2"/>
    <n v="6"/>
    <n v="6"/>
    <n v="3"/>
    <n v="6"/>
    <n v="4"/>
    <n v="24"/>
    <n v="23"/>
    <n v="0.51063829787234039"/>
    <m/>
    <s v="Dominic Thiem"/>
    <s v="AUT"/>
    <s v="Austria"/>
    <n v="5"/>
  </r>
  <r>
    <s v="2019"/>
    <s v="Women's"/>
    <x v="6"/>
    <s v="JPN"/>
    <s v="Japan"/>
    <s v="7–6(7–2), 5–7, 6–4"/>
    <n v="4"/>
    <m/>
    <n v="7"/>
    <n v="6"/>
    <n v="5"/>
    <n v="7"/>
    <n v="6"/>
    <n v="4"/>
    <m/>
    <m/>
    <m/>
    <m/>
    <n v="18"/>
    <n v="17"/>
    <n v="0.51428571428571423"/>
    <m/>
    <s v="Petra Kvitová"/>
    <s v="CZE"/>
    <s v="Czechia"/>
    <n v="8"/>
  </r>
  <r>
    <s v="2019"/>
    <s v="Men's"/>
    <x v="3"/>
    <s v="SRB"/>
    <s v="Serbia"/>
    <s v="6–3, 6–2, 6–3"/>
    <n v="1"/>
    <m/>
    <n v="6"/>
    <n v="3"/>
    <n v="6"/>
    <n v="2"/>
    <n v="6"/>
    <n v="3"/>
    <m/>
    <m/>
    <m/>
    <m/>
    <n v="18"/>
    <n v="8"/>
    <n v="0.69230769230769229"/>
    <m/>
    <s v="Rafael Nadal"/>
    <s v="ESP"/>
    <s v="Spain"/>
    <n v="2"/>
  </r>
  <r>
    <s v="2018"/>
    <s v="Women's"/>
    <x v="8"/>
    <s v="DEN"/>
    <s v="Denmark"/>
    <s v="7–6(7–2), 3–6, 6–4"/>
    <n v="2"/>
    <m/>
    <n v="7"/>
    <n v="6"/>
    <n v="3"/>
    <n v="6"/>
    <n v="6"/>
    <n v="4"/>
    <m/>
    <m/>
    <m/>
    <m/>
    <n v="16"/>
    <n v="16"/>
    <n v="0.5"/>
    <m/>
    <s v="Simona Halep"/>
    <s v="ROU"/>
    <s v="Romania"/>
    <n v="1"/>
  </r>
  <r>
    <s v="2018"/>
    <s v="Men's"/>
    <x v="9"/>
    <s v="SUI"/>
    <s v="Switzerland"/>
    <s v="6–2, 6–7(5–7), 6–3, 3–6, 6–1"/>
    <n v="2"/>
    <m/>
    <n v="6"/>
    <n v="2"/>
    <n v="6"/>
    <n v="7"/>
    <n v="6"/>
    <n v="3"/>
    <n v="3"/>
    <n v="6"/>
    <n v="6"/>
    <n v="1"/>
    <n v="27"/>
    <n v="19"/>
    <n v="0.58695652173913049"/>
    <m/>
    <s v="Marin Čilić"/>
    <s v="CRO"/>
    <s v="Croatia"/>
    <n v="6"/>
  </r>
  <r>
    <s v="2017"/>
    <s v="Women's"/>
    <x v="10"/>
    <s v="USA"/>
    <s v="United States"/>
    <s v="6–4, 6–4"/>
    <n v="2"/>
    <m/>
    <n v="6"/>
    <n v="4"/>
    <n v="6"/>
    <n v="4"/>
    <m/>
    <m/>
    <m/>
    <m/>
    <m/>
    <m/>
    <n v="12"/>
    <n v="8"/>
    <n v="0.6"/>
    <m/>
    <s v="Venus Williams"/>
    <s v="USA"/>
    <s v="United States"/>
    <n v="13"/>
  </r>
  <r>
    <s v="2017"/>
    <s v="Men's"/>
    <x v="9"/>
    <s v="SUI"/>
    <s v="Switzerland"/>
    <s v="6–4, 3–6, 6–1, 3–6, 6–3"/>
    <n v="17"/>
    <m/>
    <n v="6"/>
    <n v="4"/>
    <n v="3"/>
    <n v="6"/>
    <n v="6"/>
    <n v="1"/>
    <n v="3"/>
    <n v="6"/>
    <n v="6"/>
    <n v="3"/>
    <n v="24"/>
    <n v="20"/>
    <n v="0.54545454545454541"/>
    <m/>
    <s v="Rafael Nadal"/>
    <s v="ESP"/>
    <s v="Spain"/>
    <n v="9"/>
  </r>
  <r>
    <s v="2016"/>
    <s v="Women's"/>
    <x v="11"/>
    <s v="GER"/>
    <s v="Germany"/>
    <s v="6–4, 3–6, 6–4"/>
    <n v="7"/>
    <m/>
    <n v="6"/>
    <n v="4"/>
    <n v="3"/>
    <n v="6"/>
    <n v="6"/>
    <n v="4"/>
    <m/>
    <m/>
    <m/>
    <m/>
    <n v="15"/>
    <n v="14"/>
    <n v="0.51724137931034486"/>
    <m/>
    <s v="Serena Williams"/>
    <s v="USA"/>
    <s v="United States"/>
    <n v="1"/>
  </r>
  <r>
    <s v="2016"/>
    <s v="Men's"/>
    <x v="3"/>
    <s v="SRB"/>
    <s v="Serbia"/>
    <s v="6–1, 7–5, 7–6(7–3)"/>
    <n v="1"/>
    <m/>
    <n v="6"/>
    <n v="1"/>
    <n v="7"/>
    <n v="5"/>
    <n v="7"/>
    <n v="6"/>
    <m/>
    <m/>
    <m/>
    <m/>
    <n v="20"/>
    <n v="12"/>
    <n v="0.625"/>
    <m/>
    <s v="Andy Murray"/>
    <s v="GBR"/>
    <s v="United Kingdom"/>
    <n v="2"/>
  </r>
  <r>
    <s v="2015"/>
    <s v="Women's"/>
    <x v="10"/>
    <s v="USA"/>
    <s v="United States"/>
    <s v="6–3, 7–6(7–5)"/>
    <n v="1"/>
    <m/>
    <n v="6"/>
    <n v="3"/>
    <n v="7"/>
    <n v="6"/>
    <m/>
    <m/>
    <m/>
    <m/>
    <m/>
    <m/>
    <n v="13"/>
    <n v="9"/>
    <n v="0.59090909090909094"/>
    <m/>
    <s v="Maria Sharapova"/>
    <s v="RUS"/>
    <s v="Russia"/>
    <n v="2"/>
  </r>
  <r>
    <s v="2015"/>
    <s v="Men's"/>
    <x v="3"/>
    <s v="SRB"/>
    <s v="Serbia"/>
    <s v="7–6(7–5), 6–7(4–7), 6–3, 6–0"/>
    <n v="1"/>
    <m/>
    <n v="7"/>
    <n v="6"/>
    <n v="6"/>
    <n v="7"/>
    <n v="6"/>
    <n v="3"/>
    <n v="6"/>
    <n v="0"/>
    <m/>
    <m/>
    <n v="25"/>
    <n v="16"/>
    <n v="0.6097560975609756"/>
    <m/>
    <s v="Andy Murray"/>
    <s v="GBR"/>
    <s v="United Kingdom"/>
    <n v="6"/>
  </r>
  <r>
    <s v="2014"/>
    <s v="Women's"/>
    <x v="12"/>
    <s v="CHN"/>
    <s v="China"/>
    <s v="7–6(7–3), 6–0"/>
    <n v="4"/>
    <m/>
    <n v="7"/>
    <n v="6"/>
    <n v="6"/>
    <n v="0"/>
    <m/>
    <m/>
    <m/>
    <m/>
    <m/>
    <m/>
    <n v="13"/>
    <n v="6"/>
    <n v="0.68421052631578949"/>
    <m/>
    <s v="Dominika Cibulková"/>
    <s v="SVK"/>
    <s v="Slovakia"/>
    <n v="20"/>
  </r>
  <r>
    <s v="2014"/>
    <s v="Men's"/>
    <x v="13"/>
    <s v="SUI"/>
    <s v="Switzerland"/>
    <s v="6–3, 6–2, 3–6, 6–3"/>
    <n v="8"/>
    <m/>
    <n v="6"/>
    <n v="3"/>
    <n v="6"/>
    <n v="2"/>
    <n v="3"/>
    <n v="6"/>
    <n v="6"/>
    <n v="3"/>
    <m/>
    <m/>
    <n v="21"/>
    <n v="14"/>
    <n v="0.6"/>
    <m/>
    <s v="Rafael Nadal"/>
    <s v="ESP"/>
    <s v="Spain"/>
    <n v="1"/>
  </r>
  <r>
    <s v="2013"/>
    <s v="Women's"/>
    <x v="14"/>
    <s v="BLR"/>
    <s v="Belarus"/>
    <s v="4–6, 6–4, 6–3"/>
    <n v="1"/>
    <m/>
    <n v="4"/>
    <n v="6"/>
    <n v="6"/>
    <n v="4"/>
    <n v="6"/>
    <n v="3"/>
    <m/>
    <m/>
    <m/>
    <m/>
    <n v="16"/>
    <n v="13"/>
    <n v="0.55172413793103448"/>
    <m/>
    <s v="Li Na"/>
    <s v="CHN"/>
    <s v="China"/>
    <n v="6"/>
  </r>
  <r>
    <s v="2013"/>
    <s v="Men's"/>
    <x v="3"/>
    <s v="SRB"/>
    <s v="Serbia"/>
    <s v="6–7(2–7), 7–6(7–3), 6–3, 6–2"/>
    <n v="1"/>
    <m/>
    <n v="6"/>
    <n v="7"/>
    <n v="7"/>
    <n v="6"/>
    <n v="6"/>
    <n v="3"/>
    <n v="6"/>
    <n v="2"/>
    <m/>
    <m/>
    <n v="25"/>
    <n v="18"/>
    <n v="0.58139534883720934"/>
    <m/>
    <s v="Andy Murray"/>
    <s v="GBR"/>
    <s v="United Kingdom"/>
    <n v="3"/>
  </r>
  <r>
    <s v="2012"/>
    <s v="Women's"/>
    <x v="14"/>
    <s v="BLR"/>
    <s v="Belarus"/>
    <s v="6–3, 6–0"/>
    <n v="3"/>
    <m/>
    <n v="6"/>
    <n v="3"/>
    <n v="6"/>
    <n v="0"/>
    <m/>
    <m/>
    <m/>
    <m/>
    <m/>
    <m/>
    <n v="12"/>
    <n v="3"/>
    <n v="0.8"/>
    <m/>
    <s v="Maria Sharapova"/>
    <s v="RUS"/>
    <s v="Russia"/>
    <n v="4"/>
  </r>
  <r>
    <s v="2012"/>
    <s v="Men's"/>
    <x v="3"/>
    <s v="SRB"/>
    <s v="Serbia"/>
    <s v="5–7, 6–4, 6–2, 6–7(5–7), 7–5"/>
    <n v="1"/>
    <m/>
    <n v="5"/>
    <n v="7"/>
    <n v="6"/>
    <n v="4"/>
    <n v="6"/>
    <n v="2"/>
    <n v="6"/>
    <n v="7"/>
    <n v="7"/>
    <n v="5"/>
    <n v="30"/>
    <n v="25"/>
    <n v="0.54545454545454541"/>
    <m/>
    <s v="Rafael Nadal"/>
    <s v="ESP"/>
    <s v="Spain"/>
    <n v="2"/>
  </r>
  <r>
    <s v="2011"/>
    <s v="Women's"/>
    <x v="15"/>
    <s v="BEL"/>
    <s v="Belgium"/>
    <s v="3–6, 6–3, 6–3"/>
    <n v="3"/>
    <m/>
    <n v="3"/>
    <n v="6"/>
    <n v="6"/>
    <n v="3"/>
    <n v="6"/>
    <n v="3"/>
    <m/>
    <m/>
    <m/>
    <m/>
    <n v="15"/>
    <n v="12"/>
    <n v="0.55555555555555558"/>
    <m/>
    <s v="Li Na"/>
    <s v="CHN"/>
    <s v="China"/>
    <n v="9"/>
  </r>
  <r>
    <s v="2011"/>
    <s v="Men's"/>
    <x v="3"/>
    <s v="SRB"/>
    <s v="Serbia"/>
    <s v="6–4, 6–2, 6–3"/>
    <n v="3"/>
    <m/>
    <n v="6"/>
    <n v="4"/>
    <n v="6"/>
    <n v="2"/>
    <n v="6"/>
    <n v="3"/>
    <m/>
    <m/>
    <m/>
    <m/>
    <n v="18"/>
    <n v="9"/>
    <n v="0.66666666666666663"/>
    <m/>
    <s v="Andy Murray"/>
    <s v="GBR"/>
    <s v="United Kingdom"/>
    <n v="5"/>
  </r>
  <r>
    <s v="2010"/>
    <s v="Women's"/>
    <x v="10"/>
    <s v="USA"/>
    <s v="United States"/>
    <s v="6–4, 3–6, 6–2"/>
    <n v="1"/>
    <m/>
    <n v="6"/>
    <n v="4"/>
    <n v="3"/>
    <n v="6"/>
    <n v="6"/>
    <n v="2"/>
    <m/>
    <m/>
    <m/>
    <m/>
    <n v="15"/>
    <n v="12"/>
    <n v="0.55555555555555558"/>
    <m/>
    <s v="Justine Henin"/>
    <s v="BEL"/>
    <s v="Belgium"/>
    <s v="U"/>
  </r>
  <r>
    <s v="2010"/>
    <s v="Men's"/>
    <x v="9"/>
    <s v="SUI"/>
    <s v="Switzerland"/>
    <s v="6–3, 6–4, 7–6(13–11)"/>
    <n v="1"/>
    <m/>
    <n v="6"/>
    <n v="3"/>
    <n v="6"/>
    <n v="4"/>
    <n v="7"/>
    <n v="6"/>
    <m/>
    <m/>
    <m/>
    <m/>
    <n v="19"/>
    <n v="13"/>
    <n v="0.59375"/>
    <m/>
    <s v="Andy Murray"/>
    <s v="GBR"/>
    <s v="United Kingdom"/>
    <n v="5"/>
  </r>
  <r>
    <s v="2009"/>
    <s v="Women's"/>
    <x v="10"/>
    <s v="USA"/>
    <s v="United States"/>
    <s v="6–0, 6–3"/>
    <n v="2"/>
    <m/>
    <n v="6"/>
    <n v="0"/>
    <n v="6"/>
    <n v="3"/>
    <m/>
    <m/>
    <m/>
    <m/>
    <m/>
    <m/>
    <n v="12"/>
    <n v="3"/>
    <n v="0.8"/>
    <m/>
    <s v="Dinara Safina"/>
    <s v="RUS"/>
    <s v="Russia"/>
    <n v="3"/>
  </r>
  <r>
    <s v="2009"/>
    <s v="Men's"/>
    <x v="5"/>
    <s v="ESP"/>
    <s v="Spain"/>
    <s v="7–5, 3–6, 7–6(7–3), 3–6, 6–2"/>
    <n v="1"/>
    <m/>
    <n v="7"/>
    <n v="5"/>
    <n v="3"/>
    <n v="6"/>
    <n v="7"/>
    <n v="6"/>
    <n v="3"/>
    <n v="6"/>
    <n v="6"/>
    <n v="2"/>
    <n v="26"/>
    <n v="25"/>
    <n v="0.50980392156862742"/>
    <m/>
    <s v="Roger Federer"/>
    <s v="SUI"/>
    <s v="Switzerland"/>
    <n v="2"/>
  </r>
  <r>
    <s v="2008"/>
    <s v="Women's"/>
    <x v="16"/>
    <s v="RUS"/>
    <s v="Russia"/>
    <s v="7–5, 6–3"/>
    <n v="5"/>
    <m/>
    <n v="7"/>
    <n v="5"/>
    <n v="6"/>
    <n v="3"/>
    <m/>
    <m/>
    <m/>
    <m/>
    <m/>
    <m/>
    <n v="13"/>
    <n v="8"/>
    <n v="0.61904761904761907"/>
    <m/>
    <s v="Ana Ivanovic"/>
    <s v="SRB"/>
    <s v="Serbia"/>
    <n v="4"/>
  </r>
  <r>
    <s v="2008"/>
    <s v="Men's"/>
    <x v="3"/>
    <s v="SRB"/>
    <s v="Serbia"/>
    <s v="4–6, 6–4, 6–3, 7–6(7–2)"/>
    <n v="3"/>
    <m/>
    <n v="4"/>
    <n v="6"/>
    <n v="6"/>
    <n v="4"/>
    <n v="6"/>
    <n v="3"/>
    <n v="7"/>
    <n v="6"/>
    <m/>
    <m/>
    <n v="23"/>
    <n v="19"/>
    <n v="0.54761904761904767"/>
    <m/>
    <s v="Jo-Wilfried Tsonga"/>
    <s v="FRA"/>
    <s v="France"/>
    <s v="U"/>
  </r>
  <r>
    <s v="2007"/>
    <s v="Women's"/>
    <x v="10"/>
    <s v="USA"/>
    <s v="United States"/>
    <s v="6–1, 6–2"/>
    <s v="U"/>
    <m/>
    <n v="6"/>
    <n v="1"/>
    <n v="6"/>
    <n v="2"/>
    <m/>
    <m/>
    <m/>
    <m/>
    <m/>
    <m/>
    <n v="12"/>
    <n v="3"/>
    <n v="0.8"/>
    <m/>
    <s v="Maria Sharapova"/>
    <s v="RUS"/>
    <s v="Russia"/>
    <n v="1"/>
  </r>
  <r>
    <s v="2007"/>
    <s v="Men's"/>
    <x v="9"/>
    <s v="SUI"/>
    <s v="Switzerland"/>
    <s v="7–6(7–2), 6–4, 6–4"/>
    <n v="1"/>
    <m/>
    <n v="7"/>
    <n v="6"/>
    <n v="6"/>
    <n v="4"/>
    <n v="6"/>
    <n v="4"/>
    <m/>
    <m/>
    <m/>
    <m/>
    <n v="19"/>
    <n v="14"/>
    <n v="0.5757575757575758"/>
    <m/>
    <s v="Fernando González"/>
    <s v="CHI"/>
    <s v="Chile"/>
    <n v="10"/>
  </r>
  <r>
    <s v="2006"/>
    <s v="Women's"/>
    <x v="17"/>
    <s v="FRA"/>
    <s v="France"/>
    <s v="6–1, 2–0 retired"/>
    <n v="3"/>
    <m/>
    <n v="6"/>
    <n v="1"/>
    <n v="2"/>
    <n v="0"/>
    <m/>
    <m/>
    <m/>
    <m/>
    <m/>
    <m/>
    <n v="8"/>
    <n v="1"/>
    <n v="0.88888888888888884"/>
    <m/>
    <s v="Justine Henin"/>
    <s v="BEL"/>
    <s v="Belgium"/>
    <n v="8"/>
  </r>
  <r>
    <s v="2006"/>
    <s v="Men's"/>
    <x v="9"/>
    <s v="SUI"/>
    <s v="Switzerland"/>
    <s v="5–7, 7–5, 6–0, 6–2"/>
    <n v="1"/>
    <m/>
    <n v="5"/>
    <n v="7"/>
    <n v="7"/>
    <n v="5"/>
    <n v="6"/>
    <n v="0"/>
    <n v="6"/>
    <n v="2"/>
    <m/>
    <m/>
    <n v="24"/>
    <n v="14"/>
    <n v="0.63157894736842102"/>
    <m/>
    <s v="Marcos Baghdatis"/>
    <s v="CYP"/>
    <s v="Cyprus"/>
    <s v="U"/>
  </r>
  <r>
    <s v="2005"/>
    <s v="Women's"/>
    <x v="10"/>
    <s v="USA"/>
    <s v="United States"/>
    <s v="2–6, 6–3, 6–0"/>
    <n v="7"/>
    <m/>
    <n v="2"/>
    <n v="6"/>
    <n v="6"/>
    <n v="3"/>
    <n v="6"/>
    <n v="0"/>
    <m/>
    <m/>
    <m/>
    <m/>
    <n v="14"/>
    <n v="9"/>
    <n v="0.60869565217391308"/>
    <m/>
    <s v="Lindsay Davenport"/>
    <s v="USA"/>
    <s v="United States"/>
    <n v="1"/>
  </r>
  <r>
    <s v="2005"/>
    <s v="Men's"/>
    <x v="18"/>
    <s v="RUS"/>
    <s v="Russia"/>
    <s v="1–6, 6–3, 6–4, 6–4"/>
    <n v="4"/>
    <m/>
    <n v="1"/>
    <n v="6"/>
    <n v="6"/>
    <n v="3"/>
    <n v="6"/>
    <n v="4"/>
    <n v="6"/>
    <n v="4"/>
    <m/>
    <m/>
    <n v="19"/>
    <n v="17"/>
    <n v="0.52777777777777779"/>
    <m/>
    <s v="Lleyton Hewitt"/>
    <s v="AUS"/>
    <s v="Australia"/>
    <n v="3"/>
  </r>
  <r>
    <s v="2004"/>
    <s v="Women's"/>
    <x v="19"/>
    <s v="BEL"/>
    <s v="Belgium"/>
    <s v="6–3, 4–6, 6–3"/>
    <n v="1"/>
    <m/>
    <n v="6"/>
    <n v="3"/>
    <n v="4"/>
    <n v="6"/>
    <n v="6"/>
    <n v="3"/>
    <m/>
    <m/>
    <m/>
    <m/>
    <n v="16"/>
    <n v="12"/>
    <n v="0.5714285714285714"/>
    <m/>
    <s v="Kim Clijsters"/>
    <s v="BEL"/>
    <s v="Belgium"/>
    <n v="2"/>
  </r>
  <r>
    <s v="2004"/>
    <s v="Men's"/>
    <x v="9"/>
    <s v="SUI"/>
    <s v="Switzerland"/>
    <s v="7–6(7–3), 6–4, 6–2"/>
    <n v="2"/>
    <m/>
    <n v="7"/>
    <n v="6"/>
    <n v="6"/>
    <n v="4"/>
    <n v="6"/>
    <n v="2"/>
    <m/>
    <m/>
    <m/>
    <m/>
    <n v="19"/>
    <n v="12"/>
    <n v="0.61290322580645162"/>
    <m/>
    <s v="Marat Safin"/>
    <s v="RUS"/>
    <s v="Russia"/>
    <s v="U"/>
  </r>
  <r>
    <s v="2003"/>
    <s v="Women's"/>
    <x v="10"/>
    <s v="USA"/>
    <s v="United States"/>
    <s v="7–6(7–4), 3–6, 6–4"/>
    <n v="1"/>
    <m/>
    <n v="7"/>
    <n v="6"/>
    <n v="3"/>
    <n v="6"/>
    <n v="6"/>
    <n v="4"/>
    <m/>
    <m/>
    <m/>
    <m/>
    <n v="16"/>
    <n v="16"/>
    <n v="0.5"/>
    <m/>
    <s v="Venus Williams"/>
    <s v="USA"/>
    <s v="United States"/>
    <n v="2"/>
  </r>
  <r>
    <s v="2003"/>
    <s v="Men's"/>
    <x v="20"/>
    <s v="USA"/>
    <s v="United States"/>
    <s v="6–2, 6–2, 6–1"/>
    <n v="2"/>
    <m/>
    <n v="6"/>
    <n v="2"/>
    <n v="6"/>
    <n v="2"/>
    <n v="6"/>
    <n v="1"/>
    <m/>
    <m/>
    <m/>
    <m/>
    <n v="18"/>
    <n v="5"/>
    <n v="0.78260869565217395"/>
    <m/>
    <s v="Rainer Schüttler"/>
    <s v="GER"/>
    <s v="Germany"/>
    <n v="31"/>
  </r>
  <r>
    <s v="2002"/>
    <s v="Women's"/>
    <x v="21"/>
    <s v="USA"/>
    <s v="United States"/>
    <s v="4–6, 7–6(9–7), 6–2"/>
    <n v="1"/>
    <m/>
    <n v="4"/>
    <n v="6"/>
    <n v="7"/>
    <n v="6"/>
    <n v="6"/>
    <n v="2"/>
    <m/>
    <m/>
    <m/>
    <m/>
    <n v="17"/>
    <n v="14"/>
    <n v="0.54838709677419351"/>
    <m/>
    <s v="Martina Hingis"/>
    <s v="SUI"/>
    <s v="Switzerland"/>
    <n v="3"/>
  </r>
  <r>
    <s v="2002"/>
    <s v="Men's"/>
    <x v="22"/>
    <s v="SWE"/>
    <s v="Sweden"/>
    <s v="3–6, 6–4, 6–4, 7–6(7–4)"/>
    <n v="16"/>
    <m/>
    <n v="3"/>
    <n v="6"/>
    <n v="6"/>
    <n v="4"/>
    <n v="6"/>
    <n v="4"/>
    <n v="7"/>
    <n v="6"/>
    <m/>
    <m/>
    <n v="22"/>
    <n v="20"/>
    <n v="0.52380952380952384"/>
    <m/>
    <s v="Marat Safin"/>
    <s v="RUS"/>
    <s v="Russia"/>
    <n v="9"/>
  </r>
  <r>
    <s v="2001"/>
    <s v="Women's"/>
    <x v="21"/>
    <s v="USA"/>
    <s v="United States"/>
    <s v="6–4, 6–3"/>
    <n v="12"/>
    <m/>
    <n v="6"/>
    <n v="4"/>
    <n v="6"/>
    <n v="3"/>
    <m/>
    <m/>
    <m/>
    <m/>
    <m/>
    <m/>
    <n v="12"/>
    <n v="7"/>
    <n v="0.63157894736842102"/>
    <m/>
    <s v="Martina Hingis"/>
    <s v="SUI"/>
    <s v="Switzerland"/>
    <n v="1"/>
  </r>
  <r>
    <s v="2001"/>
    <s v="Men's"/>
    <x v="20"/>
    <s v="USA"/>
    <s v="United States"/>
    <s v="6–4, 6–2, 6–2"/>
    <n v="6"/>
    <m/>
    <n v="6"/>
    <n v="4"/>
    <n v="6"/>
    <n v="2"/>
    <n v="6"/>
    <n v="2"/>
    <m/>
    <m/>
    <m/>
    <m/>
    <n v="18"/>
    <n v="8"/>
    <n v="0.69230769230769229"/>
    <m/>
    <s v="Arnaud Clément"/>
    <s v="FRA"/>
    <s v="France"/>
    <n v="15"/>
  </r>
  <r>
    <s v="2000"/>
    <s v="Women's"/>
    <x v="23"/>
    <s v="USA"/>
    <s v="United States"/>
    <s v="6–1, 7–5"/>
    <n v="2"/>
    <m/>
    <n v="6"/>
    <n v="1"/>
    <n v="7"/>
    <n v="5"/>
    <m/>
    <m/>
    <m/>
    <m/>
    <m/>
    <m/>
    <n v="13"/>
    <n v="6"/>
    <n v="0.68421052631578949"/>
    <m/>
    <s v="Martina Hingis"/>
    <s v="SUI"/>
    <s v="Switzerland"/>
    <n v="1"/>
  </r>
  <r>
    <s v="2000"/>
    <s v="Men's"/>
    <x v="20"/>
    <s v="USA"/>
    <s v="United States"/>
    <s v="3–6, 6–3, 6–2, 6–4"/>
    <n v="1"/>
    <m/>
    <n v="3"/>
    <n v="6"/>
    <n v="6"/>
    <n v="3"/>
    <n v="6"/>
    <n v="2"/>
    <n v="6"/>
    <n v="4"/>
    <m/>
    <m/>
    <n v="21"/>
    <n v="15"/>
    <n v="0.58333333333333337"/>
    <m/>
    <s v="Yevgeny Kafelnikov"/>
    <s v="RUS"/>
    <s v="Russia"/>
    <n v="2"/>
  </r>
  <r>
    <s v="1999"/>
    <s v="Women's"/>
    <x v="24"/>
    <s v="SUI"/>
    <s v="Switzerland"/>
    <s v="6–2, 6–3"/>
    <n v="2"/>
    <m/>
    <n v="6"/>
    <n v="2"/>
    <n v="6"/>
    <n v="3"/>
    <m/>
    <m/>
    <m/>
    <m/>
    <m/>
    <m/>
    <n v="12"/>
    <n v="5"/>
    <n v="0.70588235294117652"/>
    <m/>
    <s v="Amélie Mauresmo"/>
    <s v="FRA"/>
    <s v="France"/>
    <s v="U"/>
  </r>
  <r>
    <s v="1999"/>
    <s v="Men's"/>
    <x v="25"/>
    <s v="RUS"/>
    <s v="Russia"/>
    <s v="4–6, 6–0, 6–3, 7–6(7–1)"/>
    <n v="10"/>
    <m/>
    <n v="4"/>
    <n v="6"/>
    <n v="6"/>
    <n v="0"/>
    <n v="6"/>
    <n v="3"/>
    <n v="7"/>
    <n v="6"/>
    <m/>
    <m/>
    <n v="23"/>
    <n v="15"/>
    <n v="0.60526315789473684"/>
    <m/>
    <s v="Thomas Enqvist"/>
    <s v="SWE"/>
    <s v="Sweden"/>
    <s v="U"/>
  </r>
  <r>
    <s v="1998"/>
    <s v="Women's"/>
    <x v="24"/>
    <s v="SUI"/>
    <s v="Switzerland"/>
    <s v="6–3, 6–3"/>
    <n v="1"/>
    <m/>
    <n v="6"/>
    <n v="3"/>
    <n v="6"/>
    <n v="3"/>
    <m/>
    <m/>
    <m/>
    <m/>
    <m/>
    <m/>
    <n v="12"/>
    <n v="6"/>
    <n v="0.66666666666666663"/>
    <m/>
    <s v="Conchita Martínez"/>
    <s v="ESP"/>
    <s v="Spain"/>
    <n v="8"/>
  </r>
  <r>
    <s v="1998"/>
    <s v="Men's"/>
    <x v="26"/>
    <s v="CZE"/>
    <s v="Czechia"/>
    <s v="6–2, 6–2, 6–2"/>
    <n v="6"/>
    <m/>
    <n v="6"/>
    <n v="2"/>
    <n v="6"/>
    <n v="2"/>
    <n v="6"/>
    <n v="2"/>
    <m/>
    <m/>
    <m/>
    <m/>
    <n v="18"/>
    <n v="6"/>
    <n v="0.75"/>
    <m/>
    <s v="Marcelo Ríos"/>
    <s v="CHI"/>
    <s v="Chile"/>
    <n v="9"/>
  </r>
  <r>
    <s v="1997"/>
    <s v="Women's"/>
    <x v="24"/>
    <s v="SUI"/>
    <s v="Switzerland"/>
    <s v="6–2, 6–2"/>
    <n v="4"/>
    <m/>
    <n v="6"/>
    <n v="2"/>
    <n v="6"/>
    <n v="2"/>
    <m/>
    <m/>
    <m/>
    <m/>
    <m/>
    <m/>
    <n v="12"/>
    <n v="4"/>
    <n v="0.75"/>
    <m/>
    <s v="Mary Pierce"/>
    <s v="FRA"/>
    <s v="France"/>
    <s v="U"/>
  </r>
  <r>
    <s v="1997"/>
    <s v="Men's"/>
    <x v="27"/>
    <s v="USA"/>
    <s v="United States"/>
    <s v="6–2, 6–3, 6–3"/>
    <n v="1"/>
    <m/>
    <n v="6"/>
    <n v="2"/>
    <n v="6"/>
    <n v="3"/>
    <n v="6"/>
    <n v="3"/>
    <m/>
    <m/>
    <m/>
    <m/>
    <n v="18"/>
    <n v="8"/>
    <n v="0.69230769230769229"/>
    <m/>
    <s v="Carlos Moyá"/>
    <s v="ESP"/>
    <s v="Spain"/>
    <s v="U"/>
  </r>
  <r>
    <s v="1996"/>
    <s v="Women's"/>
    <x v="28"/>
    <s v="USA"/>
    <s v="United States"/>
    <s v="6–4, 6–1"/>
    <n v="1"/>
    <m/>
    <n v="6"/>
    <n v="4"/>
    <n v="6"/>
    <n v="1"/>
    <m/>
    <m/>
    <m/>
    <m/>
    <m/>
    <m/>
    <n v="12"/>
    <n v="5"/>
    <n v="0.70588235294117652"/>
    <m/>
    <s v="Anke Huber"/>
    <s v="GER"/>
    <s v="Germany"/>
    <n v="8"/>
  </r>
  <r>
    <s v="1996"/>
    <s v="Men's"/>
    <x v="29"/>
    <s v="GER"/>
    <s v="Germany"/>
    <s v="6–2, 6–4, 2–6, 6–2"/>
    <n v="4"/>
    <m/>
    <n v="6"/>
    <n v="2"/>
    <n v="6"/>
    <n v="4"/>
    <n v="2"/>
    <n v="6"/>
    <n v="6"/>
    <n v="2"/>
    <m/>
    <m/>
    <n v="20"/>
    <n v="14"/>
    <n v="0.58823529411764708"/>
    <m/>
    <s v="Michael Chang"/>
    <s v="USA"/>
    <s v="United States"/>
    <n v="5"/>
  </r>
  <r>
    <s v="1995"/>
    <s v="Women's"/>
    <x v="30"/>
    <s v="FRA"/>
    <s v="France"/>
    <s v="6–3, 6–2"/>
    <n v="4"/>
    <m/>
    <n v="6"/>
    <n v="3"/>
    <n v="6"/>
    <n v="2"/>
    <m/>
    <m/>
    <m/>
    <m/>
    <m/>
    <m/>
    <n v="12"/>
    <n v="5"/>
    <n v="0.70588235294117652"/>
    <m/>
    <s v="Arantxa Sánchez Vicario"/>
    <s v="ESP"/>
    <s v="Spain"/>
    <n v="1"/>
  </r>
  <r>
    <s v="1995"/>
    <s v="Men's"/>
    <x v="20"/>
    <s v="USA"/>
    <s v="United States"/>
    <s v="4–6, 6–1, 7–6(8–6), 6–4"/>
    <n v="2"/>
    <m/>
    <n v="4"/>
    <n v="6"/>
    <n v="6"/>
    <n v="1"/>
    <n v="7"/>
    <n v="6"/>
    <n v="6"/>
    <n v="4"/>
    <m/>
    <m/>
    <n v="23"/>
    <n v="17"/>
    <n v="0.57499999999999996"/>
    <m/>
    <s v="Pete Sampras"/>
    <s v="USA"/>
    <s v="United States"/>
    <n v="1"/>
  </r>
  <r>
    <s v="1994"/>
    <s v="Women's"/>
    <x v="31"/>
    <s v="GER"/>
    <s v="Germany"/>
    <s v="6–0, 6–2"/>
    <n v="1"/>
    <m/>
    <n v="6"/>
    <n v="0"/>
    <n v="6"/>
    <n v="2"/>
    <m/>
    <m/>
    <m/>
    <m/>
    <m/>
    <m/>
    <n v="12"/>
    <n v="2"/>
    <n v="0.8571428571428571"/>
    <m/>
    <s v="Arantxa Sánchez Vicario"/>
    <s v="ESP"/>
    <s v="Spain"/>
    <n v="2"/>
  </r>
  <r>
    <s v="1994"/>
    <s v="Men's"/>
    <x v="27"/>
    <s v="USA"/>
    <s v="United States"/>
    <s v="7–6(7–4), 6–4, 6–4"/>
    <n v="1"/>
    <m/>
    <n v="7"/>
    <n v="6"/>
    <n v="6"/>
    <n v="4"/>
    <n v="6"/>
    <n v="4"/>
    <m/>
    <m/>
    <m/>
    <m/>
    <n v="19"/>
    <n v="14"/>
    <n v="0.5757575757575758"/>
    <m/>
    <s v="Todd Martin"/>
    <s v="USA"/>
    <s v="United States"/>
    <n v="9"/>
  </r>
  <r>
    <s v="1993"/>
    <s v="Women's"/>
    <x v="28"/>
    <s v="YUG"/>
    <s v="Yugoslavia"/>
    <s v="4–6, 6–3, 6–2"/>
    <n v="1"/>
    <m/>
    <n v="4"/>
    <n v="6"/>
    <n v="6"/>
    <n v="3"/>
    <n v="6"/>
    <n v="2"/>
    <m/>
    <m/>
    <m/>
    <m/>
    <n v="16"/>
    <n v="11"/>
    <n v="0.59259259259259256"/>
    <m/>
    <s v="Steffi Graf"/>
    <s v="GER"/>
    <s v="Germany"/>
    <n v="2"/>
  </r>
  <r>
    <s v="1993"/>
    <s v="Men's"/>
    <x v="32"/>
    <s v="USA"/>
    <s v="United States"/>
    <s v="6–2, 6–1, 2–6, 7–5"/>
    <n v="1"/>
    <m/>
    <n v="6"/>
    <n v="2"/>
    <n v="6"/>
    <n v="1"/>
    <n v="2"/>
    <n v="6"/>
    <n v="7"/>
    <n v="5"/>
    <m/>
    <m/>
    <n v="21"/>
    <n v="14"/>
    <n v="0.6"/>
    <m/>
    <s v="Stefan Edberg"/>
    <s v="SWE"/>
    <s v="Sweden"/>
    <n v="2"/>
  </r>
  <r>
    <s v="1992"/>
    <s v="Women's"/>
    <x v="28"/>
    <s v="YUG"/>
    <s v="Yugoslavia"/>
    <s v="6–2, 6–3"/>
    <n v="1"/>
    <m/>
    <n v="6"/>
    <n v="2"/>
    <n v="6"/>
    <n v="3"/>
    <m/>
    <m/>
    <m/>
    <m/>
    <m/>
    <m/>
    <n v="12"/>
    <n v="5"/>
    <n v="0.70588235294117652"/>
    <m/>
    <s v="Mary Joe Fernández"/>
    <s v="USA"/>
    <s v="United States"/>
    <n v="7"/>
  </r>
  <r>
    <s v="1992"/>
    <s v="Men's"/>
    <x v="32"/>
    <s v="USA"/>
    <s v="United States"/>
    <s v="6–3, 3–6, 6–4, 6–2"/>
    <n v="2"/>
    <m/>
    <n v="6"/>
    <n v="3"/>
    <n v="3"/>
    <n v="6"/>
    <n v="6"/>
    <n v="4"/>
    <n v="6"/>
    <n v="2"/>
    <m/>
    <m/>
    <n v="21"/>
    <n v="15"/>
    <n v="0.58333333333333337"/>
    <m/>
    <s v="Stefan Edberg"/>
    <s v="SWE"/>
    <s v="Sweden"/>
    <n v="1"/>
  </r>
  <r>
    <s v="1991"/>
    <s v="Women's"/>
    <x v="28"/>
    <s v="YUG"/>
    <s v="Yugoslavia"/>
    <s v="5–7, 6–3, 6–1"/>
    <n v="2"/>
    <m/>
    <n v="5"/>
    <n v="7"/>
    <n v="6"/>
    <n v="3"/>
    <n v="6"/>
    <n v="1"/>
    <m/>
    <m/>
    <m/>
    <m/>
    <n v="17"/>
    <n v="11"/>
    <n v="0.6071428571428571"/>
    <m/>
    <s v="Jana Novotná"/>
    <s v="CAE"/>
    <s v="Czechia"/>
    <n v="10"/>
  </r>
  <r>
    <s v="1991"/>
    <s v="Men's"/>
    <x v="29"/>
    <s v="GER"/>
    <s v="Germany"/>
    <s v="1–6, 6–4, 6–4, 6–4"/>
    <n v="2"/>
    <m/>
    <n v="1"/>
    <n v="6"/>
    <n v="6"/>
    <n v="4"/>
    <n v="6"/>
    <n v="4"/>
    <n v="6"/>
    <n v="4"/>
    <m/>
    <m/>
    <n v="19"/>
    <n v="18"/>
    <n v="0.51351351351351349"/>
    <m/>
    <s v="Ivan Lendl"/>
    <s v="CAE"/>
    <s v="Czechia"/>
    <n v="3"/>
  </r>
  <r>
    <s v="1990"/>
    <s v="Women's"/>
    <x v="31"/>
    <s v="GER"/>
    <s v="Germany"/>
    <s v="6–3, 6–4"/>
    <n v="1"/>
    <m/>
    <n v="6"/>
    <n v="3"/>
    <n v="6"/>
    <n v="4"/>
    <m/>
    <m/>
    <m/>
    <m/>
    <m/>
    <m/>
    <n v="12"/>
    <n v="7"/>
    <n v="0.63157894736842102"/>
    <m/>
    <s v="Mary Joe Fernández"/>
    <s v="USA"/>
    <s v="United States"/>
    <n v="6"/>
  </r>
  <r>
    <s v="1990"/>
    <s v="Men's"/>
    <x v="33"/>
    <s v="CAE"/>
    <s v="Czechia"/>
    <s v="4–6, 7–6(7–3), 5–2 retired[k]"/>
    <n v="1"/>
    <m/>
    <n v="4"/>
    <n v="6"/>
    <n v="7"/>
    <n v="6"/>
    <n v="5"/>
    <n v="2"/>
    <m/>
    <m/>
    <m/>
    <m/>
    <n v="16"/>
    <n v="14"/>
    <n v="0.53333333333333333"/>
    <m/>
    <s v="Stefan Edberg"/>
    <s v="SWE"/>
    <s v="Sweden"/>
    <n v="3"/>
  </r>
  <r>
    <s v="1989"/>
    <s v="Women's"/>
    <x v="31"/>
    <s v="GER"/>
    <s v="Germany"/>
    <s v="6–4, 6–4"/>
    <n v="1"/>
    <m/>
    <n v="6"/>
    <n v="4"/>
    <n v="6"/>
    <n v="4"/>
    <m/>
    <m/>
    <m/>
    <m/>
    <m/>
    <m/>
    <n v="12"/>
    <n v="8"/>
    <n v="0.6"/>
    <m/>
    <s v="Helena Suková"/>
    <s v="CAE"/>
    <s v="Czechia"/>
    <n v="5"/>
  </r>
  <r>
    <s v="1989"/>
    <s v="Men's"/>
    <x v="33"/>
    <s v="CAE"/>
    <s v="Czechia"/>
    <s v="6–2, 6–2, 6–2"/>
    <n v="2"/>
    <m/>
    <n v="6"/>
    <n v="2"/>
    <n v="6"/>
    <n v="2"/>
    <n v="6"/>
    <n v="2"/>
    <m/>
    <m/>
    <m/>
    <m/>
    <n v="18"/>
    <n v="6"/>
    <n v="0.75"/>
    <m/>
    <s v="Miloslav Mečíř"/>
    <s v="CAE"/>
    <s v="Czechia"/>
    <n v="9"/>
  </r>
  <r>
    <s v="1988"/>
    <s v="Women's"/>
    <x v="31"/>
    <s v="GER"/>
    <s v="Germany"/>
    <s v="6–1, 7–6(7–3)"/>
    <n v="1"/>
    <m/>
    <n v="6"/>
    <n v="1"/>
    <n v="7"/>
    <n v="6"/>
    <m/>
    <m/>
    <m/>
    <m/>
    <m/>
    <m/>
    <n v="13"/>
    <n v="7"/>
    <n v="0.65"/>
    <m/>
    <s v="Chris Evert"/>
    <s v="USA"/>
    <s v="United States"/>
    <n v="3"/>
  </r>
  <r>
    <s v="1988"/>
    <s v="Men's"/>
    <x v="34"/>
    <s v="SWE"/>
    <s v="Sweden"/>
    <s v="6–3, 6–7(3–7), 3–6, 6–1, 8–6"/>
    <n v="3"/>
    <m/>
    <n v="6"/>
    <n v="3"/>
    <n v="6"/>
    <n v="7"/>
    <n v="3"/>
    <n v="6"/>
    <n v="6"/>
    <n v="1"/>
    <n v="8"/>
    <n v="6"/>
    <n v="29"/>
    <n v="23"/>
    <n v="0.55769230769230771"/>
    <m/>
    <s v="Pat Cash"/>
    <s v="AUS"/>
    <s v="Australia"/>
    <n v="4"/>
  </r>
  <r>
    <s v="1987"/>
    <s v="Women's"/>
    <x v="35"/>
    <s v="CAE"/>
    <s v="Czechia"/>
    <s v="7–5, 7–6(7–1)"/>
    <n v="2"/>
    <m/>
    <n v="7"/>
    <n v="5"/>
    <n v="7"/>
    <n v="6"/>
    <m/>
    <m/>
    <m/>
    <m/>
    <m/>
    <m/>
    <n v="14"/>
    <n v="11"/>
    <n v="0.56000000000000005"/>
    <m/>
    <s v="Martina Navratilova"/>
    <s v="USA"/>
    <s v="United States"/>
    <n v="1"/>
  </r>
  <r>
    <s v="1987"/>
    <s v="Men's"/>
    <x v="36"/>
    <s v="SWE"/>
    <s v="Sweden"/>
    <s v="6–3, 6–4, 3–6, 5–7, 6–3"/>
    <n v="4"/>
    <m/>
    <n v="6"/>
    <n v="3"/>
    <n v="6"/>
    <n v="4"/>
    <n v="3"/>
    <n v="6"/>
    <n v="5"/>
    <n v="7"/>
    <n v="6"/>
    <n v="3"/>
    <n v="26"/>
    <n v="23"/>
    <n v="0.53061224489795922"/>
    <m/>
    <s v="Pat Cash"/>
    <s v="AUS"/>
    <s v="Australia"/>
    <n v="11"/>
  </r>
  <r>
    <s v="1985"/>
    <s v="Women's"/>
    <x v="37"/>
    <s v="USA"/>
    <s v="United States"/>
    <s v="6–2, 4–6, 6–2"/>
    <n v="2"/>
    <m/>
    <n v="6"/>
    <n v="2"/>
    <n v="4"/>
    <n v="6"/>
    <n v="6"/>
    <n v="2"/>
    <m/>
    <m/>
    <m/>
    <m/>
    <n v="16"/>
    <n v="10"/>
    <n v="0.61538461538461542"/>
    <m/>
    <s v="Chris Evert"/>
    <s v="USA"/>
    <s v="United States"/>
    <n v="1"/>
  </r>
  <r>
    <s v="1985"/>
    <s v="Men's"/>
    <x v="36"/>
    <s v="SWE"/>
    <s v="Sweden"/>
    <s v="6–4, 6–3, 6–3"/>
    <n v="5"/>
    <m/>
    <n v="6"/>
    <n v="4"/>
    <n v="6"/>
    <n v="3"/>
    <n v="6"/>
    <n v="3"/>
    <m/>
    <m/>
    <m/>
    <m/>
    <n v="18"/>
    <n v="10"/>
    <n v="0.6428571428571429"/>
    <m/>
    <s v="Mats Wilander"/>
    <s v="SWE"/>
    <s v="Sweden"/>
    <n v="3"/>
  </r>
  <r>
    <s v="1984"/>
    <s v="Women's"/>
    <x v="38"/>
    <s v="USA"/>
    <s v="United States"/>
    <s v="6–7(4–7), 6–1, 6–3"/>
    <n v="2"/>
    <m/>
    <n v="6"/>
    <n v="7"/>
    <n v="6"/>
    <n v="1"/>
    <n v="6"/>
    <n v="3"/>
    <m/>
    <m/>
    <m/>
    <m/>
    <n v="18"/>
    <n v="11"/>
    <n v="0.62068965517241381"/>
    <m/>
    <s v="Helena Suková"/>
    <s v="CAE"/>
    <s v="Czechia"/>
    <n v="9"/>
  </r>
  <r>
    <s v="1984"/>
    <s v="Men's"/>
    <x v="34"/>
    <s v="SWE"/>
    <s v="Sweden"/>
    <s v="6–7(5–7), 6–4, 7–6(7–3), 6–2"/>
    <n v="2"/>
    <m/>
    <n v="6"/>
    <n v="7"/>
    <n v="6"/>
    <n v="4"/>
    <n v="7"/>
    <n v="6"/>
    <n v="6"/>
    <n v="2"/>
    <m/>
    <m/>
    <n v="25"/>
    <n v="19"/>
    <n v="0.56818181818181823"/>
    <m/>
    <s v="Kevin Curren"/>
    <s v="RSA"/>
    <s v="South Africa"/>
    <n v="9"/>
  </r>
  <r>
    <s v="1983"/>
    <s v="Women's"/>
    <x v="37"/>
    <s v="USA"/>
    <s v="United States"/>
    <s v="6–2, 7–6(7–5)"/>
    <n v="1"/>
    <m/>
    <n v="6"/>
    <n v="2"/>
    <n v="7"/>
    <n v="6"/>
    <m/>
    <m/>
    <m/>
    <m/>
    <m/>
    <m/>
    <n v="13"/>
    <n v="8"/>
    <n v="0.61904761904761907"/>
    <m/>
    <s v="Kathy Jordan"/>
    <s v="USA"/>
    <s v="United States"/>
    <n v="9"/>
  </r>
  <r>
    <s v="1983"/>
    <s v="Men's"/>
    <x v="34"/>
    <s v="SWE"/>
    <s v="Sweden"/>
    <s v="6–1, 6–4, 6–4"/>
    <n v="3"/>
    <m/>
    <n v="6"/>
    <n v="1"/>
    <n v="6"/>
    <n v="4"/>
    <n v="6"/>
    <n v="4"/>
    <m/>
    <m/>
    <m/>
    <m/>
    <n v="18"/>
    <n v="9"/>
    <n v="0.66666666666666663"/>
    <m/>
    <s v="Ivan Lendl"/>
    <s v="CAE"/>
    <s v="Czechia"/>
    <n v="1"/>
  </r>
  <r>
    <s v="1982"/>
    <s v="Women's"/>
    <x v="38"/>
    <s v="USA"/>
    <s v="United States"/>
    <s v="6–3, 2–6, 6–3"/>
    <n v="2"/>
    <m/>
    <n v="6"/>
    <n v="3"/>
    <n v="2"/>
    <n v="6"/>
    <n v="6"/>
    <n v="3"/>
    <m/>
    <m/>
    <m/>
    <m/>
    <n v="14"/>
    <n v="12"/>
    <n v="0.53846153846153844"/>
    <m/>
    <s v="Martina Navratilova"/>
    <s v="USA"/>
    <s v="United States"/>
    <n v="1"/>
  </r>
  <r>
    <s v="1982"/>
    <s v="Men's"/>
    <x v="39"/>
    <s v="USA"/>
    <s v="United States"/>
    <s v="6–3, 6–3, 6–2"/>
    <n v="1"/>
    <m/>
    <n v="6"/>
    <n v="3"/>
    <n v="6"/>
    <n v="3"/>
    <n v="6"/>
    <n v="2"/>
    <m/>
    <m/>
    <m/>
    <m/>
    <n v="18"/>
    <n v="8"/>
    <n v="0.69230769230769229"/>
    <m/>
    <s v="Steve Denton"/>
    <s v="USA"/>
    <s v="United States"/>
    <n v="2"/>
  </r>
  <r>
    <s v="1981"/>
    <s v="Women's"/>
    <x v="37"/>
    <s v="USA"/>
    <s v="United States"/>
    <s v="6–7(7–4), 6–4, 7–5"/>
    <n v="3"/>
    <m/>
    <n v="6"/>
    <n v="7"/>
    <n v="6"/>
    <n v="4"/>
    <n v="7"/>
    <n v="5"/>
    <m/>
    <m/>
    <m/>
    <m/>
    <n v="19"/>
    <n v="16"/>
    <n v="0.54285714285714282"/>
    <m/>
    <s v="Chris Evert"/>
    <s v="USA"/>
    <s v="United States"/>
    <n v="1"/>
  </r>
  <r>
    <s v="1981"/>
    <s v="Men's"/>
    <x v="39"/>
    <s v="RSA"/>
    <s v="South Africa"/>
    <s v="6–2, 7–6(7–1), 6–7(1–7), 6–4"/>
    <n v="4"/>
    <m/>
    <n v="6"/>
    <n v="2"/>
    <n v="7"/>
    <n v="6"/>
    <n v="6"/>
    <n v="7"/>
    <n v="6"/>
    <n v="4"/>
    <m/>
    <m/>
    <n v="25"/>
    <n v="19"/>
    <n v="0.56818181818181823"/>
    <m/>
    <s v="Steve Denton"/>
    <s v="USA"/>
    <s v="United States"/>
    <s v="U"/>
  </r>
  <r>
    <s v="1980"/>
    <s v="Women's"/>
    <x v="35"/>
    <s v="CAE"/>
    <s v="Czechia"/>
    <s v="6–0, 7–5"/>
    <n v="3"/>
    <m/>
    <n v="6"/>
    <n v="0"/>
    <n v="7"/>
    <n v="5"/>
    <m/>
    <m/>
    <m/>
    <m/>
    <m/>
    <m/>
    <n v="13"/>
    <n v="5"/>
    <n v="0.72222222222222221"/>
    <m/>
    <s v="Wendy Turnbull"/>
    <s v="AUS"/>
    <s v="Australia"/>
    <n v="4"/>
  </r>
  <r>
    <s v="1980"/>
    <s v="Men's"/>
    <x v="40"/>
    <s v="USA"/>
    <s v="United States"/>
    <s v="7–5, 7–6(7–4), 6–2"/>
    <n v="8"/>
    <m/>
    <n v="7"/>
    <n v="5"/>
    <n v="7"/>
    <n v="6"/>
    <n v="6"/>
    <n v="2"/>
    <m/>
    <m/>
    <m/>
    <m/>
    <n v="20"/>
    <n v="13"/>
    <n v="0.60606060606060608"/>
    <m/>
    <s v="Kim Warwick"/>
    <s v="AUS"/>
    <s v="Australia"/>
    <n v="14"/>
  </r>
  <r>
    <s v="1979"/>
    <s v="Women's"/>
    <x v="41"/>
    <s v="USA"/>
    <s v="United States"/>
    <s v="6–3, 6–3"/>
    <n v="5"/>
    <m/>
    <n v="6"/>
    <n v="3"/>
    <n v="6"/>
    <n v="3"/>
    <m/>
    <m/>
    <m/>
    <m/>
    <m/>
    <m/>
    <n v="12"/>
    <n v="6"/>
    <n v="0.66666666666666663"/>
    <m/>
    <s v="Sharon Walsh"/>
    <s v="USA"/>
    <s v="United States"/>
    <n v="4"/>
  </r>
  <r>
    <s v="1979"/>
    <s v="Men's"/>
    <x v="42"/>
    <s v="ARG"/>
    <s v="Argentina"/>
    <s v="7–6(7–4), 6–3, 6–2"/>
    <n v="1"/>
    <m/>
    <n v="7"/>
    <n v="6"/>
    <n v="6"/>
    <n v="3"/>
    <n v="6"/>
    <n v="2"/>
    <m/>
    <m/>
    <m/>
    <m/>
    <n v="19"/>
    <n v="11"/>
    <n v="0.6333333333333333"/>
    <m/>
    <s v="John Sadri"/>
    <s v="USA"/>
    <s v="United States"/>
    <n v="6"/>
  </r>
  <r>
    <s v="1978"/>
    <s v="Women's"/>
    <x v="43"/>
    <s v="AUS"/>
    <s v="Australia"/>
    <s v="6–3, 7–6(7–3)"/>
    <s v="U"/>
    <m/>
    <n v="6"/>
    <n v="3"/>
    <n v="7"/>
    <n v="6"/>
    <m/>
    <m/>
    <m/>
    <m/>
    <m/>
    <m/>
    <n v="13"/>
    <n v="9"/>
    <n v="0.59090909090909094"/>
    <m/>
    <s v="Betsy Nagelsen"/>
    <s v="USA"/>
    <s v="United States"/>
    <n v="8"/>
  </r>
  <r>
    <s v="1978"/>
    <s v="Men's"/>
    <x v="42"/>
    <s v="ARG"/>
    <s v="Argentina"/>
    <s v="6–4, 6–4, 3–6, 6–3"/>
    <n v="1"/>
    <m/>
    <n v="6"/>
    <n v="4"/>
    <n v="6"/>
    <n v="4"/>
    <n v="3"/>
    <n v="6"/>
    <n v="6"/>
    <n v="3"/>
    <m/>
    <m/>
    <n v="21"/>
    <n v="17"/>
    <n v="0.55263157894736847"/>
    <m/>
    <s v="John Marks"/>
    <s v="AUS"/>
    <s v="Australia"/>
    <s v="U"/>
  </r>
  <r>
    <s v="1977-(2)"/>
    <s v="Women's"/>
    <x v="44"/>
    <s v="AUS"/>
    <s v="Australia"/>
    <s v="6–3, 6–0"/>
    <n v="1"/>
    <m/>
    <n v="6"/>
    <n v="3"/>
    <n v="6"/>
    <n v="0"/>
    <m/>
    <m/>
    <m/>
    <m/>
    <m/>
    <m/>
    <n v="12"/>
    <n v="3"/>
    <n v="0.8"/>
    <m/>
    <s v="Helen Gourlay"/>
    <s v="AUS"/>
    <s v="Australia"/>
    <n v="5"/>
  </r>
  <r>
    <s v="1977-(2)"/>
    <s v="Men's"/>
    <x v="45"/>
    <s v="USA"/>
    <s v="United States"/>
    <s v="6–3, 7–6(7–1), 5–7, 3–6, 6–2"/>
    <n v="1"/>
    <m/>
    <n v="6"/>
    <n v="3"/>
    <n v="7"/>
    <n v="6"/>
    <n v="5"/>
    <n v="7"/>
    <n v="3"/>
    <n v="6"/>
    <n v="6"/>
    <n v="2"/>
    <n v="27"/>
    <n v="24"/>
    <n v="0.52941176470588236"/>
    <m/>
    <s v="John Lloyd"/>
    <s v="GBR"/>
    <s v="United Kingdom"/>
    <s v="U"/>
  </r>
  <r>
    <s v="1977-(1)"/>
    <s v="Women's"/>
    <x v="46"/>
    <s v="AUS"/>
    <s v="Australia"/>
    <s v="7–5, 6–2"/>
    <n v="2"/>
    <m/>
    <n v="7"/>
    <n v="5"/>
    <n v="6"/>
    <n v="2"/>
    <m/>
    <m/>
    <m/>
    <m/>
    <m/>
    <m/>
    <n v="13"/>
    <n v="7"/>
    <n v="0.65"/>
    <m/>
    <s v="Dianne Fromholtz"/>
    <s v="AUS"/>
    <s v="Australia"/>
    <n v="1"/>
  </r>
  <r>
    <s v="1977-(1)"/>
    <s v="Men's"/>
    <x v="47"/>
    <s v="USA"/>
    <s v="United States"/>
    <s v="6–3, 6–3, 6–3"/>
    <n v="2"/>
    <m/>
    <n v="6"/>
    <n v="3"/>
    <n v="6"/>
    <n v="3"/>
    <n v="6"/>
    <n v="3"/>
    <m/>
    <m/>
    <m/>
    <m/>
    <n v="18"/>
    <n v="9"/>
    <n v="0.66666666666666663"/>
    <m/>
    <s v="Guillermo Vilas"/>
    <s v="ARG"/>
    <s v="Argentina"/>
    <n v="1"/>
  </r>
  <r>
    <s v="1976"/>
    <s v="Women's"/>
    <x v="44"/>
    <s v="AUS"/>
    <s v="Australia"/>
    <s v="6–2, 6–2"/>
    <n v="1"/>
    <m/>
    <n v="6"/>
    <n v="2"/>
    <n v="6"/>
    <n v="2"/>
    <m/>
    <m/>
    <m/>
    <m/>
    <m/>
    <m/>
    <n v="12"/>
    <n v="4"/>
    <n v="0.75"/>
    <m/>
    <s v="Renáta Tomanová"/>
    <s v="CAE"/>
    <s v="Czechia"/>
    <n v="5"/>
  </r>
  <r>
    <s v="1976"/>
    <s v="Men's"/>
    <x v="48"/>
    <s v="AUS"/>
    <s v="Australia"/>
    <s v="6–7, 6–3, 7–6, 6–1"/>
    <s v="U"/>
    <m/>
    <n v="6"/>
    <n v="7"/>
    <n v="6"/>
    <n v="3"/>
    <n v="7"/>
    <n v="6"/>
    <n v="6"/>
    <n v="1"/>
    <m/>
    <m/>
    <n v="25"/>
    <n v="17"/>
    <n v="0.59523809523809523"/>
    <m/>
    <s v="John Newcombe"/>
    <s v="AUS"/>
    <s v="Australia"/>
    <n v="2"/>
  </r>
  <r>
    <s v="1975"/>
    <s v="Women's"/>
    <x v="44"/>
    <s v="AUS"/>
    <s v="Australia"/>
    <s v="6–3, 6–2"/>
    <n v="3"/>
    <m/>
    <n v="6"/>
    <n v="3"/>
    <n v="6"/>
    <n v="2"/>
    <m/>
    <m/>
    <m/>
    <m/>
    <m/>
    <m/>
    <n v="12"/>
    <n v="5"/>
    <n v="0.70588235294117652"/>
    <m/>
    <s v="Martina Navratilova"/>
    <s v="CAE"/>
    <s v="Czechia"/>
    <n v="8"/>
  </r>
  <r>
    <s v="1975"/>
    <s v="Men's"/>
    <x v="49"/>
    <s v="AUS"/>
    <s v="Australia"/>
    <s v="7–5, 3–6, 6–4, 7–6(9–7)"/>
    <n v="2"/>
    <m/>
    <n v="7"/>
    <n v="5"/>
    <n v="3"/>
    <n v="6"/>
    <n v="6"/>
    <n v="4"/>
    <n v="7"/>
    <n v="6"/>
    <m/>
    <m/>
    <n v="23"/>
    <n v="21"/>
    <n v="0.52272727272727271"/>
    <m/>
    <s v="Jimmy Connors"/>
    <s v="USA"/>
    <s v="United States"/>
    <n v="1"/>
  </r>
  <r>
    <s v="1974"/>
    <s v="Women's"/>
    <x v="44"/>
    <s v="AUS"/>
    <s v="Australia"/>
    <s v="7–6(7–5), 4–6, 6–0"/>
    <n v="2"/>
    <m/>
    <n v="7"/>
    <n v="6"/>
    <n v="4"/>
    <n v="6"/>
    <n v="6"/>
    <n v="0"/>
    <m/>
    <m/>
    <m/>
    <m/>
    <n v="17"/>
    <n v="12"/>
    <n v="0.58620689655172409"/>
    <m/>
    <s v="Chris Evert"/>
    <s v="USA"/>
    <s v="United States"/>
    <n v="1"/>
  </r>
  <r>
    <s v="1974"/>
    <s v="Men's"/>
    <x v="50"/>
    <s v="USA"/>
    <s v="United States"/>
    <s v="7–6(9–7), 6–4, 4–6, 6–3"/>
    <n v="2"/>
    <m/>
    <n v="7"/>
    <n v="6"/>
    <n v="6"/>
    <n v="4"/>
    <n v="4"/>
    <n v="6"/>
    <n v="6"/>
    <n v="3"/>
    <m/>
    <m/>
    <n v="23"/>
    <n v="19"/>
    <n v="0.54761904761904767"/>
    <m/>
    <s v="Phil Dent"/>
    <s v="AUS"/>
    <s v="Australia"/>
    <n v="9"/>
  </r>
  <r>
    <s v="1973"/>
    <s v="Women's"/>
    <x v="51"/>
    <s v="AUS"/>
    <s v="Australia"/>
    <s v="6–4, 7–5"/>
    <n v="1"/>
    <m/>
    <n v="6"/>
    <n v="4"/>
    <n v="7"/>
    <n v="5"/>
    <m/>
    <m/>
    <m/>
    <m/>
    <m/>
    <m/>
    <n v="13"/>
    <n v="9"/>
    <n v="0.59090909090909094"/>
    <m/>
    <s v="Evonne Goolagong"/>
    <s v="AUS"/>
    <s v="Australia"/>
    <n v="2"/>
  </r>
  <r>
    <s v="1973"/>
    <s v="Men's"/>
    <x v="49"/>
    <s v="AUS"/>
    <s v="Australia"/>
    <s v="6–3, 6–7, 7–5, 6–1"/>
    <n v="2"/>
    <m/>
    <n v="6"/>
    <n v="3"/>
    <n v="6"/>
    <n v="7"/>
    <n v="7"/>
    <n v="5"/>
    <n v="6"/>
    <n v="1"/>
    <m/>
    <m/>
    <n v="25"/>
    <n v="16"/>
    <n v="0.6097560975609756"/>
    <m/>
    <s v="Onny Parun"/>
    <s v="NZL"/>
    <s v="New Zealand"/>
    <n v="12"/>
  </r>
  <r>
    <s v="1972"/>
    <s v="Women's"/>
    <x v="52"/>
    <s v="GBR"/>
    <s v="United Kingdom"/>
    <s v="6–4, 6–4"/>
    <n v="2"/>
    <m/>
    <n v="6"/>
    <n v="4"/>
    <n v="6"/>
    <n v="4"/>
    <m/>
    <m/>
    <m/>
    <m/>
    <m/>
    <m/>
    <n v="12"/>
    <n v="8"/>
    <n v="0.6"/>
    <m/>
    <s v="Evonne Goolagong"/>
    <s v="AUS"/>
    <s v="Australia"/>
    <n v="1"/>
  </r>
  <r>
    <s v="1972"/>
    <s v="Men's"/>
    <x v="53"/>
    <s v="AUS"/>
    <s v="Australia"/>
    <s v="7–6(7–2), 6–3, 7–5"/>
    <n v="2"/>
    <m/>
    <n v="7"/>
    <n v="6"/>
    <n v="6"/>
    <n v="3"/>
    <n v="7"/>
    <n v="5"/>
    <m/>
    <m/>
    <m/>
    <m/>
    <n v="20"/>
    <n v="14"/>
    <n v="0.58823529411764708"/>
    <m/>
    <s v="Malcolm Anderson"/>
    <s v="AUS"/>
    <s v="Australia"/>
    <n v="8"/>
  </r>
  <r>
    <s v="1971"/>
    <s v="Women's"/>
    <x v="51"/>
    <s v="AUS"/>
    <s v="Australia"/>
    <s v="2–6, 7–6(7–0), 7–5"/>
    <n v="1"/>
    <m/>
    <n v="2"/>
    <n v="6"/>
    <n v="7"/>
    <n v="6"/>
    <n v="7"/>
    <n v="5"/>
    <m/>
    <m/>
    <m/>
    <m/>
    <n v="16"/>
    <n v="17"/>
    <n v="0.48484848484848486"/>
    <m/>
    <s v="Evonne Goolagong"/>
    <s v="AUS"/>
    <s v="Australia"/>
    <n v="2"/>
  </r>
  <r>
    <s v="1971"/>
    <s v="Men's"/>
    <x v="53"/>
    <s v="AUS"/>
    <s v="Australia"/>
    <s v="6–1, 7–5, 6–3"/>
    <n v="2"/>
    <m/>
    <n v="6"/>
    <n v="1"/>
    <n v="7"/>
    <n v="5"/>
    <n v="6"/>
    <n v="3"/>
    <m/>
    <m/>
    <m/>
    <m/>
    <n v="19"/>
    <n v="9"/>
    <n v="0.6785714285714286"/>
    <m/>
    <s v="Arthur Ashe"/>
    <s v="USA"/>
    <s v="United States"/>
    <n v="3"/>
  </r>
  <r>
    <s v="1970"/>
    <s v="Women's"/>
    <x v="51"/>
    <s v="AUS"/>
    <s v="Australia"/>
    <s v="6–1, 6–3"/>
    <n v="1"/>
    <m/>
    <n v="6"/>
    <n v="1"/>
    <n v="6"/>
    <n v="3"/>
    <m/>
    <m/>
    <m/>
    <m/>
    <m/>
    <m/>
    <n v="12"/>
    <n v="4"/>
    <n v="0.75"/>
    <m/>
    <s v="Kerry Melville Reid"/>
    <s v="AUS"/>
    <s v="Australia"/>
    <n v="2"/>
  </r>
  <r>
    <s v="1970"/>
    <s v="Men's"/>
    <x v="54"/>
    <s v="USA"/>
    <s v="United States"/>
    <s v="6–4, 9–7, 6–2"/>
    <n v="4"/>
    <m/>
    <n v="6"/>
    <n v="4"/>
    <n v="9"/>
    <n v="7"/>
    <n v="6"/>
    <n v="2"/>
    <m/>
    <m/>
    <m/>
    <m/>
    <n v="21"/>
    <n v="13"/>
    <n v="0.61764705882352944"/>
    <m/>
    <s v="Dick Crealy"/>
    <s v="AUS"/>
    <s v="Australia"/>
    <n v="12"/>
  </r>
  <r>
    <s v="1969"/>
    <s v="Women's"/>
    <x v="51"/>
    <s v="AUS"/>
    <s v="Australia"/>
    <s v="6–4, 6–1"/>
    <n v="2"/>
    <m/>
    <n v="6"/>
    <n v="4"/>
    <n v="6"/>
    <n v="1"/>
    <m/>
    <m/>
    <m/>
    <m/>
    <m/>
    <m/>
    <n v="12"/>
    <n v="5"/>
    <n v="0.70588235294117652"/>
    <m/>
    <s v="Billie Jean King"/>
    <s v="USA"/>
    <s v="United States"/>
    <n v="1"/>
  </r>
  <r>
    <s v="1969"/>
    <s v="Men's"/>
    <x v="55"/>
    <s v="AUS"/>
    <s v="Australia"/>
    <s v="6–3, 6–4, 7–5"/>
    <n v="1"/>
    <m/>
    <n v="6"/>
    <n v="3"/>
    <n v="6"/>
    <n v="4"/>
    <n v="7"/>
    <n v="5"/>
    <m/>
    <m/>
    <m/>
    <m/>
    <n v="19"/>
    <n v="12"/>
    <n v="0.61290322580645162"/>
    <m/>
    <s v="Andrés Gimeno"/>
    <s v="ESP"/>
    <s v="Spain"/>
    <n v="9"/>
  </r>
  <r>
    <s v="1968"/>
    <s v="Women's"/>
    <x v="56"/>
    <s v="USA"/>
    <s v="United States"/>
    <s v="6–1, 6–2"/>
    <n v="1"/>
    <m/>
    <n v="6"/>
    <n v="1"/>
    <n v="6"/>
    <n v="2"/>
    <m/>
    <m/>
    <m/>
    <m/>
    <m/>
    <m/>
    <n v="12"/>
    <n v="3"/>
    <n v="0.8"/>
    <m/>
    <s v="Margaret Court"/>
    <s v="AUS"/>
    <s v="Australia"/>
    <n v="7"/>
  </r>
  <r>
    <s v="1968"/>
    <s v="Men's"/>
    <x v="57"/>
    <s v="AUS"/>
    <s v="Australia"/>
    <s v="7–5, 2–6, 9–7, 6–4"/>
    <n v="1"/>
    <m/>
    <n v="7"/>
    <n v="5"/>
    <n v="2"/>
    <n v="6"/>
    <n v="9"/>
    <n v="7"/>
    <n v="6"/>
    <n v="4"/>
    <m/>
    <m/>
    <n v="24"/>
    <n v="22"/>
    <n v="0.52173913043478259"/>
    <m/>
    <s v="Juan Gisbert"/>
    <s v="ESP"/>
    <s v="Spain"/>
    <n v="2"/>
  </r>
  <r>
    <s v="1967"/>
    <s v="Women's"/>
    <x v="58"/>
    <s v="USA"/>
    <s v="United States"/>
    <s v="6–1, 6–4"/>
    <n v="1"/>
    <m/>
    <n v="6"/>
    <n v="1"/>
    <n v="6"/>
    <n v="4"/>
    <m/>
    <m/>
    <m/>
    <m/>
    <m/>
    <m/>
    <n v="12"/>
    <n v="5"/>
    <n v="0.70588235294117652"/>
    <m/>
    <s v="Lesley Turner Bowrey"/>
    <s v="AUS"/>
    <s v="Australia"/>
    <n v="2"/>
  </r>
  <r>
    <s v="1967"/>
    <s v="Men's"/>
    <x v="59"/>
    <s v="AUS"/>
    <s v="Australia"/>
    <s v="6–4, 6–1, 6–4"/>
    <n v="1"/>
    <m/>
    <n v="6"/>
    <n v="4"/>
    <n v="6"/>
    <n v="1"/>
    <n v="6"/>
    <n v="4"/>
    <m/>
    <m/>
    <m/>
    <m/>
    <n v="18"/>
    <n v="9"/>
    <n v="0.66666666666666663"/>
    <m/>
    <s v="Arthur Ashe"/>
    <s v="USA"/>
    <s v="United States"/>
    <n v="2"/>
  </r>
  <r>
    <s v="1966"/>
    <s v="Women's"/>
    <x v="51"/>
    <s v="AUS"/>
    <s v="Australia"/>
    <s v="walkover"/>
    <n v="1"/>
    <m/>
    <m/>
    <m/>
    <m/>
    <m/>
    <m/>
    <m/>
    <m/>
    <m/>
    <m/>
    <m/>
    <n v="0"/>
    <n v="0"/>
    <e v="#DIV/0!"/>
    <m/>
    <s v="Nancy Richey"/>
    <s v="USA"/>
    <s v="United States"/>
    <n v="2"/>
  </r>
  <r>
    <s v="1966"/>
    <s v="Men's"/>
    <x v="59"/>
    <s v="AUS"/>
    <s v="Australia"/>
    <s v="6–4, 6–8, 6–2, 6–3"/>
    <n v="1"/>
    <m/>
    <n v="6"/>
    <n v="4"/>
    <n v="6"/>
    <n v="8"/>
    <n v="6"/>
    <n v="2"/>
    <n v="6"/>
    <n v="3"/>
    <m/>
    <m/>
    <n v="24"/>
    <n v="17"/>
    <n v="0.58536585365853655"/>
    <m/>
    <s v="Arthur Ashe"/>
    <s v="USA"/>
    <s v="United States"/>
    <n v="2"/>
  </r>
  <r>
    <s v="1965"/>
    <s v="Women's"/>
    <x v="51"/>
    <s v="AUS"/>
    <s v="Australia"/>
    <s v="5–7, 6–4, 5–2, retired"/>
    <n v="1"/>
    <m/>
    <n v="5"/>
    <n v="7"/>
    <n v="6"/>
    <n v="4"/>
    <n v="5"/>
    <n v="2"/>
    <m/>
    <m/>
    <m/>
    <m/>
    <n v="16"/>
    <n v="13"/>
    <n v="0.55172413793103448"/>
    <m/>
    <s v="Maria Bueno"/>
    <s v="BRA"/>
    <s v="Brazil"/>
    <n v="2"/>
  </r>
  <r>
    <s v="1965"/>
    <s v="Men's"/>
    <x v="59"/>
    <s v="AUS"/>
    <s v="Australia"/>
    <s v="7–9, 2–6, 6–4, 7–5, 6–1"/>
    <n v="1"/>
    <m/>
    <n v="7"/>
    <n v="9"/>
    <n v="2"/>
    <n v="6"/>
    <n v="6"/>
    <n v="4"/>
    <n v="7"/>
    <n v="5"/>
    <n v="6"/>
    <n v="1"/>
    <n v="28"/>
    <n v="25"/>
    <n v="0.52830188679245282"/>
    <m/>
    <s v="Fred Stolle"/>
    <s v="AUS"/>
    <s v="Australia"/>
    <n v="2"/>
  </r>
  <r>
    <s v="1964"/>
    <s v="Women's"/>
    <x v="51"/>
    <s v="AUS"/>
    <s v="Australia"/>
    <s v="6–3, 6–2"/>
    <n v="1"/>
    <m/>
    <n v="6"/>
    <n v="3"/>
    <n v="6"/>
    <n v="2"/>
    <m/>
    <m/>
    <m/>
    <m/>
    <m/>
    <m/>
    <n v="12"/>
    <n v="5"/>
    <n v="0.70588235294117652"/>
    <m/>
    <s v="Lesley Turner Bowrey"/>
    <s v="AUS"/>
    <s v="Australia"/>
    <n v="2"/>
  </r>
  <r>
    <s v="1964"/>
    <s v="Men's"/>
    <x v="59"/>
    <s v="AUS"/>
    <s v="Australia"/>
    <s v="6–3, 6–4, 6–2"/>
    <n v="1"/>
    <m/>
    <n v="6"/>
    <n v="3"/>
    <n v="6"/>
    <n v="4"/>
    <n v="6"/>
    <n v="2"/>
    <m/>
    <m/>
    <m/>
    <m/>
    <n v="18"/>
    <n v="9"/>
    <n v="0.66666666666666663"/>
    <m/>
    <s v="Fred Stolle"/>
    <s v="AUS"/>
    <s v="Australia"/>
    <n v="2"/>
  </r>
  <r>
    <s v="1963"/>
    <s v="Women's"/>
    <x v="51"/>
    <s v="AUS"/>
    <s v="Australia"/>
    <s v="6–2, 6–2"/>
    <n v="1"/>
    <m/>
    <n v="6"/>
    <n v="2"/>
    <n v="6"/>
    <n v="2"/>
    <m/>
    <m/>
    <m/>
    <m/>
    <m/>
    <m/>
    <n v="12"/>
    <n v="4"/>
    <n v="0.75"/>
    <m/>
    <s v="Jan Lehane"/>
    <s v="AUS"/>
    <s v="Australia"/>
    <n v="3"/>
  </r>
  <r>
    <s v="1963"/>
    <s v="Men's"/>
    <x v="59"/>
    <s v="AUS"/>
    <s v="Australia"/>
    <s v="6–3, 6–3, 6–1"/>
    <n v="1"/>
    <m/>
    <n v="6"/>
    <n v="3"/>
    <n v="6"/>
    <n v="3"/>
    <n v="6"/>
    <n v="1"/>
    <m/>
    <m/>
    <m/>
    <m/>
    <n v="18"/>
    <n v="7"/>
    <n v="0.72"/>
    <m/>
    <s v="Ken Fletcher"/>
    <s v="AUS"/>
    <s v="Australia"/>
    <n v="2"/>
  </r>
  <r>
    <s v="1962"/>
    <s v="Women's"/>
    <x v="51"/>
    <s v="AUS"/>
    <s v="Australia"/>
    <s v="6–0, 6–2"/>
    <n v="1"/>
    <m/>
    <n v="6"/>
    <n v="0"/>
    <n v="6"/>
    <n v="2"/>
    <m/>
    <m/>
    <m/>
    <m/>
    <m/>
    <m/>
    <n v="12"/>
    <n v="2"/>
    <n v="0.8571428571428571"/>
    <m/>
    <s v="Jan Lehane"/>
    <s v="AUS"/>
    <s v="Australia"/>
    <n v="5"/>
  </r>
  <r>
    <s v="1962"/>
    <s v="Men's"/>
    <x v="55"/>
    <s v="AUS"/>
    <s v="Australia"/>
    <s v="8–6, 0–6, 6–4, 6–4"/>
    <n v="1"/>
    <m/>
    <n v="8"/>
    <n v="6"/>
    <n v="0"/>
    <n v="6"/>
    <n v="6"/>
    <n v="4"/>
    <n v="6"/>
    <n v="4"/>
    <m/>
    <m/>
    <n v="20"/>
    <n v="20"/>
    <n v="0.5"/>
    <m/>
    <s v="Roy Emerson"/>
    <s v="AUS"/>
    <s v="Australia"/>
    <n v="2"/>
  </r>
  <r>
    <s v="1961"/>
    <s v="Women's"/>
    <x v="51"/>
    <s v="AUS"/>
    <s v="Australia"/>
    <s v="6–1, 6–4"/>
    <n v="1"/>
    <m/>
    <n v="6"/>
    <n v="1"/>
    <n v="6"/>
    <n v="4"/>
    <m/>
    <m/>
    <m/>
    <m/>
    <m/>
    <m/>
    <n v="12"/>
    <n v="5"/>
    <n v="0.70588235294117652"/>
    <m/>
    <s v="Jan Lehane"/>
    <s v="AUS"/>
    <s v="Australia"/>
    <n v="2"/>
  </r>
  <r>
    <s v="1961"/>
    <s v="Men's"/>
    <x v="59"/>
    <s v="AUS"/>
    <s v="Australia"/>
    <s v="1–6, 6–3, 7–5, 6–4"/>
    <n v="2"/>
    <m/>
    <n v="1"/>
    <n v="6"/>
    <n v="6"/>
    <n v="3"/>
    <n v="7"/>
    <n v="5"/>
    <n v="6"/>
    <n v="4"/>
    <m/>
    <m/>
    <n v="20"/>
    <n v="18"/>
    <n v="0.52631578947368418"/>
    <m/>
    <s v="Rod Laver"/>
    <s v="AUS"/>
    <s v="Australia"/>
    <n v="1"/>
  </r>
  <r>
    <s v="1960"/>
    <s v="Women's"/>
    <x v="51"/>
    <s v="AUS"/>
    <s v="Australia"/>
    <s v="7–5, 6–2"/>
    <n v="7"/>
    <m/>
    <n v="7"/>
    <n v="5"/>
    <n v="6"/>
    <n v="2"/>
    <m/>
    <m/>
    <m/>
    <m/>
    <m/>
    <m/>
    <n v="13"/>
    <n v="7"/>
    <n v="0.65"/>
    <m/>
    <s v="Jan Lehane"/>
    <s v="AUS"/>
    <s v="Australia"/>
    <n v="3"/>
  </r>
  <r>
    <s v="1960"/>
    <s v="Men's"/>
    <x v="55"/>
    <s v="AUS"/>
    <s v="Australia"/>
    <s v="5–7, 3–6, 6–3, 8–6, 8–6"/>
    <n v="3"/>
    <m/>
    <n v="5"/>
    <n v="7"/>
    <n v="3"/>
    <n v="6"/>
    <n v="6"/>
    <n v="3"/>
    <n v="8"/>
    <n v="6"/>
    <n v="8"/>
    <n v="6"/>
    <n v="30"/>
    <n v="28"/>
    <n v="0.51724137931034486"/>
    <m/>
    <s v="Neale Fraser"/>
    <s v="AUS"/>
    <s v="Australia"/>
    <n v="1"/>
  </r>
  <r>
    <s v="1959"/>
    <s v="Women's"/>
    <x v="60"/>
    <s v="AUS"/>
    <s v="Australia"/>
    <s v="6–2, 6–3"/>
    <n v="4"/>
    <m/>
    <n v="6"/>
    <n v="2"/>
    <n v="6"/>
    <n v="3"/>
    <m/>
    <m/>
    <m/>
    <m/>
    <m/>
    <m/>
    <n v="12"/>
    <n v="5"/>
    <n v="0.70588235294117652"/>
    <m/>
    <s v="Renée Schuurman"/>
    <s v="RSA"/>
    <s v="South Africa"/>
    <n v="2"/>
  </r>
  <r>
    <s v="1959"/>
    <s v="Men's"/>
    <x v="61"/>
    <s v="USA"/>
    <s v="United States"/>
    <s v="6–1, 6–2, 3–6, 6–3"/>
    <n v="2"/>
    <m/>
    <n v="6"/>
    <n v="1"/>
    <n v="6"/>
    <n v="2"/>
    <n v="3"/>
    <n v="6"/>
    <n v="6"/>
    <n v="3"/>
    <m/>
    <m/>
    <n v="21"/>
    <n v="12"/>
    <n v="0.63636363636363635"/>
    <m/>
    <s v="Neale Fraser"/>
    <s v="AUS"/>
    <s v="Australia"/>
    <n v="1"/>
  </r>
  <r>
    <s v="1958"/>
    <s v="Women's"/>
    <x v="62"/>
    <s v="GBR"/>
    <s v="United Kingdom"/>
    <s v="6–3, 6–4"/>
    <n v="1"/>
    <m/>
    <n v="6"/>
    <n v="3"/>
    <n v="6"/>
    <n v="4"/>
    <m/>
    <m/>
    <m/>
    <m/>
    <m/>
    <m/>
    <n v="12"/>
    <n v="7"/>
    <n v="0.63157894736842102"/>
    <m/>
    <s v="Lorraine Coghlan"/>
    <s v="AUS"/>
    <s v="Australia"/>
    <n v="2"/>
  </r>
  <r>
    <s v="1958"/>
    <s v="Men's"/>
    <x v="63"/>
    <s v="AUS"/>
    <s v="Australia"/>
    <s v="7–5, 6–3, 6–4"/>
    <n v="3"/>
    <m/>
    <n v="7"/>
    <n v="5"/>
    <n v="6"/>
    <n v="3"/>
    <n v="6"/>
    <n v="4"/>
    <m/>
    <m/>
    <m/>
    <m/>
    <n v="19"/>
    <n v="12"/>
    <n v="0.61290322580645162"/>
    <m/>
    <s v="Malcolm Anderson"/>
    <s v="AUS"/>
    <s v="Australia"/>
    <n v="1"/>
  </r>
  <r>
    <s v="1957"/>
    <s v="Women's"/>
    <x v="64"/>
    <s v="USA"/>
    <s v="United States"/>
    <s v="6–3, 6–4"/>
    <n v="1"/>
    <m/>
    <n v="6"/>
    <n v="3"/>
    <n v="6"/>
    <n v="4"/>
    <m/>
    <m/>
    <m/>
    <m/>
    <m/>
    <m/>
    <n v="12"/>
    <n v="7"/>
    <n v="0.63157894736842102"/>
    <m/>
    <s v="Althea Gibson"/>
    <s v="USA"/>
    <s v="United States"/>
    <n v="2"/>
  </r>
  <r>
    <s v="1957"/>
    <s v="Men's"/>
    <x v="63"/>
    <s v="AUS"/>
    <s v="Australia"/>
    <s v="6–3, 9–11, 6–4, 6–2"/>
    <n v="2"/>
    <m/>
    <n v="6"/>
    <n v="3"/>
    <n v="9"/>
    <n v="11"/>
    <n v="6"/>
    <n v="4"/>
    <n v="6"/>
    <n v="2"/>
    <m/>
    <m/>
    <n v="27"/>
    <n v="20"/>
    <n v="0.57446808510638303"/>
    <m/>
    <s v="Neale Fraser"/>
    <s v="AUS"/>
    <s v="Australia"/>
    <n v="3"/>
  </r>
  <r>
    <s v="1956"/>
    <s v="Women's"/>
    <x v="60"/>
    <s v="AUS"/>
    <s v="Australia"/>
    <s v="3–6, 6–2, 9–7"/>
    <n v="2"/>
    <m/>
    <n v="3"/>
    <n v="6"/>
    <n v="6"/>
    <n v="2"/>
    <n v="9"/>
    <n v="7"/>
    <m/>
    <m/>
    <m/>
    <m/>
    <n v="18"/>
    <n v="15"/>
    <n v="0.54545454545454541"/>
    <m/>
    <s v="Thelma Coyne Long"/>
    <s v="AUS"/>
    <s v="Australia"/>
    <n v="5"/>
  </r>
  <r>
    <s v="1956"/>
    <s v="Men's"/>
    <x v="65"/>
    <s v="AUS"/>
    <s v="Australia"/>
    <s v="6–4, 3–6, 6–4, 7–5"/>
    <n v="1"/>
    <m/>
    <n v="6"/>
    <n v="4"/>
    <n v="3"/>
    <n v="6"/>
    <n v="6"/>
    <n v="4"/>
    <n v="7"/>
    <n v="5"/>
    <m/>
    <m/>
    <n v="22"/>
    <n v="19"/>
    <n v="0.53658536585365857"/>
    <m/>
    <s v="Ken Rosewall"/>
    <s v="AUS"/>
    <s v="Australia"/>
    <n v="2"/>
  </r>
  <r>
    <s v="1955"/>
    <s v="Women's"/>
    <x v="66"/>
    <s v="AUS"/>
    <s v="Australia"/>
    <s v="6–4, 6–3"/>
    <n v="2"/>
    <m/>
    <n v="6"/>
    <n v="4"/>
    <n v="6"/>
    <n v="3"/>
    <m/>
    <m/>
    <m/>
    <m/>
    <m/>
    <m/>
    <n v="12"/>
    <n v="7"/>
    <n v="0.63157894736842102"/>
    <m/>
    <s v="Thelma Coyne Long"/>
    <s v="AUS"/>
    <s v="Australia"/>
    <n v="1"/>
  </r>
  <r>
    <s v="1955"/>
    <s v="Men's"/>
    <x v="53"/>
    <s v="AUS"/>
    <s v="Australia"/>
    <s v="9–7, 6–4, 6–4"/>
    <n v="1"/>
    <m/>
    <n v="9"/>
    <n v="7"/>
    <n v="6"/>
    <n v="4"/>
    <n v="6"/>
    <n v="4"/>
    <m/>
    <m/>
    <m/>
    <m/>
    <n v="21"/>
    <n v="15"/>
    <n v="0.58333333333333337"/>
    <m/>
    <s v="Lew Hoad"/>
    <s v="AUS"/>
    <s v="Australia"/>
    <n v="5"/>
  </r>
  <r>
    <s v="1954"/>
    <s v="Women's"/>
    <x v="67"/>
    <s v="AUS"/>
    <s v="Australia"/>
    <s v="6–3, 6–4"/>
    <n v="1"/>
    <m/>
    <n v="6"/>
    <n v="3"/>
    <n v="6"/>
    <n v="4"/>
    <m/>
    <m/>
    <m/>
    <m/>
    <m/>
    <m/>
    <n v="12"/>
    <n v="7"/>
    <n v="0.63157894736842102"/>
    <m/>
    <s v="Jenny Staley"/>
    <s v="AUS"/>
    <s v="Australia"/>
    <n v="3"/>
  </r>
  <r>
    <s v="1954"/>
    <s v="Men's"/>
    <x v="68"/>
    <s v="AUS"/>
    <s v="Australia"/>
    <s v="6–2, 0–6, 6–4, 6–2"/>
    <n v="5"/>
    <m/>
    <n v="6"/>
    <n v="2"/>
    <n v="0"/>
    <n v="6"/>
    <n v="6"/>
    <n v="4"/>
    <n v="6"/>
    <n v="2"/>
    <m/>
    <m/>
    <n v="18"/>
    <n v="14"/>
    <n v="0.5625"/>
    <m/>
    <s v="Rex Hartwig"/>
    <s v="AUS"/>
    <s v="Australia"/>
    <n v="3"/>
  </r>
  <r>
    <s v="1953"/>
    <s v="Women's"/>
    <x v="69"/>
    <s v="USA"/>
    <s v="United States"/>
    <s v="6–3, 6–2"/>
    <n v="1"/>
    <m/>
    <n v="6"/>
    <n v="3"/>
    <n v="6"/>
    <n v="2"/>
    <m/>
    <m/>
    <m/>
    <m/>
    <m/>
    <m/>
    <n v="12"/>
    <n v="5"/>
    <n v="0.70588235294117652"/>
    <m/>
    <s v="Julia Sampson Hayward"/>
    <s v="USA"/>
    <s v="United States"/>
    <n v="2"/>
  </r>
  <r>
    <s v="1953"/>
    <s v="Men's"/>
    <x v="53"/>
    <s v="AUS"/>
    <s v="Australia"/>
    <s v="6–0, 6–3, 6–4"/>
    <n v="3"/>
    <m/>
    <n v="6"/>
    <n v="0"/>
    <n v="6"/>
    <n v="3"/>
    <n v="6"/>
    <n v="4"/>
    <m/>
    <m/>
    <m/>
    <m/>
    <n v="18"/>
    <n v="7"/>
    <n v="0.72"/>
    <m/>
    <s v="Mervyn Rose"/>
    <s v="AUS"/>
    <s v="Australia"/>
    <n v="1"/>
  </r>
  <r>
    <s v="1952"/>
    <s v="Women's"/>
    <x v="67"/>
    <s v="AUS"/>
    <s v="Australia"/>
    <s v="6–2, 6–3"/>
    <n v="2"/>
    <m/>
    <n v="6"/>
    <n v="2"/>
    <n v="6"/>
    <n v="3"/>
    <m/>
    <m/>
    <m/>
    <m/>
    <m/>
    <m/>
    <n v="12"/>
    <n v="5"/>
    <n v="0.70588235294117652"/>
    <m/>
    <s v="Helen Angwin"/>
    <s v="AUS"/>
    <s v="Australia"/>
    <n v="8"/>
  </r>
  <r>
    <s v="1952"/>
    <s v="Men's"/>
    <x v="70"/>
    <s v="AUS"/>
    <s v="Australia"/>
    <s v="7–5, 12–10, 2–6, 6–2"/>
    <n v="4"/>
    <m/>
    <n v="7"/>
    <n v="5"/>
    <n v="12"/>
    <n v="10"/>
    <n v="2"/>
    <n v="6"/>
    <n v="6"/>
    <n v="2"/>
    <m/>
    <m/>
    <n v="27"/>
    <n v="23"/>
    <n v="0.54"/>
    <m/>
    <s v="Frank Sedgman"/>
    <s v="AUS"/>
    <s v="Australia"/>
    <n v="1"/>
  </r>
  <r>
    <s v="1951"/>
    <s v="Women's"/>
    <x v="71"/>
    <s v="AUS"/>
    <s v="Australia"/>
    <s v="6–1, 7–5"/>
    <n v="1"/>
    <m/>
    <n v="6"/>
    <n v="1"/>
    <n v="7"/>
    <n v="5"/>
    <m/>
    <m/>
    <m/>
    <m/>
    <m/>
    <m/>
    <n v="13"/>
    <n v="6"/>
    <n v="0.68421052631578949"/>
    <m/>
    <s v="Thelma Coyne Long"/>
    <s v="AUS"/>
    <s v="Australia"/>
    <n v="3"/>
  </r>
  <r>
    <s v="1951"/>
    <s v="Men's"/>
    <x v="72"/>
    <s v="USA"/>
    <s v="United States"/>
    <s v="6–3, 2–6, 6–3, 6–1"/>
    <n v="4"/>
    <m/>
    <n v="6"/>
    <n v="3"/>
    <n v="2"/>
    <n v="6"/>
    <n v="6"/>
    <n v="3"/>
    <n v="6"/>
    <n v="1"/>
    <m/>
    <m/>
    <n v="20"/>
    <n v="13"/>
    <n v="0.60606060606060608"/>
    <m/>
    <s v="Ken McGregor"/>
    <s v="AUS"/>
    <s v="Australia"/>
    <n v="3"/>
  </r>
  <r>
    <s v="1950"/>
    <s v="Women's"/>
    <x v="73"/>
    <s v="USA"/>
    <s v="United States"/>
    <s v="6–4, 3–6, 6–4"/>
    <n v="1"/>
    <m/>
    <n v="6"/>
    <n v="4"/>
    <n v="3"/>
    <n v="6"/>
    <n v="6"/>
    <n v="4"/>
    <m/>
    <m/>
    <m/>
    <m/>
    <n v="15"/>
    <n v="14"/>
    <n v="0.51724137931034486"/>
    <m/>
    <s v="Doris Hart"/>
    <s v="USA"/>
    <s v="United States"/>
    <n v="2"/>
  </r>
  <r>
    <s v="1950"/>
    <s v="Men's"/>
    <x v="74"/>
    <s v="AUS"/>
    <s v="Australia"/>
    <s v="6–3, 6–4, 4–6, 6–1"/>
    <n v="5"/>
    <m/>
    <n v="6"/>
    <n v="3"/>
    <n v="6"/>
    <n v="4"/>
    <n v="4"/>
    <n v="6"/>
    <n v="6"/>
    <n v="1"/>
    <m/>
    <m/>
    <n v="22"/>
    <n v="14"/>
    <n v="0.61111111111111116"/>
    <m/>
    <s v="Ken McGregor"/>
    <s v="AUS"/>
    <s v="Australia"/>
    <s v="U"/>
  </r>
  <r>
    <s v="1949"/>
    <s v="Women's"/>
    <x v="75"/>
    <s v="USA"/>
    <s v="United States"/>
    <s v="6–3, 6–4"/>
    <n v="1"/>
    <m/>
    <n v="6"/>
    <n v="3"/>
    <n v="6"/>
    <n v="4"/>
    <m/>
    <m/>
    <m/>
    <m/>
    <m/>
    <m/>
    <n v="12"/>
    <n v="7"/>
    <n v="0.63157894736842102"/>
    <m/>
    <s v="Nancye Wynne Bolton"/>
    <s v="AUS"/>
    <s v="Australia"/>
    <n v="2"/>
  </r>
  <r>
    <s v="1949"/>
    <s v="Men's"/>
    <x v="74"/>
    <s v="AUS"/>
    <s v="Australia"/>
    <s v="6–3, 6–2, 6–2"/>
    <n v="4"/>
    <m/>
    <n v="6"/>
    <n v="3"/>
    <n v="6"/>
    <n v="2"/>
    <n v="6"/>
    <n v="2"/>
    <m/>
    <m/>
    <m/>
    <m/>
    <n v="18"/>
    <n v="7"/>
    <n v="0.72"/>
    <m/>
    <s v="John Bromwich"/>
    <s v="AUS"/>
    <s v="Australia"/>
    <n v="1"/>
  </r>
  <r>
    <s v="1948"/>
    <s v="Women's"/>
    <x v="71"/>
    <s v="AUS"/>
    <s v="Australia"/>
    <s v="6–3, 6–1"/>
    <n v="1"/>
    <m/>
    <n v="6"/>
    <n v="3"/>
    <n v="6"/>
    <n v="1"/>
    <m/>
    <m/>
    <m/>
    <m/>
    <m/>
    <m/>
    <n v="12"/>
    <n v="4"/>
    <n v="0.75"/>
    <m/>
    <s v="Marie Toomey"/>
    <s v="AUS"/>
    <s v="Australia"/>
    <n v="4"/>
  </r>
  <r>
    <s v="1948"/>
    <s v="Men's"/>
    <x v="76"/>
    <s v="AUS"/>
    <s v="Australia"/>
    <s v="6–4, 3–6, 6–3, 2–6, 6–3"/>
    <n v="2"/>
    <m/>
    <n v="6"/>
    <n v="4"/>
    <n v="3"/>
    <n v="6"/>
    <n v="6"/>
    <n v="3"/>
    <n v="2"/>
    <n v="6"/>
    <n v="6"/>
    <n v="3"/>
    <n v="23"/>
    <n v="22"/>
    <n v="0.51111111111111107"/>
    <m/>
    <s v="John Bromwich"/>
    <s v="AUS"/>
    <s v="Australia"/>
    <n v="1"/>
  </r>
  <r>
    <s v="1947"/>
    <s v="Women's"/>
    <x v="71"/>
    <s v="AUS"/>
    <s v="Australia"/>
    <s v="6–3, 6–2"/>
    <n v="1"/>
    <m/>
    <n v="6"/>
    <n v="3"/>
    <n v="6"/>
    <n v="2"/>
    <m/>
    <m/>
    <m/>
    <m/>
    <m/>
    <m/>
    <n v="12"/>
    <n v="5"/>
    <n v="0.70588235294117652"/>
    <m/>
    <s v="Nell Hall Hopman"/>
    <s v="AUS"/>
    <s v="Australia"/>
    <n v="6"/>
  </r>
  <r>
    <s v="1947"/>
    <s v="Men's"/>
    <x v="77"/>
    <s v="AUS"/>
    <s v="Australia"/>
    <s v="4–6, 6–4, 3–6, 7–5, 8–6"/>
    <n v="2"/>
    <m/>
    <n v="4"/>
    <n v="6"/>
    <n v="6"/>
    <n v="4"/>
    <n v="3"/>
    <n v="6"/>
    <n v="7"/>
    <n v="5"/>
    <n v="8"/>
    <n v="6"/>
    <n v="28"/>
    <n v="27"/>
    <n v="0.50909090909090904"/>
    <m/>
    <s v="John Bromwich"/>
    <s v="AUS"/>
    <s v="Australia"/>
    <n v="1"/>
  </r>
  <r>
    <s v="1946"/>
    <s v="Women's"/>
    <x v="71"/>
    <s v="AUS"/>
    <s v="Australia"/>
    <s v="6–4, 6–4"/>
    <n v="1"/>
    <m/>
    <n v="6"/>
    <n v="4"/>
    <n v="6"/>
    <n v="4"/>
    <m/>
    <m/>
    <m/>
    <m/>
    <m/>
    <m/>
    <n v="12"/>
    <n v="8"/>
    <n v="0.6"/>
    <m/>
    <s v="Joyce Fitch"/>
    <s v="AUS"/>
    <s v="Australia"/>
    <n v="8"/>
  </r>
  <r>
    <s v="1946"/>
    <s v="Men's"/>
    <x v="78"/>
    <s v="AUS"/>
    <s v="Australia"/>
    <s v="5–7, 6–3, 7–5, 3–6, 6–2"/>
    <n v="1"/>
    <m/>
    <n v="5"/>
    <n v="7"/>
    <n v="6"/>
    <n v="3"/>
    <n v="7"/>
    <n v="5"/>
    <n v="3"/>
    <n v="6"/>
    <n v="6"/>
    <n v="2"/>
    <n v="27"/>
    <n v="23"/>
    <n v="0.54"/>
    <m/>
    <s v="Dinny Pails"/>
    <s v="AUS"/>
    <s v="Australia"/>
    <n v="3"/>
  </r>
  <r>
    <s v="1940"/>
    <s v="Women's"/>
    <x v="71"/>
    <s v="AUS"/>
    <s v="Australia"/>
    <s v="5–7, 6–4, 6–0"/>
    <n v="1"/>
    <m/>
    <n v="5"/>
    <n v="7"/>
    <n v="6"/>
    <n v="4"/>
    <n v="6"/>
    <n v="0"/>
    <m/>
    <m/>
    <m/>
    <m/>
    <n v="17"/>
    <n v="11"/>
    <n v="0.6071428571428571"/>
    <m/>
    <s v="Thelma Coyne Long"/>
    <s v="AUS"/>
    <s v="Australia"/>
    <n v="2"/>
  </r>
  <r>
    <s v="1940"/>
    <s v="Men's"/>
    <x v="76"/>
    <s v="AUS"/>
    <s v="Australia"/>
    <s v="6–3, 6–1, 6–2"/>
    <n v="2"/>
    <m/>
    <n v="6"/>
    <n v="3"/>
    <n v="6"/>
    <n v="1"/>
    <n v="6"/>
    <n v="2"/>
    <m/>
    <m/>
    <m/>
    <m/>
    <n v="18"/>
    <n v="6"/>
    <n v="0.75"/>
    <m/>
    <s v="Jack Crawford"/>
    <s v="AUS"/>
    <s v="Australia"/>
    <n v="4"/>
  </r>
  <r>
    <s v="1939"/>
    <s v="Women's"/>
    <x v="79"/>
    <s v="AUS"/>
    <s v="Australia"/>
    <s v="6–1, 6–2"/>
    <n v="6"/>
    <m/>
    <n v="6"/>
    <n v="1"/>
    <n v="6"/>
    <n v="2"/>
    <m/>
    <m/>
    <m/>
    <m/>
    <m/>
    <m/>
    <n v="12"/>
    <n v="3"/>
    <n v="0.8"/>
    <m/>
    <s v="Nell Hall Hopman"/>
    <s v="AUS"/>
    <s v="Australia"/>
    <n v="3"/>
  </r>
  <r>
    <s v="1939"/>
    <s v="Men's"/>
    <x v="78"/>
    <s v="AUS"/>
    <s v="Australia"/>
    <s v="6–4, 6–1, 6–3"/>
    <n v="1"/>
    <m/>
    <n v="6"/>
    <n v="4"/>
    <n v="6"/>
    <n v="1"/>
    <n v="6"/>
    <n v="3"/>
    <m/>
    <m/>
    <m/>
    <m/>
    <n v="18"/>
    <n v="8"/>
    <n v="0.69230769230769229"/>
    <m/>
    <s v="Adrian Quist"/>
    <s v="AUS"/>
    <s v="Australia"/>
    <n v="2"/>
  </r>
  <r>
    <s v="1938"/>
    <s v="Women's"/>
    <x v="80"/>
    <s v="USA"/>
    <s v="United States"/>
    <s v="6–3, 6–2"/>
    <n v="1"/>
    <m/>
    <n v="6"/>
    <n v="3"/>
    <n v="6"/>
    <n v="2"/>
    <m/>
    <m/>
    <m/>
    <m/>
    <m/>
    <m/>
    <n v="12"/>
    <n v="5"/>
    <n v="0.70588235294117652"/>
    <m/>
    <s v="Dorothy Stevenson"/>
    <s v="AUS"/>
    <s v="Australia"/>
    <n v="7"/>
  </r>
  <r>
    <s v="1938"/>
    <s v="Men's"/>
    <x v="81"/>
    <s v="USA"/>
    <s v="United States"/>
    <s v="6–4, 6–2, 6–1"/>
    <n v="1"/>
    <m/>
    <n v="6"/>
    <n v="4"/>
    <n v="6"/>
    <n v="2"/>
    <n v="6"/>
    <n v="1"/>
    <m/>
    <m/>
    <m/>
    <m/>
    <n v="18"/>
    <n v="7"/>
    <n v="0.72"/>
    <m/>
    <s v="John Bromwich"/>
    <s v="AUS"/>
    <s v="Australia"/>
    <n v="4"/>
  </r>
  <r>
    <s v="1937"/>
    <s v="Women's"/>
    <x v="71"/>
    <s v="AUS"/>
    <s v="Australia"/>
    <s v="6–3, 5–7, 6–4"/>
    <n v="2"/>
    <m/>
    <n v="6"/>
    <n v="3"/>
    <n v="5"/>
    <n v="7"/>
    <n v="6"/>
    <n v="4"/>
    <m/>
    <m/>
    <m/>
    <m/>
    <n v="17"/>
    <n v="14"/>
    <n v="0.54838709677419351"/>
    <m/>
    <s v="Emily Hood Westacott"/>
    <s v="AUS"/>
    <s v="Australia"/>
    <n v="7"/>
  </r>
  <r>
    <s v="1937"/>
    <s v="Men's"/>
    <x v="82"/>
    <s v="AUS"/>
    <s v="Australia"/>
    <s v="6–3, 1–6, 6–0, 2–6, 6–1"/>
    <n v="3"/>
    <m/>
    <n v="6"/>
    <n v="3"/>
    <n v="1"/>
    <n v="6"/>
    <n v="6"/>
    <n v="0"/>
    <n v="2"/>
    <n v="6"/>
    <n v="6"/>
    <n v="1"/>
    <n v="21"/>
    <n v="16"/>
    <n v="0.56756756756756754"/>
    <m/>
    <s v="John Bromwich"/>
    <s v="AUS"/>
    <s v="Australia"/>
    <n v="4"/>
  </r>
  <r>
    <s v="1936"/>
    <s v="Women's"/>
    <x v="83"/>
    <s v="AUS"/>
    <s v="Australia"/>
    <s v="6–4, 6–4"/>
    <n v="2"/>
    <m/>
    <n v="6"/>
    <n v="4"/>
    <n v="6"/>
    <n v="4"/>
    <m/>
    <m/>
    <m/>
    <m/>
    <m/>
    <m/>
    <n v="12"/>
    <n v="8"/>
    <n v="0.6"/>
    <m/>
    <s v="Nancye Wynne Bolton"/>
    <s v="AUS"/>
    <s v="Australia"/>
    <n v="6"/>
  </r>
  <r>
    <s v="1936"/>
    <s v="Men's"/>
    <x v="76"/>
    <s v="AUS"/>
    <s v="Australia"/>
    <s v="6–2, 6–3, 4–6, 3–6, 9–7"/>
    <n v="2"/>
    <m/>
    <n v="6"/>
    <n v="2"/>
    <n v="6"/>
    <n v="3"/>
    <n v="4"/>
    <n v="6"/>
    <n v="3"/>
    <n v="6"/>
    <n v="9"/>
    <n v="7"/>
    <n v="28"/>
    <n v="24"/>
    <n v="0.53846153846153844"/>
    <m/>
    <s v="Jack Crawford"/>
    <s v="AUS"/>
    <s v="Australia"/>
    <n v="1"/>
  </r>
  <r>
    <s v="1935"/>
    <s v="Women's"/>
    <x v="84"/>
    <s v="GBR"/>
    <s v="United Kingdom"/>
    <s v="1–6, 6–1, 6–3"/>
    <n v="1"/>
    <m/>
    <n v="1"/>
    <n v="6"/>
    <n v="6"/>
    <n v="1"/>
    <n v="6"/>
    <n v="3"/>
    <m/>
    <m/>
    <m/>
    <m/>
    <n v="13"/>
    <n v="10"/>
    <n v="0.56521739130434778"/>
    <m/>
    <s v="Nancy Lyle"/>
    <s v="GBR"/>
    <s v="United Kingdom"/>
    <n v="4"/>
  </r>
  <r>
    <s v="1935"/>
    <s v="Men's"/>
    <x v="85"/>
    <s v="AUS"/>
    <s v="Australia"/>
    <s v="2–6, 6–4, 6–4, 6–4"/>
    <n v="2"/>
    <m/>
    <n v="2"/>
    <n v="6"/>
    <n v="6"/>
    <n v="4"/>
    <n v="6"/>
    <n v="4"/>
    <n v="6"/>
    <n v="4"/>
    <m/>
    <m/>
    <n v="20"/>
    <n v="18"/>
    <n v="0.52631578947368418"/>
    <m/>
    <s v="Fred Perry"/>
    <s v="GBR"/>
    <s v="United Kingdom"/>
    <n v="1"/>
  </r>
  <r>
    <s v="1934"/>
    <s v="Women's"/>
    <x v="83"/>
    <s v="AUS"/>
    <s v="Australia"/>
    <s v="6–1, 6–4"/>
    <n v="1"/>
    <m/>
    <n v="6"/>
    <n v="1"/>
    <n v="6"/>
    <n v="4"/>
    <m/>
    <m/>
    <m/>
    <m/>
    <m/>
    <m/>
    <n v="12"/>
    <n v="5"/>
    <n v="0.70588235294117652"/>
    <m/>
    <s v="Margaret Molesworth"/>
    <s v="AUS"/>
    <s v="Australia"/>
    <n v="2"/>
  </r>
  <r>
    <s v="1934"/>
    <s v="Men's"/>
    <x v="86"/>
    <s v="GBR"/>
    <s v="United Kingdom"/>
    <s v="6–3, 7–5, 6–1"/>
    <n v="2"/>
    <m/>
    <n v="6"/>
    <n v="3"/>
    <n v="7"/>
    <n v="5"/>
    <n v="6"/>
    <n v="1"/>
    <m/>
    <m/>
    <m/>
    <m/>
    <n v="19"/>
    <n v="9"/>
    <n v="0.6785714285714286"/>
    <m/>
    <s v="Jack Crawford"/>
    <s v="AUS"/>
    <s v="Australia"/>
    <n v="1"/>
  </r>
  <r>
    <s v="1933"/>
    <s v="Women's"/>
    <x v="83"/>
    <s v="AUS"/>
    <s v="Australia"/>
    <s v="6–4, 6–3"/>
    <n v="1"/>
    <m/>
    <n v="6"/>
    <n v="4"/>
    <n v="6"/>
    <n v="3"/>
    <m/>
    <m/>
    <m/>
    <m/>
    <m/>
    <m/>
    <n v="12"/>
    <n v="7"/>
    <n v="0.63157894736842102"/>
    <m/>
    <s v="Coral Buttsworth"/>
    <s v="AUS"/>
    <s v="Australia"/>
    <n v="2"/>
  </r>
  <r>
    <s v="1933"/>
    <s v="Men's"/>
    <x v="85"/>
    <s v="AUS"/>
    <s v="Australia"/>
    <s v="2–6, 7–5, 6–3, 6–2"/>
    <n v="2"/>
    <m/>
    <n v="2"/>
    <n v="6"/>
    <n v="7"/>
    <n v="5"/>
    <n v="6"/>
    <n v="3"/>
    <n v="6"/>
    <n v="2"/>
    <m/>
    <m/>
    <n v="21"/>
    <n v="16"/>
    <n v="0.56756756756756754"/>
    <m/>
    <s v="Keith Gledhill"/>
    <s v="USA"/>
    <s v="United States"/>
    <n v="7"/>
  </r>
  <r>
    <s v="1932"/>
    <s v="Women's"/>
    <x v="87"/>
    <s v="AUS"/>
    <s v="Australia"/>
    <s v="9–7, 6–4"/>
    <n v="3"/>
    <m/>
    <n v="9"/>
    <n v="7"/>
    <n v="6"/>
    <n v="4"/>
    <m/>
    <m/>
    <m/>
    <m/>
    <m/>
    <m/>
    <n v="15"/>
    <n v="11"/>
    <n v="0.57692307692307687"/>
    <m/>
    <s v="Kathleen Le Messurier"/>
    <s v="AUS"/>
    <s v="Australia"/>
    <s v="U"/>
  </r>
  <r>
    <s v="1932"/>
    <s v="Men's"/>
    <x v="85"/>
    <s v="AUS"/>
    <s v="Australia"/>
    <s v="4–6, 6–3, 3–6, 6–3, 6–1"/>
    <n v="1"/>
    <m/>
    <n v="4"/>
    <n v="6"/>
    <n v="6"/>
    <n v="3"/>
    <n v="3"/>
    <n v="6"/>
    <n v="6"/>
    <n v="3"/>
    <n v="6"/>
    <n v="1"/>
    <n v="25"/>
    <n v="19"/>
    <n v="0.56818181818181823"/>
    <m/>
    <s v="Harry Hopman"/>
    <s v="AUS"/>
    <s v="Australia"/>
    <n v="4"/>
  </r>
  <r>
    <s v="1931"/>
    <s v="Women's"/>
    <x v="87"/>
    <s v="AUS"/>
    <s v="Australia"/>
    <s v="1–6, 6–3, 6–4"/>
    <n v="4"/>
    <m/>
    <n v="1"/>
    <n v="6"/>
    <n v="6"/>
    <n v="3"/>
    <n v="6"/>
    <n v="4"/>
    <m/>
    <m/>
    <m/>
    <m/>
    <n v="13"/>
    <n v="13"/>
    <n v="0.5"/>
    <m/>
    <s v="Marjorie Cox Crawford"/>
    <s v="AUS"/>
    <s v="Australia"/>
    <n v="1"/>
  </r>
  <r>
    <s v="1931"/>
    <s v="Men's"/>
    <x v="85"/>
    <s v="AUS"/>
    <s v="Australia"/>
    <s v="6–4, 6–2, 2–6, 6–1"/>
    <n v="1"/>
    <m/>
    <n v="6"/>
    <n v="4"/>
    <n v="6"/>
    <n v="2"/>
    <n v="2"/>
    <n v="6"/>
    <n v="6"/>
    <n v="1"/>
    <m/>
    <m/>
    <n v="20"/>
    <n v="13"/>
    <n v="0.60606060606060608"/>
    <m/>
    <s v="Harry Hopman"/>
    <s v="AUS"/>
    <s v="Australia"/>
    <n v="2"/>
  </r>
  <r>
    <s v="1930"/>
    <s v="Women's"/>
    <x v="88"/>
    <s v="AUS"/>
    <s v="Australia"/>
    <s v="10–8, 2–6, 7–5"/>
    <n v="1"/>
    <m/>
    <n v="10"/>
    <n v="8"/>
    <n v="2"/>
    <n v="6"/>
    <n v="7"/>
    <n v="5"/>
    <m/>
    <m/>
    <m/>
    <m/>
    <n v="19"/>
    <n v="19"/>
    <n v="0.5"/>
    <m/>
    <s v="Sylvia Lance Harper"/>
    <s v="AUS"/>
    <s v="Australia"/>
    <n v="4"/>
  </r>
  <r>
    <s v="1930"/>
    <s v="Men's"/>
    <x v="89"/>
    <s v="AUS"/>
    <s v="Australia"/>
    <s v="6–3, 6–1, 6–3"/>
    <n v="3"/>
    <m/>
    <n v="6"/>
    <n v="3"/>
    <n v="6"/>
    <n v="1"/>
    <n v="6"/>
    <n v="3"/>
    <m/>
    <m/>
    <m/>
    <m/>
    <n v="18"/>
    <n v="7"/>
    <n v="0.72"/>
    <m/>
    <s v="Harry Hopman"/>
    <s v="AUS"/>
    <s v="Australia"/>
    <n v="2"/>
  </r>
  <r>
    <s v="1929"/>
    <s v="Women's"/>
    <x v="88"/>
    <s v="AUS"/>
    <s v="Australia"/>
    <s v="6–1, 5–7, 6–2"/>
    <n v="1"/>
    <m/>
    <n v="6"/>
    <n v="1"/>
    <n v="5"/>
    <n v="7"/>
    <n v="6"/>
    <n v="2"/>
    <m/>
    <m/>
    <m/>
    <m/>
    <n v="17"/>
    <n v="10"/>
    <n v="0.62962962962962965"/>
    <m/>
    <s v="Louie Bickerton"/>
    <s v="AUS"/>
    <s v="Australia"/>
    <n v="2"/>
  </r>
  <r>
    <s v="1929"/>
    <s v="Men's"/>
    <x v="90"/>
    <s v="GBR"/>
    <s v="United Kingdom"/>
    <s v="6–2, 6–2, 5–7, 7–5"/>
    <n v="4"/>
    <m/>
    <n v="6"/>
    <n v="2"/>
    <n v="6"/>
    <n v="2"/>
    <n v="5"/>
    <n v="7"/>
    <n v="7"/>
    <n v="5"/>
    <m/>
    <m/>
    <n v="24"/>
    <n v="16"/>
    <n v="0.6"/>
    <m/>
    <s v="Richard Schlesinger"/>
    <s v="AUS"/>
    <s v="Australia"/>
    <n v="5"/>
  </r>
  <r>
    <s v="1928"/>
    <s v="Women's"/>
    <x v="88"/>
    <s v="AUS"/>
    <s v="Australia"/>
    <s v="7–5, 6–2"/>
    <n v="2"/>
    <m/>
    <n v="7"/>
    <n v="5"/>
    <n v="6"/>
    <n v="2"/>
    <m/>
    <m/>
    <m/>
    <m/>
    <m/>
    <m/>
    <n v="13"/>
    <n v="7"/>
    <n v="0.65"/>
    <m/>
    <s v="Esna Boyd"/>
    <s v="AUS"/>
    <s v="Australia"/>
    <n v="1"/>
  </r>
  <r>
    <s v="1928"/>
    <s v="Men's"/>
    <x v="91"/>
    <s v="FRA"/>
    <s v="France"/>
    <s v="6–4, 6–1, 4–6, 5–7, 6–3"/>
    <n v="1"/>
    <m/>
    <n v="6"/>
    <n v="4"/>
    <n v="6"/>
    <n v="1"/>
    <n v="4"/>
    <n v="6"/>
    <n v="5"/>
    <n v="7"/>
    <n v="6"/>
    <n v="3"/>
    <n v="27"/>
    <n v="21"/>
    <n v="0.5625"/>
    <m/>
    <s v="Jack Cummings"/>
    <s v="AUS"/>
    <s v="Australia"/>
    <s v="U"/>
  </r>
  <r>
    <s v="1927"/>
    <s v="Women's"/>
    <x v="92"/>
    <s v="AUS"/>
    <s v="Australia"/>
    <s v="5–7, 6–1, 6–2"/>
    <n v="1"/>
    <m/>
    <n v="5"/>
    <n v="7"/>
    <n v="6"/>
    <n v="1"/>
    <n v="6"/>
    <n v="2"/>
    <m/>
    <m/>
    <m/>
    <m/>
    <n v="17"/>
    <n v="10"/>
    <n v="0.62962962962962965"/>
    <m/>
    <s v="Sylvia Lance Harper"/>
    <s v="AUS"/>
    <s v="Australia"/>
    <n v="3"/>
  </r>
  <r>
    <s v="1927"/>
    <s v="Men's"/>
    <x v="93"/>
    <s v="AUS"/>
    <s v="Australia"/>
    <s v="3–6, 6–4, 3–6, 18–16, 6–3"/>
    <n v="1"/>
    <m/>
    <n v="3"/>
    <n v="6"/>
    <n v="6"/>
    <n v="4"/>
    <n v="3"/>
    <n v="6"/>
    <n v="18"/>
    <n v="16"/>
    <n v="6"/>
    <n v="3"/>
    <n v="36"/>
    <n v="35"/>
    <n v="0.50704225352112675"/>
    <m/>
    <s v="John Hawkes"/>
    <s v="AUS"/>
    <s v="Australia"/>
    <n v="3"/>
  </r>
  <r>
    <s v="1926"/>
    <s v="Women's"/>
    <x v="88"/>
    <s v="AUS"/>
    <s v="Australia"/>
    <s v="6–1, 6–3"/>
    <n v="1"/>
    <m/>
    <n v="6"/>
    <n v="1"/>
    <n v="6"/>
    <n v="3"/>
    <m/>
    <m/>
    <m/>
    <m/>
    <m/>
    <m/>
    <n v="12"/>
    <n v="4"/>
    <n v="0.75"/>
    <m/>
    <s v="Esna Boyd"/>
    <s v="AUS"/>
    <s v="Australia"/>
    <n v="2"/>
  </r>
  <r>
    <s v="1926"/>
    <s v="Men's"/>
    <x v="94"/>
    <s v="AUS"/>
    <s v="Australia"/>
    <s v="6–1, 6–3, 6–1"/>
    <n v="4"/>
    <m/>
    <n v="6"/>
    <n v="1"/>
    <n v="6"/>
    <n v="3"/>
    <n v="6"/>
    <n v="1"/>
    <m/>
    <m/>
    <m/>
    <m/>
    <n v="18"/>
    <n v="5"/>
    <n v="0.78260869565217395"/>
    <m/>
    <s v="James Willard"/>
    <s v="AUS"/>
    <s v="Australia"/>
    <n v="8"/>
  </r>
  <r>
    <s v="1925"/>
    <s v="Women's"/>
    <x v="88"/>
    <s v="AUS"/>
    <s v="Australia"/>
    <s v="1–6, 8–6, 6–4"/>
    <n v="2"/>
    <m/>
    <n v="1"/>
    <n v="6"/>
    <n v="8"/>
    <n v="6"/>
    <n v="6"/>
    <n v="4"/>
    <m/>
    <m/>
    <m/>
    <m/>
    <n v="15"/>
    <n v="16"/>
    <n v="0.4838709677419355"/>
    <m/>
    <s v="Esna Boyd"/>
    <s v="AUS"/>
    <s v="Australia"/>
    <n v="3"/>
  </r>
  <r>
    <s v="1925"/>
    <s v="Men's"/>
    <x v="95"/>
    <s v="AUS"/>
    <s v="Australia"/>
    <s v="11–9, 2–6, 6–2, 6–3"/>
    <n v="1"/>
    <m/>
    <n v="11"/>
    <n v="9"/>
    <n v="2"/>
    <n v="6"/>
    <n v="6"/>
    <n v="2"/>
    <n v="6"/>
    <n v="3"/>
    <m/>
    <m/>
    <n v="25"/>
    <n v="20"/>
    <n v="0.55555555555555558"/>
    <m/>
    <s v="Gerald Patterson"/>
    <s v="AUS"/>
    <s v="Australia"/>
    <n v="2"/>
  </r>
  <r>
    <s v="1924"/>
    <s v="Women's"/>
    <x v="96"/>
    <s v="AUS"/>
    <s v="Australia"/>
    <s v="6–3, 3–6, 8–6"/>
    <n v="3"/>
    <m/>
    <n v="6"/>
    <n v="3"/>
    <n v="3"/>
    <n v="6"/>
    <n v="8"/>
    <n v="6"/>
    <m/>
    <m/>
    <m/>
    <m/>
    <n v="17"/>
    <n v="15"/>
    <n v="0.53125"/>
    <m/>
    <s v="Esna Boyd"/>
    <s v="AUS"/>
    <s v="Australia"/>
    <n v="2"/>
  </r>
  <r>
    <s v="1924"/>
    <s v="Men's"/>
    <x v="95"/>
    <s v="AUS"/>
    <s v="Australia"/>
    <s v="6–3, 6–4, 3–6, 5–7, 6–3"/>
    <n v="1"/>
    <m/>
    <n v="6"/>
    <n v="3"/>
    <n v="6"/>
    <n v="4"/>
    <n v="3"/>
    <n v="6"/>
    <n v="5"/>
    <n v="7"/>
    <n v="6"/>
    <n v="3"/>
    <n v="26"/>
    <n v="23"/>
    <n v="0.53061224489795922"/>
    <m/>
    <s v="Richard Schlesinger"/>
    <s v="AUS"/>
    <s v="Australia"/>
    <n v="4"/>
  </r>
  <r>
    <s v="1923"/>
    <s v="Women's"/>
    <x v="97"/>
    <s v="AUS"/>
    <s v="Australia"/>
    <s v="6–1, 7–5"/>
    <m/>
    <m/>
    <n v="6"/>
    <n v="1"/>
    <n v="7"/>
    <n v="5"/>
    <m/>
    <m/>
    <m/>
    <m/>
    <m/>
    <m/>
    <n v="13"/>
    <n v="6"/>
    <n v="0.68421052631578949"/>
    <m/>
    <s v="Esna Boyd"/>
    <s v="AUS"/>
    <s v="Australia"/>
    <m/>
  </r>
  <r>
    <s v="1923"/>
    <s v="Men's"/>
    <x v="98"/>
    <s v="AUS"/>
    <s v="Australia"/>
    <s v="6–1, 6–1, 6–3"/>
    <m/>
    <m/>
    <n v="6"/>
    <n v="1"/>
    <n v="6"/>
    <n v="1"/>
    <n v="6"/>
    <n v="3"/>
    <m/>
    <m/>
    <m/>
    <m/>
    <n v="18"/>
    <n v="5"/>
    <n v="0.78260869565217395"/>
    <m/>
    <s v="Bert St. John"/>
    <s v="AUS"/>
    <s v="Australia"/>
    <m/>
  </r>
  <r>
    <s v="1922"/>
    <s v="Women's"/>
    <x v="97"/>
    <s v="AUS"/>
    <s v="Australia"/>
    <s v="6–3, 10–8"/>
    <m/>
    <m/>
    <n v="6"/>
    <n v="3"/>
    <n v="10"/>
    <n v="8"/>
    <m/>
    <m/>
    <m/>
    <m/>
    <m/>
    <m/>
    <n v="16"/>
    <n v="11"/>
    <n v="0.59259259259259256"/>
    <m/>
    <s v="Esna Boyd"/>
    <s v="AUS"/>
    <s v="Australia"/>
    <m/>
  </r>
  <r>
    <s v="1922"/>
    <s v="Men's"/>
    <x v="95"/>
    <s v="AUS"/>
    <s v="Australia"/>
    <s v="6–0, 3–6, 3–6, 6–3, 6–2"/>
    <m/>
    <m/>
    <n v="6"/>
    <n v="0"/>
    <n v="3"/>
    <n v="6"/>
    <n v="3"/>
    <n v="6"/>
    <n v="6"/>
    <n v="3"/>
    <n v="6"/>
    <n v="2"/>
    <n v="24"/>
    <n v="17"/>
    <n v="0.58536585365853655"/>
    <m/>
    <s v="Gerald Patterson"/>
    <s v="AUS"/>
    <s v="Australia"/>
    <m/>
  </r>
  <r>
    <s v="1921"/>
    <s v="Men's"/>
    <x v="99"/>
    <s v="AUS"/>
    <s v="Australia"/>
    <s v="7–5, 6–1, 6–4"/>
    <m/>
    <m/>
    <n v="7"/>
    <n v="5"/>
    <n v="6"/>
    <n v="1"/>
    <n v="6"/>
    <n v="4"/>
    <m/>
    <m/>
    <m/>
    <m/>
    <n v="19"/>
    <n v="10"/>
    <n v="0.65517241379310343"/>
    <m/>
    <s v="Alf Hedeman"/>
    <s v="AUS"/>
    <s v="Australia"/>
    <m/>
  </r>
  <r>
    <s v="1920"/>
    <s v="Men's"/>
    <x v="98"/>
    <s v="AUS"/>
    <s v="Australia"/>
    <s v="6–3, 4–6, 6–8, 6–1, 6–3"/>
    <m/>
    <m/>
    <n v="6"/>
    <n v="3"/>
    <n v="4"/>
    <n v="6"/>
    <n v="6"/>
    <n v="8"/>
    <n v="6"/>
    <n v="1"/>
    <n v="6"/>
    <n v="3"/>
    <n v="28"/>
    <n v="21"/>
    <n v="0.5714285714285714"/>
    <m/>
    <s v="Ronald Thomas"/>
    <s v="AUS"/>
    <s v="Australia"/>
    <m/>
  </r>
  <r>
    <s v="1919"/>
    <s v="Men's"/>
    <x v="100"/>
    <s v="GBR"/>
    <s v="United Kingdom"/>
    <s v="6–4, 6–0, 6–3"/>
    <m/>
    <m/>
    <n v="6"/>
    <n v="4"/>
    <n v="6"/>
    <n v="0"/>
    <n v="6"/>
    <n v="3"/>
    <m/>
    <m/>
    <m/>
    <m/>
    <n v="18"/>
    <n v="7"/>
    <n v="0.72"/>
    <m/>
    <s v="Eric Pockley"/>
    <s v="AUS"/>
    <s v="Australia"/>
    <m/>
  </r>
  <r>
    <s v="1915"/>
    <s v="Men's"/>
    <x v="101"/>
    <s v="GBR"/>
    <s v="United Kingdom"/>
    <s v="4–6, 6–1, 6–1, 6–4"/>
    <m/>
    <m/>
    <n v="4"/>
    <n v="6"/>
    <n v="6"/>
    <n v="1"/>
    <n v="6"/>
    <n v="1"/>
    <n v="6"/>
    <n v="4"/>
    <m/>
    <m/>
    <n v="22"/>
    <n v="12"/>
    <n v="0.6470588235294118"/>
    <m/>
    <s v="Horace Rice"/>
    <s v="AUS"/>
    <s v="Australia"/>
    <m/>
  </r>
  <r>
    <s v="1914"/>
    <s v="Men's"/>
    <x v="102"/>
    <s v="AUS"/>
    <s v="Australia"/>
    <s v="6–4, 6–3, 5–7, 6–1"/>
    <m/>
    <m/>
    <n v="6"/>
    <n v="4"/>
    <n v="6"/>
    <n v="3"/>
    <n v="5"/>
    <n v="7"/>
    <n v="6"/>
    <n v="1"/>
    <m/>
    <m/>
    <n v="23"/>
    <n v="15"/>
    <n v="0.60526315789473684"/>
    <m/>
    <s v="Gerald Patterson"/>
    <s v="AUS"/>
    <s v="Australia"/>
    <m/>
  </r>
  <r>
    <s v="1913"/>
    <s v="Men's"/>
    <x v="103"/>
    <s v="AUS"/>
    <s v="Australia"/>
    <s v="2–6, 6–1, 6–3, 6–2"/>
    <m/>
    <m/>
    <n v="2"/>
    <n v="6"/>
    <n v="6"/>
    <n v="1"/>
    <n v="6"/>
    <n v="3"/>
    <n v="6"/>
    <n v="2"/>
    <m/>
    <m/>
    <n v="20"/>
    <n v="12"/>
    <n v="0.625"/>
    <m/>
    <s v="Harry Parker"/>
    <s v="NZL"/>
    <s v="New Zealand"/>
    <m/>
  </r>
  <r>
    <s v="1912"/>
    <s v="Men's"/>
    <x v="104"/>
    <s v="GBR"/>
    <s v="United Kingdom"/>
    <s v="3–6, 6–3, 1–6, 6–1, 7–5"/>
    <m/>
    <m/>
    <n v="3"/>
    <n v="6"/>
    <n v="6"/>
    <n v="3"/>
    <n v="1"/>
    <n v="6"/>
    <n v="6"/>
    <n v="1"/>
    <n v="7"/>
    <n v="5"/>
    <n v="23"/>
    <n v="21"/>
    <n v="0.52272727272727271"/>
    <m/>
    <s v="Alfred Beamish"/>
    <s v="GBR"/>
    <s v="United Kingdom"/>
    <m/>
  </r>
  <r>
    <s v="1911"/>
    <s v="Men's"/>
    <x v="105"/>
    <s v="AUS"/>
    <s v="Australia"/>
    <s v="6–1, 6–2, 6–3"/>
    <m/>
    <m/>
    <n v="6"/>
    <n v="1"/>
    <n v="6"/>
    <n v="2"/>
    <n v="6"/>
    <n v="3"/>
    <m/>
    <m/>
    <m/>
    <m/>
    <n v="18"/>
    <n v="6"/>
    <n v="0.75"/>
    <m/>
    <s v="Horace Rice"/>
    <s v="AUS"/>
    <s v="Australia"/>
    <m/>
  </r>
  <r>
    <s v="1910"/>
    <s v="Men's"/>
    <x v="106"/>
    <s v="AUS"/>
    <s v="Australia"/>
    <s v="6–4, 6–3, 6–2"/>
    <m/>
    <m/>
    <n v="6"/>
    <n v="4"/>
    <n v="6"/>
    <n v="3"/>
    <n v="6"/>
    <n v="2"/>
    <m/>
    <m/>
    <m/>
    <m/>
    <n v="18"/>
    <n v="9"/>
    <n v="0.66666666666666663"/>
    <m/>
    <s v="Horace Rice"/>
    <s v="AUS"/>
    <s v="Australia"/>
    <m/>
  </r>
  <r>
    <s v="1909"/>
    <s v="Men's"/>
    <x v="107"/>
    <s v="NZL"/>
    <s v="New Zealand"/>
    <s v="6–1, 7–5, 6–2"/>
    <m/>
    <m/>
    <n v="6"/>
    <n v="1"/>
    <n v="7"/>
    <n v="5"/>
    <n v="6"/>
    <n v="2"/>
    <m/>
    <m/>
    <m/>
    <m/>
    <n v="19"/>
    <n v="8"/>
    <n v="0.70370370370370372"/>
    <m/>
    <s v="Ernie Parker"/>
    <s v="AUS"/>
    <s v="Australia"/>
    <m/>
  </r>
  <r>
    <s v="1908"/>
    <s v="Men's"/>
    <x v="108"/>
    <s v="USA"/>
    <s v="United States"/>
    <s v="3–6, 3–6, 6–0, 6–2, 6–3"/>
    <m/>
    <m/>
    <n v="3"/>
    <n v="6"/>
    <n v="3"/>
    <n v="6"/>
    <n v="6"/>
    <n v="0"/>
    <n v="6"/>
    <n v="2"/>
    <n v="6"/>
    <n v="3"/>
    <n v="24"/>
    <n v="17"/>
    <n v="0.58536585365853655"/>
    <m/>
    <s v="Alfred Dunlop"/>
    <s v="AUS"/>
    <s v="Australia"/>
    <m/>
  </r>
  <r>
    <s v="1907"/>
    <s v="Men's"/>
    <x v="109"/>
    <s v="AUS"/>
    <s v="Australia"/>
    <s v="6–3, 6–4, 6–4"/>
    <m/>
    <m/>
    <n v="6"/>
    <n v="3"/>
    <n v="6"/>
    <n v="4"/>
    <n v="6"/>
    <n v="4"/>
    <m/>
    <m/>
    <m/>
    <m/>
    <n v="18"/>
    <n v="11"/>
    <n v="0.62068965517241381"/>
    <m/>
    <s v="Harry Parker"/>
    <s v="NZL"/>
    <s v="New Zealand"/>
    <m/>
  </r>
  <r>
    <s v="1906"/>
    <s v="Men's"/>
    <x v="107"/>
    <s v="NZL"/>
    <s v="New Zealand"/>
    <s v="6–0, 6–4, 6–4"/>
    <m/>
    <m/>
    <n v="6"/>
    <n v="0"/>
    <n v="6"/>
    <n v="4"/>
    <n v="6"/>
    <n v="4"/>
    <m/>
    <m/>
    <m/>
    <m/>
    <n v="18"/>
    <n v="8"/>
    <n v="0.69230769230769229"/>
    <m/>
    <s v="Francis Fisher"/>
    <s v="NZL"/>
    <s v="New Zealand"/>
    <m/>
  </r>
  <r>
    <s v="1905"/>
    <s v="Men's"/>
    <x v="106"/>
    <s v="AUS"/>
    <s v="Australia"/>
    <s v="4–6, 6–3, 6–4, 6–4"/>
    <m/>
    <m/>
    <n v="4"/>
    <n v="6"/>
    <n v="6"/>
    <n v="3"/>
    <n v="6"/>
    <n v="4"/>
    <n v="6"/>
    <n v="4"/>
    <m/>
    <m/>
    <n v="22"/>
    <n v="17"/>
    <n v="0.5641025641025641"/>
    <m/>
    <s v="Albert Curtis"/>
    <s v="AUS"/>
    <s v="Australia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1DE4980-6721-40E7-8B43-91CEF53DEDFC}" name="PivotTable1" cacheId="330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1:B112" firstHeaderRow="1" firstDataRow="1" firstDataCol="1"/>
  <pivotFields count="26">
    <pivotField compact="0" outline="0" showAll="0"/>
    <pivotField compact="0" outline="0" showAll="0"/>
    <pivotField axis="axisRow" dataField="1" compact="0" outline="0" showAll="0" sortType="descending">
      <items count="111">
        <item x="76"/>
        <item x="61"/>
        <item x="100"/>
        <item x="17"/>
        <item x="20"/>
        <item x="62"/>
        <item x="11"/>
        <item x="107"/>
        <item x="54"/>
        <item x="102"/>
        <item x="2"/>
        <item x="4"/>
        <item x="63"/>
        <item x="41"/>
        <item x="66"/>
        <item x="57"/>
        <item x="56"/>
        <item x="29"/>
        <item x="40"/>
        <item x="8"/>
        <item x="38"/>
        <item x="43"/>
        <item x="87"/>
        <item x="88"/>
        <item x="72"/>
        <item x="77"/>
        <item x="81"/>
        <item x="75"/>
        <item x="80"/>
        <item x="84"/>
        <item x="89"/>
        <item x="79"/>
        <item x="103"/>
        <item x="92"/>
        <item x="44"/>
        <item x="74"/>
        <item x="108"/>
        <item x="86"/>
        <item x="93"/>
        <item x="101"/>
        <item x="42"/>
        <item x="35"/>
        <item x="109"/>
        <item x="33"/>
        <item x="85"/>
        <item x="95"/>
        <item x="104"/>
        <item x="1"/>
        <item x="91"/>
        <item x="21"/>
        <item x="32"/>
        <item x="50"/>
        <item x="83"/>
        <item x="39"/>
        <item x="78"/>
        <item x="90"/>
        <item x="94"/>
        <item x="49"/>
        <item x="19"/>
        <item x="70"/>
        <item x="53"/>
        <item x="46"/>
        <item x="15"/>
        <item x="65"/>
        <item x="12"/>
        <item x="23"/>
        <item x="73"/>
        <item x="0"/>
        <item x="18"/>
        <item x="51"/>
        <item x="97"/>
        <item x="16"/>
        <item x="48"/>
        <item x="24"/>
        <item x="37"/>
        <item x="60"/>
        <item x="30"/>
        <item x="34"/>
        <item x="69"/>
        <item x="68"/>
        <item x="28"/>
        <item x="58"/>
        <item x="71"/>
        <item x="6"/>
        <item x="105"/>
        <item x="3"/>
        <item x="98"/>
        <item x="27"/>
        <item x="26"/>
        <item x="5"/>
        <item x="99"/>
        <item x="55"/>
        <item x="106"/>
        <item x="9"/>
        <item x="47"/>
        <item x="59"/>
        <item x="10"/>
        <item x="64"/>
        <item x="7"/>
        <item x="13"/>
        <item x="36"/>
        <item x="31"/>
        <item x="96"/>
        <item x="67"/>
        <item x="22"/>
        <item x="14"/>
        <item x="52"/>
        <item x="45"/>
        <item x="82"/>
        <item x="25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</pivotFields>
  <rowFields count="1">
    <field x="2"/>
  </rowFields>
  <rowItems count="111">
    <i>
      <x v="69"/>
    </i>
    <i>
      <x v="85"/>
    </i>
    <i>
      <x v="96"/>
    </i>
    <i>
      <x v="93"/>
    </i>
    <i>
      <x v="82"/>
    </i>
    <i>
      <x v="95"/>
    </i>
    <i>
      <x v="23"/>
    </i>
    <i>
      <x v="44"/>
    </i>
    <i>
      <x v="60"/>
    </i>
    <i>
      <x v="34"/>
    </i>
    <i>
      <x v="80"/>
    </i>
    <i>
      <x v="4"/>
    </i>
    <i>
      <x v="101"/>
    </i>
    <i>
      <x v="77"/>
    </i>
    <i>
      <x v="45"/>
    </i>
    <i>
      <x v="52"/>
    </i>
    <i>
      <x v="74"/>
    </i>
    <i>
      <x v="91"/>
    </i>
    <i>
      <x v="73"/>
    </i>
    <i>
      <x/>
    </i>
    <i>
      <x v="87"/>
    </i>
    <i>
      <x v="20"/>
    </i>
    <i>
      <x v="47"/>
    </i>
    <i>
      <x v="103"/>
    </i>
    <i>
      <x v="12"/>
    </i>
    <i>
      <x v="105"/>
    </i>
    <i>
      <x v="17"/>
    </i>
    <i>
      <x v="22"/>
    </i>
    <i>
      <x v="50"/>
    </i>
    <i>
      <x v="7"/>
    </i>
    <i>
      <x v="83"/>
    </i>
    <i>
      <x v="70"/>
    </i>
    <i>
      <x v="86"/>
    </i>
    <i>
      <x v="10"/>
    </i>
    <i>
      <x v="89"/>
    </i>
    <i>
      <x v="35"/>
    </i>
    <i>
      <x v="92"/>
    </i>
    <i>
      <x v="75"/>
    </i>
    <i>
      <x v="49"/>
    </i>
    <i>
      <x v="40"/>
    </i>
    <i>
      <x v="100"/>
    </i>
    <i>
      <x v="41"/>
    </i>
    <i>
      <x v="53"/>
    </i>
    <i>
      <x v="43"/>
    </i>
    <i>
      <x v="57"/>
    </i>
    <i>
      <x v="54"/>
    </i>
    <i>
      <x v="109"/>
    </i>
    <i>
      <x v="39"/>
    </i>
    <i>
      <x v="33"/>
    </i>
    <i>
      <x v="16"/>
    </i>
    <i>
      <x v="13"/>
    </i>
    <i>
      <x v="48"/>
    </i>
    <i>
      <x v="81"/>
    </i>
    <i>
      <x v="5"/>
    </i>
    <i>
      <x v="36"/>
    </i>
    <i>
      <x v="18"/>
    </i>
    <i>
      <x v="97"/>
    </i>
    <i>
      <x v="51"/>
    </i>
    <i>
      <x v="15"/>
    </i>
    <i>
      <x v="19"/>
    </i>
    <i>
      <x v="79"/>
    </i>
    <i>
      <x v="6"/>
    </i>
    <i>
      <x v="32"/>
    </i>
    <i>
      <x v="21"/>
    </i>
    <i>
      <x v="3"/>
    </i>
    <i>
      <x v="55"/>
    </i>
    <i>
      <x v="37"/>
    </i>
    <i>
      <x v="56"/>
    </i>
    <i>
      <x v="11"/>
    </i>
    <i>
      <x v="2"/>
    </i>
    <i>
      <x v="99"/>
    </i>
    <i>
      <x v="58"/>
    </i>
    <i>
      <x v="14"/>
    </i>
    <i>
      <x v="59"/>
    </i>
    <i>
      <x v="107"/>
    </i>
    <i>
      <x v="8"/>
    </i>
    <i>
      <x v="78"/>
    </i>
    <i>
      <x v="61"/>
    </i>
    <i>
      <x v="30"/>
    </i>
    <i>
      <x v="62"/>
    </i>
    <i>
      <x v="31"/>
    </i>
    <i>
      <x v="63"/>
    </i>
    <i>
      <x v="84"/>
    </i>
    <i>
      <x v="64"/>
    </i>
    <i>
      <x v="9"/>
    </i>
    <i>
      <x v="65"/>
    </i>
    <i>
      <x v="88"/>
    </i>
    <i>
      <x v="66"/>
    </i>
    <i>
      <x v="90"/>
    </i>
    <i>
      <x v="67"/>
    </i>
    <i>
      <x v="38"/>
    </i>
    <i>
      <x v="68"/>
    </i>
    <i>
      <x v="94"/>
    </i>
    <i>
      <x v="24"/>
    </i>
    <i>
      <x v="1"/>
    </i>
    <i>
      <x v="25"/>
    </i>
    <i>
      <x v="98"/>
    </i>
    <i>
      <x v="71"/>
    </i>
    <i>
      <x v="42"/>
    </i>
    <i>
      <x v="72"/>
    </i>
    <i>
      <x v="102"/>
    </i>
    <i>
      <x v="26"/>
    </i>
    <i>
      <x v="104"/>
    </i>
    <i>
      <x v="27"/>
    </i>
    <i>
      <x v="106"/>
    </i>
    <i>
      <x v="28"/>
    </i>
    <i>
      <x v="108"/>
    </i>
    <i>
      <x v="76"/>
    </i>
    <i>
      <x v="46"/>
    </i>
    <i>
      <x v="29"/>
    </i>
    <i t="grand">
      <x/>
    </i>
  </rowItems>
  <colItems count="1">
    <i/>
  </colItems>
  <dataFields count="1">
    <dataField name="Total wins" fld="2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G1000"/>
  <sheetViews>
    <sheetView tabSelected="1" workbookViewId="0">
      <pane xSplit="2" ySplit="1" topLeftCell="C2" activePane="bottomRight" state="frozen"/>
      <selection pane="bottomRight" sqref="A1:A1048576"/>
      <selection pane="bottomLeft" activeCell="A2" sqref="A2"/>
      <selection pane="topRight" activeCell="C1" sqref="C1"/>
    </sheetView>
  </sheetViews>
  <sheetFormatPr defaultRowHeight="15" customHeight="1"/>
  <cols>
    <col min="1" max="1" width="8.28515625" bestFit="1" customWidth="1"/>
    <col min="2" max="2" width="9.28515625" bestFit="1" customWidth="1"/>
    <col min="3" max="3" width="20.7109375" bestFit="1" customWidth="1"/>
    <col min="4" max="4" width="20.5703125" bestFit="1" customWidth="1"/>
    <col min="5" max="5" width="17.7109375" bestFit="1" customWidth="1"/>
    <col min="6" max="6" width="26" bestFit="1" customWidth="1"/>
    <col min="7" max="7" width="26" customWidth="1"/>
    <col min="8" max="8" width="15" style="36" customWidth="1"/>
    <col min="9" max="9" width="5.42578125" style="4" bestFit="1" customWidth="1"/>
    <col min="10" max="10" width="8.28515625" bestFit="1" customWidth="1"/>
    <col min="11" max="11" width="13.140625" customWidth="1"/>
    <col min="12" max="12" width="12.5703125" customWidth="1"/>
    <col min="13" max="13" width="8.7109375" bestFit="1" customWidth="1"/>
    <col min="14" max="14" width="8.42578125" bestFit="1" customWidth="1"/>
    <col min="15" max="15" width="11" customWidth="1"/>
    <col min="16" max="16" width="8.42578125" bestFit="1" customWidth="1"/>
    <col min="17" max="17" width="8" bestFit="1" customWidth="1"/>
    <col min="18" max="18" width="15" customWidth="1"/>
    <col min="19" max="19" width="8.42578125" bestFit="1" customWidth="1"/>
    <col min="20" max="20" width="8" bestFit="1" customWidth="1"/>
    <col min="21" max="21" width="16.140625" customWidth="1"/>
    <col min="22" max="22" width="8.42578125" bestFit="1" customWidth="1"/>
    <col min="23" max="23" width="8" bestFit="1" customWidth="1"/>
    <col min="24" max="24" width="13.7109375" customWidth="1"/>
    <col min="25" max="25" width="15.140625" customWidth="1"/>
    <col min="26" max="26" width="8" customWidth="1"/>
    <col min="27" max="27" width="10.5703125" customWidth="1"/>
    <col min="28" max="28" width="15.7109375" customWidth="1"/>
    <col min="29" max="29" width="18.5703125" style="25" customWidth="1"/>
    <col min="30" max="30" width="22.42578125" bestFit="1" customWidth="1"/>
    <col min="31" max="31" width="21" bestFit="1" customWidth="1"/>
    <col min="32" max="32" width="18.28515625" bestFit="1" customWidth="1"/>
    <col min="33" max="33" width="15.42578125" style="4" bestFit="1" customWidth="1"/>
  </cols>
  <sheetData>
    <row r="1" spans="1:33" s="1" customFormat="1">
      <c r="A1" s="3" t="s">
        <v>0</v>
      </c>
      <c r="B1" s="5" t="s">
        <v>1</v>
      </c>
      <c r="C1" s="5" t="s">
        <v>2</v>
      </c>
      <c r="D1" s="5" t="s">
        <v>3</v>
      </c>
      <c r="E1" s="6" t="s">
        <v>4</v>
      </c>
      <c r="F1" s="7" t="s">
        <v>5</v>
      </c>
      <c r="G1" s="7" t="s">
        <v>6</v>
      </c>
      <c r="H1" s="33" t="s">
        <v>7</v>
      </c>
      <c r="I1" s="27" t="s">
        <v>8</v>
      </c>
      <c r="J1" s="8" t="s">
        <v>9</v>
      </c>
      <c r="K1" s="8" t="s">
        <v>10</v>
      </c>
      <c r="L1" s="8" t="s">
        <v>11</v>
      </c>
      <c r="M1" s="8" t="s">
        <v>12</v>
      </c>
      <c r="N1" s="8" t="s">
        <v>13</v>
      </c>
      <c r="O1" s="8" t="s">
        <v>14</v>
      </c>
      <c r="P1" s="8" t="s">
        <v>15</v>
      </c>
      <c r="Q1" s="8" t="s">
        <v>16</v>
      </c>
      <c r="R1" s="8" t="s">
        <v>17</v>
      </c>
      <c r="S1" s="8" t="s">
        <v>18</v>
      </c>
      <c r="T1" s="8" t="s">
        <v>19</v>
      </c>
      <c r="U1" s="8" t="s">
        <v>20</v>
      </c>
      <c r="V1" s="8" t="s">
        <v>21</v>
      </c>
      <c r="W1" s="8" t="s">
        <v>22</v>
      </c>
      <c r="X1" s="8" t="s">
        <v>23</v>
      </c>
      <c r="Y1" s="8" t="s">
        <v>24</v>
      </c>
      <c r="Z1" s="8" t="s">
        <v>25</v>
      </c>
      <c r="AA1" s="8" t="s">
        <v>26</v>
      </c>
      <c r="AB1" s="8" t="s">
        <v>27</v>
      </c>
      <c r="AC1" s="23" t="s">
        <v>28</v>
      </c>
      <c r="AD1" s="5" t="s">
        <v>29</v>
      </c>
      <c r="AE1" s="5" t="s">
        <v>30</v>
      </c>
      <c r="AF1" s="6" t="s">
        <v>31</v>
      </c>
      <c r="AG1" s="20" t="s">
        <v>32</v>
      </c>
    </row>
    <row r="2" spans="1:33" s="22" customFormat="1">
      <c r="A2" s="21" t="s">
        <v>33</v>
      </c>
      <c r="B2" s="15" t="s">
        <v>34</v>
      </c>
      <c r="C2" s="15" t="s">
        <v>35</v>
      </c>
      <c r="D2" s="15" t="s">
        <v>36</v>
      </c>
      <c r="E2" s="15" t="s">
        <v>37</v>
      </c>
      <c r="F2" s="15" t="s">
        <v>38</v>
      </c>
      <c r="G2" s="15" t="s">
        <v>39</v>
      </c>
      <c r="H2" s="34">
        <v>19</v>
      </c>
      <c r="I2" s="28">
        <v>122</v>
      </c>
      <c r="J2" s="16">
        <v>6</v>
      </c>
      <c r="K2" s="16">
        <v>3</v>
      </c>
      <c r="L2" s="32">
        <f>J2/(J2+K2)</f>
        <v>0.66666666666666663</v>
      </c>
      <c r="M2" s="16">
        <v>2</v>
      </c>
      <c r="N2" s="16">
        <v>6</v>
      </c>
      <c r="O2" s="32">
        <f>M2/(M2+N2)</f>
        <v>0.25</v>
      </c>
      <c r="P2" s="16">
        <v>7</v>
      </c>
      <c r="Q2" s="16">
        <v>5</v>
      </c>
      <c r="R2" s="32">
        <f>P2/(P2+Q2)</f>
        <v>0.58333333333333337</v>
      </c>
      <c r="S2" s="16"/>
      <c r="T2" s="16"/>
      <c r="U2" s="32" t="e">
        <f>S2/(S2+T2)</f>
        <v>#DIV/0!</v>
      </c>
      <c r="V2" s="16"/>
      <c r="W2" s="16"/>
      <c r="X2" s="16" t="e">
        <f>V2/(V2+W2)</f>
        <v>#DIV/0!</v>
      </c>
      <c r="Y2" s="16">
        <f>COUNTA(J2:W2)/2</f>
        <v>5</v>
      </c>
      <c r="Z2" s="16">
        <f>J2+M2+P2+S2+V2</f>
        <v>15</v>
      </c>
      <c r="AA2" s="16">
        <f>K2+N2+Q2+T2+W2</f>
        <v>14</v>
      </c>
      <c r="AB2" s="16">
        <f>Z2+AA2</f>
        <v>29</v>
      </c>
      <c r="AC2" s="24">
        <f>Z2/SUM(Z2,AA2)</f>
        <v>0.51724137931034486</v>
      </c>
      <c r="AD2" s="15" t="s">
        <v>40</v>
      </c>
      <c r="AE2" s="15" t="s">
        <v>41</v>
      </c>
      <c r="AF2" s="15" t="s">
        <v>42</v>
      </c>
      <c r="AG2" s="16">
        <v>1</v>
      </c>
    </row>
    <row r="3" spans="1:33" s="22" customFormat="1">
      <c r="A3" s="21" t="s">
        <v>33</v>
      </c>
      <c r="B3" s="15" t="s">
        <v>43</v>
      </c>
      <c r="C3" s="15" t="s">
        <v>44</v>
      </c>
      <c r="D3" s="15" t="s">
        <v>45</v>
      </c>
      <c r="E3" s="15" t="s">
        <v>46</v>
      </c>
      <c r="F3" s="15" t="s">
        <v>47</v>
      </c>
      <c r="G3" s="15" t="s">
        <v>39</v>
      </c>
      <c r="H3" s="34">
        <v>1</v>
      </c>
      <c r="I3" s="28">
        <v>162</v>
      </c>
      <c r="J3" s="16">
        <v>6</v>
      </c>
      <c r="K3" s="16">
        <v>3</v>
      </c>
      <c r="L3" s="32">
        <f t="shared" ref="L3:L66" si="0">J3/(J3+K3)</f>
        <v>0.66666666666666663</v>
      </c>
      <c r="M3" s="16">
        <v>7</v>
      </c>
      <c r="N3" s="16">
        <v>6</v>
      </c>
      <c r="O3" s="32">
        <f t="shared" ref="O3:O66" si="1">M3/(M3+N3)</f>
        <v>0.53846153846153844</v>
      </c>
      <c r="P3" s="16">
        <v>6</v>
      </c>
      <c r="Q3" s="16">
        <v>3</v>
      </c>
      <c r="R3" s="32">
        <f t="shared" ref="R3:R66" si="2">P3/(P3+Q3)</f>
        <v>0.66666666666666663</v>
      </c>
      <c r="S3" s="16"/>
      <c r="T3" s="16"/>
      <c r="U3" s="32" t="e">
        <f t="shared" ref="U3:U66" si="3">S3/(S3+T3)</f>
        <v>#DIV/0!</v>
      </c>
      <c r="V3" s="16"/>
      <c r="W3" s="16"/>
      <c r="X3" s="16" t="e">
        <f t="shared" ref="X3:X66" si="4">V3/(V3+W3)</f>
        <v>#DIV/0!</v>
      </c>
      <c r="Y3" s="16">
        <f>COUNTA(J3:W3)/2</f>
        <v>5</v>
      </c>
      <c r="Z3" s="16">
        <f>J3+M3+P3+S3+V3</f>
        <v>19</v>
      </c>
      <c r="AA3" s="16">
        <f t="shared" ref="AA3:AA66" si="5">K3+N3+Q3+T3+W3</f>
        <v>12</v>
      </c>
      <c r="AB3" s="16">
        <f t="shared" ref="AB3:AB66" si="6">Z3+AA3</f>
        <v>31</v>
      </c>
      <c r="AC3" s="24">
        <f t="shared" ref="AC3:AC66" si="7">Z3/SUM(Z3,AA3)</f>
        <v>0.61290322580645162</v>
      </c>
      <c r="AD3" s="15" t="s">
        <v>48</v>
      </c>
      <c r="AE3" s="15" t="s">
        <v>49</v>
      </c>
      <c r="AF3" s="15" t="s">
        <v>50</v>
      </c>
      <c r="AG3" s="16">
        <v>2</v>
      </c>
    </row>
    <row r="4" spans="1:33">
      <c r="A4" s="9">
        <v>2024</v>
      </c>
      <c r="B4" s="10" t="s">
        <v>34</v>
      </c>
      <c r="C4" s="11" t="s">
        <v>40</v>
      </c>
      <c r="D4" s="11" t="s">
        <v>41</v>
      </c>
      <c r="E4" s="11" t="s">
        <v>42</v>
      </c>
      <c r="F4" s="12" t="s">
        <v>51</v>
      </c>
      <c r="G4" s="15" t="s">
        <v>39</v>
      </c>
      <c r="H4" s="35">
        <v>2</v>
      </c>
      <c r="I4" s="29">
        <v>76</v>
      </c>
      <c r="J4" s="13">
        <v>6</v>
      </c>
      <c r="K4" s="13">
        <v>3</v>
      </c>
      <c r="L4" s="32">
        <f t="shared" si="0"/>
        <v>0.66666666666666663</v>
      </c>
      <c r="M4" s="13">
        <v>6</v>
      </c>
      <c r="N4" s="13">
        <v>2</v>
      </c>
      <c r="O4" s="32">
        <f t="shared" si="1"/>
        <v>0.75</v>
      </c>
      <c r="P4" s="13"/>
      <c r="Q4" s="13"/>
      <c r="R4" s="32" t="e">
        <f>P4/(P4+Q4)</f>
        <v>#DIV/0!</v>
      </c>
      <c r="S4" s="13"/>
      <c r="T4" s="13"/>
      <c r="U4" s="32" t="e">
        <f t="shared" si="3"/>
        <v>#DIV/0!</v>
      </c>
      <c r="V4" s="13"/>
      <c r="W4" s="13"/>
      <c r="X4" s="16" t="e">
        <f t="shared" si="4"/>
        <v>#DIV/0!</v>
      </c>
      <c r="Y4" s="16">
        <f>COUNTA(J4:W4)/2</f>
        <v>4</v>
      </c>
      <c r="Z4" s="16">
        <f>J4+M4+P4+S4+V4</f>
        <v>12</v>
      </c>
      <c r="AA4" s="16">
        <f t="shared" si="5"/>
        <v>5</v>
      </c>
      <c r="AB4" s="16">
        <f t="shared" si="6"/>
        <v>17</v>
      </c>
      <c r="AC4" s="24">
        <f t="shared" si="7"/>
        <v>0.70588235294117652</v>
      </c>
      <c r="AD4" s="11" t="s">
        <v>52</v>
      </c>
      <c r="AE4" s="11" t="s">
        <v>53</v>
      </c>
      <c r="AF4" s="11" t="s">
        <v>54</v>
      </c>
      <c r="AG4" s="13">
        <v>2</v>
      </c>
    </row>
    <row r="5" spans="1:33">
      <c r="A5" s="9">
        <v>2024</v>
      </c>
      <c r="B5" s="10" t="s">
        <v>43</v>
      </c>
      <c r="C5" s="11" t="s">
        <v>44</v>
      </c>
      <c r="D5" s="11" t="s">
        <v>45</v>
      </c>
      <c r="E5" s="11" t="s">
        <v>46</v>
      </c>
      <c r="F5" s="12" t="s">
        <v>55</v>
      </c>
      <c r="G5" s="15" t="s">
        <v>39</v>
      </c>
      <c r="H5" s="35">
        <v>4</v>
      </c>
      <c r="I5" s="29">
        <v>224</v>
      </c>
      <c r="J5" s="13">
        <v>3</v>
      </c>
      <c r="K5" s="13">
        <v>6</v>
      </c>
      <c r="L5" s="32">
        <f t="shared" si="0"/>
        <v>0.33333333333333331</v>
      </c>
      <c r="M5" s="13">
        <v>3</v>
      </c>
      <c r="N5" s="13">
        <v>6</v>
      </c>
      <c r="O5" s="32">
        <f t="shared" si="1"/>
        <v>0.33333333333333331</v>
      </c>
      <c r="P5" s="13">
        <v>6</v>
      </c>
      <c r="Q5" s="13">
        <v>4</v>
      </c>
      <c r="R5" s="32">
        <f t="shared" si="2"/>
        <v>0.6</v>
      </c>
      <c r="S5" s="13">
        <v>6</v>
      </c>
      <c r="T5" s="13">
        <v>4</v>
      </c>
      <c r="U5" s="32">
        <f t="shared" si="3"/>
        <v>0.6</v>
      </c>
      <c r="V5" s="13">
        <v>6</v>
      </c>
      <c r="W5" s="13">
        <v>3</v>
      </c>
      <c r="X5" s="16">
        <f t="shared" si="4"/>
        <v>0.66666666666666663</v>
      </c>
      <c r="Y5" s="16">
        <f>COUNTA(J5:W5)/2</f>
        <v>7</v>
      </c>
      <c r="Z5" s="16">
        <f>J5+M5+P5+S5+V5</f>
        <v>24</v>
      </c>
      <c r="AA5" s="16">
        <f t="shared" si="5"/>
        <v>23</v>
      </c>
      <c r="AB5" s="16">
        <f t="shared" si="6"/>
        <v>47</v>
      </c>
      <c r="AC5" s="24">
        <f t="shared" si="7"/>
        <v>0.51063829787234039</v>
      </c>
      <c r="AD5" s="11" t="s">
        <v>56</v>
      </c>
      <c r="AE5" s="11" t="s">
        <v>57</v>
      </c>
      <c r="AF5" s="11" t="s">
        <v>58</v>
      </c>
      <c r="AG5" s="13">
        <v>3</v>
      </c>
    </row>
    <row r="6" spans="1:33" s="2" customFormat="1">
      <c r="A6" s="14">
        <v>2023</v>
      </c>
      <c r="B6" s="10" t="s">
        <v>34</v>
      </c>
      <c r="C6" s="15" t="s">
        <v>40</v>
      </c>
      <c r="D6" s="15" t="s">
        <v>41</v>
      </c>
      <c r="E6" s="15" t="s">
        <v>42</v>
      </c>
      <c r="F6" s="15" t="s">
        <v>59</v>
      </c>
      <c r="G6" s="15" t="s">
        <v>39</v>
      </c>
      <c r="H6" s="34">
        <v>5</v>
      </c>
      <c r="I6" s="28">
        <v>148</v>
      </c>
      <c r="J6" s="16">
        <v>4</v>
      </c>
      <c r="K6" s="16">
        <v>6</v>
      </c>
      <c r="L6" s="32">
        <f t="shared" si="0"/>
        <v>0.4</v>
      </c>
      <c r="M6" s="16">
        <v>6</v>
      </c>
      <c r="N6" s="16">
        <v>3</v>
      </c>
      <c r="O6" s="32">
        <f t="shared" si="1"/>
        <v>0.66666666666666663</v>
      </c>
      <c r="P6" s="16">
        <v>6</v>
      </c>
      <c r="Q6" s="16">
        <v>4</v>
      </c>
      <c r="R6" s="32">
        <f t="shared" si="2"/>
        <v>0.6</v>
      </c>
      <c r="S6" s="16"/>
      <c r="T6" s="16"/>
      <c r="U6" s="32" t="e">
        <f t="shared" si="3"/>
        <v>#DIV/0!</v>
      </c>
      <c r="V6" s="16"/>
      <c r="W6" s="16"/>
      <c r="X6" s="16" t="e">
        <f t="shared" si="4"/>
        <v>#DIV/0!</v>
      </c>
      <c r="Y6" s="16">
        <f>COUNTA(J6:W6)/2</f>
        <v>5</v>
      </c>
      <c r="Z6" s="16">
        <f>J6+M6+P6+S6+V6</f>
        <v>16</v>
      </c>
      <c r="AA6" s="16">
        <f t="shared" si="5"/>
        <v>13</v>
      </c>
      <c r="AB6" s="16">
        <f t="shared" si="6"/>
        <v>29</v>
      </c>
      <c r="AC6" s="24">
        <f t="shared" si="7"/>
        <v>0.55172413793103448</v>
      </c>
      <c r="AD6" s="15" t="s">
        <v>60</v>
      </c>
      <c r="AE6" s="15" t="s">
        <v>61</v>
      </c>
      <c r="AF6" s="15" t="s">
        <v>62</v>
      </c>
      <c r="AG6" s="16">
        <v>22</v>
      </c>
    </row>
    <row r="7" spans="1:33" s="2" customFormat="1">
      <c r="A7" s="14">
        <v>2023</v>
      </c>
      <c r="B7" s="10" t="s">
        <v>43</v>
      </c>
      <c r="C7" s="10" t="s">
        <v>63</v>
      </c>
      <c r="D7" s="10" t="s">
        <v>64</v>
      </c>
      <c r="E7" s="10" t="s">
        <v>65</v>
      </c>
      <c r="F7" s="15" t="s">
        <v>66</v>
      </c>
      <c r="G7" s="15" t="s">
        <v>39</v>
      </c>
      <c r="H7" s="34">
        <v>4</v>
      </c>
      <c r="I7" s="28">
        <v>176</v>
      </c>
      <c r="J7" s="16">
        <v>6</v>
      </c>
      <c r="K7" s="16">
        <v>3</v>
      </c>
      <c r="L7" s="32">
        <f t="shared" si="0"/>
        <v>0.66666666666666663</v>
      </c>
      <c r="M7" s="16">
        <v>7</v>
      </c>
      <c r="N7" s="16">
        <v>6</v>
      </c>
      <c r="O7" s="32">
        <f t="shared" si="1"/>
        <v>0.53846153846153844</v>
      </c>
      <c r="P7" s="16">
        <v>7</v>
      </c>
      <c r="Q7" s="16">
        <v>6</v>
      </c>
      <c r="R7" s="32">
        <f t="shared" si="2"/>
        <v>0.53846153846153844</v>
      </c>
      <c r="S7" s="16"/>
      <c r="T7" s="16"/>
      <c r="U7" s="32" t="e">
        <f t="shared" si="3"/>
        <v>#DIV/0!</v>
      </c>
      <c r="V7" s="16"/>
      <c r="W7" s="16"/>
      <c r="X7" s="16" t="e">
        <f t="shared" si="4"/>
        <v>#DIV/0!</v>
      </c>
      <c r="Y7" s="16">
        <f>COUNTA(J7:W7)/2</f>
        <v>5</v>
      </c>
      <c r="Z7" s="16">
        <f>J7+M7+P7+S7+V7</f>
        <v>20</v>
      </c>
      <c r="AA7" s="16">
        <f t="shared" si="5"/>
        <v>15</v>
      </c>
      <c r="AB7" s="16">
        <f t="shared" si="6"/>
        <v>35</v>
      </c>
      <c r="AC7" s="24">
        <f t="shared" si="7"/>
        <v>0.5714285714285714</v>
      </c>
      <c r="AD7" s="15" t="s">
        <v>67</v>
      </c>
      <c r="AE7" s="15" t="s">
        <v>68</v>
      </c>
      <c r="AF7" s="15" t="s">
        <v>69</v>
      </c>
      <c r="AG7" s="16">
        <v>3</v>
      </c>
    </row>
    <row r="8" spans="1:33">
      <c r="A8" s="9" t="s">
        <v>70</v>
      </c>
      <c r="B8" s="10" t="s">
        <v>34</v>
      </c>
      <c r="C8" s="11" t="s">
        <v>71</v>
      </c>
      <c r="D8" s="11" t="s">
        <v>72</v>
      </c>
      <c r="E8" s="11" t="s">
        <v>73</v>
      </c>
      <c r="F8" s="12" t="s">
        <v>74</v>
      </c>
      <c r="G8" s="15" t="s">
        <v>39</v>
      </c>
      <c r="H8" s="35">
        <v>1</v>
      </c>
      <c r="I8" s="30">
        <v>75</v>
      </c>
      <c r="J8" s="13">
        <v>6</v>
      </c>
      <c r="K8" s="13">
        <v>3</v>
      </c>
      <c r="L8" s="32">
        <f t="shared" si="0"/>
        <v>0.66666666666666663</v>
      </c>
      <c r="M8" s="13">
        <v>7</v>
      </c>
      <c r="N8" s="13">
        <v>6</v>
      </c>
      <c r="O8" s="32">
        <f t="shared" si="1"/>
        <v>0.53846153846153844</v>
      </c>
      <c r="P8" s="13"/>
      <c r="Q8" s="13"/>
      <c r="R8" s="32" t="e">
        <f t="shared" si="2"/>
        <v>#DIV/0!</v>
      </c>
      <c r="S8" s="13"/>
      <c r="T8" s="13"/>
      <c r="U8" s="32" t="e">
        <f t="shared" si="3"/>
        <v>#DIV/0!</v>
      </c>
      <c r="V8" s="13"/>
      <c r="W8" s="13"/>
      <c r="X8" s="16" t="e">
        <f t="shared" si="4"/>
        <v>#DIV/0!</v>
      </c>
      <c r="Y8" s="16">
        <f>COUNTA(J8:W8)/2</f>
        <v>4</v>
      </c>
      <c r="Z8" s="16">
        <f>J8+M8+P8+S8+V8</f>
        <v>13</v>
      </c>
      <c r="AA8" s="16">
        <f t="shared" si="5"/>
        <v>9</v>
      </c>
      <c r="AB8" s="16">
        <f t="shared" si="6"/>
        <v>22</v>
      </c>
      <c r="AC8" s="24">
        <f t="shared" si="7"/>
        <v>0.59090909090909094</v>
      </c>
      <c r="AD8" s="11" t="s">
        <v>75</v>
      </c>
      <c r="AE8" s="11" t="s">
        <v>36</v>
      </c>
      <c r="AF8" s="11" t="s">
        <v>37</v>
      </c>
      <c r="AG8" s="13">
        <v>27</v>
      </c>
    </row>
    <row r="9" spans="1:33">
      <c r="A9" s="9" t="s">
        <v>70</v>
      </c>
      <c r="B9" s="10" t="s">
        <v>43</v>
      </c>
      <c r="C9" s="11" t="s">
        <v>76</v>
      </c>
      <c r="D9" s="11" t="s">
        <v>77</v>
      </c>
      <c r="E9" s="11" t="s">
        <v>78</v>
      </c>
      <c r="F9" s="11" t="s">
        <v>79</v>
      </c>
      <c r="G9" s="15" t="s">
        <v>39</v>
      </c>
      <c r="H9" s="35">
        <v>2</v>
      </c>
      <c r="I9" s="30">
        <v>324</v>
      </c>
      <c r="J9" s="13">
        <v>2</v>
      </c>
      <c r="K9" s="13">
        <v>6</v>
      </c>
      <c r="L9" s="32">
        <f t="shared" si="0"/>
        <v>0.25</v>
      </c>
      <c r="M9" s="13">
        <v>6</v>
      </c>
      <c r="N9" s="13">
        <v>7</v>
      </c>
      <c r="O9" s="32">
        <f t="shared" si="1"/>
        <v>0.46153846153846156</v>
      </c>
      <c r="P9" s="13">
        <v>6</v>
      </c>
      <c r="Q9" s="13">
        <v>4</v>
      </c>
      <c r="R9" s="32">
        <f t="shared" si="2"/>
        <v>0.6</v>
      </c>
      <c r="S9" s="13">
        <v>6</v>
      </c>
      <c r="T9" s="13">
        <v>4</v>
      </c>
      <c r="U9" s="32">
        <f t="shared" si="3"/>
        <v>0.6</v>
      </c>
      <c r="V9" s="13">
        <v>7</v>
      </c>
      <c r="W9" s="13">
        <v>5</v>
      </c>
      <c r="X9" s="16">
        <f t="shared" si="4"/>
        <v>0.58333333333333337</v>
      </c>
      <c r="Y9" s="16">
        <f>COUNTA(J9:W9)/2</f>
        <v>7</v>
      </c>
      <c r="Z9" s="16">
        <f>J9+M9+P9+S9+V9</f>
        <v>27</v>
      </c>
      <c r="AA9" s="16">
        <f t="shared" si="5"/>
        <v>26</v>
      </c>
      <c r="AB9" s="16">
        <f t="shared" si="6"/>
        <v>53</v>
      </c>
      <c r="AC9" s="24">
        <f t="shared" si="7"/>
        <v>0.50943396226415094</v>
      </c>
      <c r="AD9" s="11" t="s">
        <v>56</v>
      </c>
      <c r="AE9" s="11" t="s">
        <v>57</v>
      </c>
      <c r="AF9" s="11" t="s">
        <v>58</v>
      </c>
      <c r="AG9" s="13">
        <v>6</v>
      </c>
    </row>
    <row r="10" spans="1:33">
      <c r="A10" s="14" t="s">
        <v>80</v>
      </c>
      <c r="B10" s="10" t="s">
        <v>34</v>
      </c>
      <c r="C10" s="10" t="s">
        <v>81</v>
      </c>
      <c r="D10" s="10" t="s">
        <v>82</v>
      </c>
      <c r="E10" s="10" t="s">
        <v>83</v>
      </c>
      <c r="F10" s="10" t="s">
        <v>84</v>
      </c>
      <c r="G10" s="15" t="s">
        <v>39</v>
      </c>
      <c r="H10" s="34">
        <v>3</v>
      </c>
      <c r="I10" s="28">
        <v>77</v>
      </c>
      <c r="J10" s="16">
        <v>6</v>
      </c>
      <c r="K10" s="16">
        <v>4</v>
      </c>
      <c r="L10" s="32">
        <f t="shared" si="0"/>
        <v>0.6</v>
      </c>
      <c r="M10" s="16">
        <v>6</v>
      </c>
      <c r="N10" s="16">
        <v>3</v>
      </c>
      <c r="O10" s="32">
        <f t="shared" si="1"/>
        <v>0.66666666666666663</v>
      </c>
      <c r="P10" s="16"/>
      <c r="Q10" s="16"/>
      <c r="R10" s="32" t="e">
        <f t="shared" si="2"/>
        <v>#DIV/0!</v>
      </c>
      <c r="S10" s="16"/>
      <c r="T10" s="16"/>
      <c r="U10" s="32" t="e">
        <f t="shared" si="3"/>
        <v>#DIV/0!</v>
      </c>
      <c r="V10" s="16"/>
      <c r="W10" s="16"/>
      <c r="X10" s="16" t="e">
        <f t="shared" si="4"/>
        <v>#DIV/0!</v>
      </c>
      <c r="Y10" s="16">
        <f>COUNTA(J10:W10)/2</f>
        <v>4</v>
      </c>
      <c r="Z10" s="16">
        <f>J10+M10+P10+S10+V10</f>
        <v>12</v>
      </c>
      <c r="AA10" s="16">
        <f t="shared" si="5"/>
        <v>7</v>
      </c>
      <c r="AB10" s="16">
        <f t="shared" si="6"/>
        <v>19</v>
      </c>
      <c r="AC10" s="24">
        <f t="shared" si="7"/>
        <v>0.63157894736842102</v>
      </c>
      <c r="AD10" s="10" t="s">
        <v>85</v>
      </c>
      <c r="AE10" s="10" t="s">
        <v>36</v>
      </c>
      <c r="AF10" s="10" t="s">
        <v>37</v>
      </c>
      <c r="AG10" s="16">
        <v>22</v>
      </c>
    </row>
    <row r="11" spans="1:33">
      <c r="A11" s="14" t="s">
        <v>80</v>
      </c>
      <c r="B11" s="10" t="s">
        <v>43</v>
      </c>
      <c r="C11" s="10" t="s">
        <v>63</v>
      </c>
      <c r="D11" s="10" t="s">
        <v>64</v>
      </c>
      <c r="E11" s="10" t="s">
        <v>65</v>
      </c>
      <c r="F11" s="10" t="s">
        <v>86</v>
      </c>
      <c r="G11" s="15" t="s">
        <v>39</v>
      </c>
      <c r="H11" s="34">
        <v>1</v>
      </c>
      <c r="I11" s="28">
        <v>113</v>
      </c>
      <c r="J11" s="16">
        <v>7</v>
      </c>
      <c r="K11" s="16">
        <v>5</v>
      </c>
      <c r="L11" s="32">
        <f t="shared" si="0"/>
        <v>0.58333333333333337</v>
      </c>
      <c r="M11" s="16">
        <v>6</v>
      </c>
      <c r="N11" s="16">
        <v>2</v>
      </c>
      <c r="O11" s="32">
        <f t="shared" si="1"/>
        <v>0.75</v>
      </c>
      <c r="P11" s="16">
        <v>6</v>
      </c>
      <c r="Q11" s="16">
        <v>2</v>
      </c>
      <c r="R11" s="32">
        <f t="shared" si="2"/>
        <v>0.75</v>
      </c>
      <c r="S11" s="16"/>
      <c r="T11" s="16"/>
      <c r="U11" s="32" t="e">
        <f t="shared" si="3"/>
        <v>#DIV/0!</v>
      </c>
      <c r="V11" s="16"/>
      <c r="W11" s="16"/>
      <c r="X11" s="16" t="e">
        <f t="shared" si="4"/>
        <v>#DIV/0!</v>
      </c>
      <c r="Y11" s="16">
        <f>COUNTA(J11:W11)/2</f>
        <v>5</v>
      </c>
      <c r="Z11" s="16">
        <f>J11+M11+P11+S11+V11</f>
        <v>19</v>
      </c>
      <c r="AA11" s="16">
        <f t="shared" si="5"/>
        <v>9</v>
      </c>
      <c r="AB11" s="16">
        <f t="shared" si="6"/>
        <v>28</v>
      </c>
      <c r="AC11" s="24">
        <f t="shared" si="7"/>
        <v>0.6785714285714286</v>
      </c>
      <c r="AD11" s="10" t="s">
        <v>56</v>
      </c>
      <c r="AE11" s="10" t="s">
        <v>57</v>
      </c>
      <c r="AF11" s="10" t="s">
        <v>58</v>
      </c>
      <c r="AG11" s="16">
        <v>4</v>
      </c>
    </row>
    <row r="12" spans="1:33">
      <c r="A12" s="9" t="s">
        <v>87</v>
      </c>
      <c r="B12" s="10" t="s">
        <v>34</v>
      </c>
      <c r="C12" s="11" t="s">
        <v>88</v>
      </c>
      <c r="D12" s="11" t="s">
        <v>36</v>
      </c>
      <c r="E12" s="11" t="s">
        <v>37</v>
      </c>
      <c r="F12" s="11" t="s">
        <v>89</v>
      </c>
      <c r="G12" s="15" t="s">
        <v>39</v>
      </c>
      <c r="H12" s="35">
        <v>14</v>
      </c>
      <c r="I12" s="30">
        <v>123</v>
      </c>
      <c r="J12" s="13">
        <v>4</v>
      </c>
      <c r="K12" s="13">
        <v>6</v>
      </c>
      <c r="L12" s="32">
        <f t="shared" si="0"/>
        <v>0.4</v>
      </c>
      <c r="M12" s="13">
        <v>6</v>
      </c>
      <c r="N12" s="13">
        <v>2</v>
      </c>
      <c r="O12" s="32">
        <f t="shared" si="1"/>
        <v>0.75</v>
      </c>
      <c r="P12" s="13">
        <v>6</v>
      </c>
      <c r="Q12" s="13">
        <v>2</v>
      </c>
      <c r="R12" s="32">
        <f t="shared" si="2"/>
        <v>0.75</v>
      </c>
      <c r="S12" s="13"/>
      <c r="T12" s="13"/>
      <c r="U12" s="32" t="e">
        <f t="shared" si="3"/>
        <v>#DIV/0!</v>
      </c>
      <c r="V12" s="13"/>
      <c r="W12" s="13"/>
      <c r="X12" s="16" t="e">
        <f t="shared" si="4"/>
        <v>#DIV/0!</v>
      </c>
      <c r="Y12" s="16">
        <f>COUNTA(J12:W12)/2</f>
        <v>5</v>
      </c>
      <c r="Z12" s="16">
        <f>J12+M12+P12+S12+V12</f>
        <v>16</v>
      </c>
      <c r="AA12" s="16">
        <f t="shared" si="5"/>
        <v>10</v>
      </c>
      <c r="AB12" s="16">
        <f t="shared" si="6"/>
        <v>26</v>
      </c>
      <c r="AC12" s="24">
        <f t="shared" si="7"/>
        <v>0.61538461538461542</v>
      </c>
      <c r="AD12" s="11" t="s">
        <v>90</v>
      </c>
      <c r="AE12" s="11" t="s">
        <v>77</v>
      </c>
      <c r="AF12" s="11" t="s">
        <v>78</v>
      </c>
      <c r="AG12" s="13" t="s">
        <v>91</v>
      </c>
    </row>
    <row r="13" spans="1:33">
      <c r="A13" s="9" t="s">
        <v>87</v>
      </c>
      <c r="B13" s="10" t="s">
        <v>43</v>
      </c>
      <c r="C13" s="11" t="s">
        <v>63</v>
      </c>
      <c r="D13" s="11" t="s">
        <v>64</v>
      </c>
      <c r="E13" s="17" t="s">
        <v>65</v>
      </c>
      <c r="F13" s="11" t="s">
        <v>92</v>
      </c>
      <c r="G13" s="15" t="s">
        <v>39</v>
      </c>
      <c r="H13" s="35">
        <v>2</v>
      </c>
      <c r="I13" s="30">
        <v>239</v>
      </c>
      <c r="J13" s="13">
        <v>6</v>
      </c>
      <c r="K13" s="13">
        <v>4</v>
      </c>
      <c r="L13" s="32">
        <f t="shared" si="0"/>
        <v>0.6</v>
      </c>
      <c r="M13" s="13">
        <v>4</v>
      </c>
      <c r="N13" s="13">
        <v>6</v>
      </c>
      <c r="O13" s="32">
        <f t="shared" si="1"/>
        <v>0.4</v>
      </c>
      <c r="P13" s="13">
        <v>2</v>
      </c>
      <c r="Q13" s="13">
        <v>6</v>
      </c>
      <c r="R13" s="32">
        <f t="shared" si="2"/>
        <v>0.25</v>
      </c>
      <c r="S13" s="13">
        <v>6</v>
      </c>
      <c r="T13" s="13">
        <v>3</v>
      </c>
      <c r="U13" s="32">
        <f t="shared" si="3"/>
        <v>0.66666666666666663</v>
      </c>
      <c r="V13" s="13">
        <v>6</v>
      </c>
      <c r="W13" s="13">
        <v>4</v>
      </c>
      <c r="X13" s="16">
        <f t="shared" si="4"/>
        <v>0.6</v>
      </c>
      <c r="Y13" s="16">
        <f>COUNTA(J13:W13)/2</f>
        <v>7</v>
      </c>
      <c r="Z13" s="16">
        <f>J13+M13+P13+S13+V13</f>
        <v>24</v>
      </c>
      <c r="AA13" s="16">
        <f t="shared" si="5"/>
        <v>23</v>
      </c>
      <c r="AB13" s="16">
        <f t="shared" si="6"/>
        <v>47</v>
      </c>
      <c r="AC13" s="24">
        <f t="shared" si="7"/>
        <v>0.51063829787234039</v>
      </c>
      <c r="AD13" s="11" t="s">
        <v>93</v>
      </c>
      <c r="AE13" s="11" t="s">
        <v>94</v>
      </c>
      <c r="AF13" s="11" t="s">
        <v>95</v>
      </c>
      <c r="AG13" s="13">
        <v>5</v>
      </c>
    </row>
    <row r="14" spans="1:33">
      <c r="A14" s="14" t="s">
        <v>96</v>
      </c>
      <c r="B14" s="10" t="s">
        <v>34</v>
      </c>
      <c r="C14" s="10" t="s">
        <v>81</v>
      </c>
      <c r="D14" s="10" t="s">
        <v>82</v>
      </c>
      <c r="E14" s="10" t="s">
        <v>83</v>
      </c>
      <c r="F14" s="10" t="s">
        <v>97</v>
      </c>
      <c r="G14" s="15" t="s">
        <v>39</v>
      </c>
      <c r="H14" s="34">
        <v>4</v>
      </c>
      <c r="I14" s="28">
        <v>147</v>
      </c>
      <c r="J14" s="16">
        <v>7</v>
      </c>
      <c r="K14" s="16">
        <v>6</v>
      </c>
      <c r="L14" s="32">
        <f t="shared" si="0"/>
        <v>0.53846153846153844</v>
      </c>
      <c r="M14" s="16">
        <v>5</v>
      </c>
      <c r="N14" s="16">
        <v>7</v>
      </c>
      <c r="O14" s="32">
        <f t="shared" si="1"/>
        <v>0.41666666666666669</v>
      </c>
      <c r="P14" s="16">
        <v>6</v>
      </c>
      <c r="Q14" s="16">
        <v>4</v>
      </c>
      <c r="R14" s="32">
        <f t="shared" si="2"/>
        <v>0.6</v>
      </c>
      <c r="S14" s="16"/>
      <c r="T14" s="16"/>
      <c r="U14" s="32" t="e">
        <f t="shared" si="3"/>
        <v>#DIV/0!</v>
      </c>
      <c r="V14" s="16"/>
      <c r="W14" s="16"/>
      <c r="X14" s="16" t="e">
        <f t="shared" si="4"/>
        <v>#DIV/0!</v>
      </c>
      <c r="Y14" s="16">
        <f>COUNTA(J14:W14)/2</f>
        <v>5</v>
      </c>
      <c r="Z14" s="16">
        <f>J14+M14+P14+S14+V14</f>
        <v>18</v>
      </c>
      <c r="AA14" s="16">
        <f t="shared" si="5"/>
        <v>17</v>
      </c>
      <c r="AB14" s="16">
        <f t="shared" si="6"/>
        <v>35</v>
      </c>
      <c r="AC14" s="24">
        <f t="shared" si="7"/>
        <v>0.51428571428571423</v>
      </c>
      <c r="AD14" s="10" t="s">
        <v>98</v>
      </c>
      <c r="AE14" s="10" t="s">
        <v>99</v>
      </c>
      <c r="AF14" s="10" t="s">
        <v>100</v>
      </c>
      <c r="AG14" s="16">
        <v>8</v>
      </c>
    </row>
    <row r="15" spans="1:33">
      <c r="A15" s="14" t="s">
        <v>96</v>
      </c>
      <c r="B15" s="10" t="s">
        <v>43</v>
      </c>
      <c r="C15" s="10" t="s">
        <v>63</v>
      </c>
      <c r="D15" s="10" t="s">
        <v>64</v>
      </c>
      <c r="E15" s="10" t="s">
        <v>65</v>
      </c>
      <c r="F15" s="10" t="s">
        <v>101</v>
      </c>
      <c r="G15" s="15" t="s">
        <v>39</v>
      </c>
      <c r="H15" s="34">
        <v>1</v>
      </c>
      <c r="I15" s="28">
        <v>124</v>
      </c>
      <c r="J15" s="16">
        <v>6</v>
      </c>
      <c r="K15" s="16">
        <v>3</v>
      </c>
      <c r="L15" s="32">
        <f t="shared" si="0"/>
        <v>0.66666666666666663</v>
      </c>
      <c r="M15" s="16">
        <v>6</v>
      </c>
      <c r="N15" s="16">
        <v>2</v>
      </c>
      <c r="O15" s="32">
        <f t="shared" si="1"/>
        <v>0.75</v>
      </c>
      <c r="P15" s="16">
        <v>6</v>
      </c>
      <c r="Q15" s="16">
        <v>3</v>
      </c>
      <c r="R15" s="32">
        <f t="shared" si="2"/>
        <v>0.66666666666666663</v>
      </c>
      <c r="S15" s="16"/>
      <c r="T15" s="16"/>
      <c r="U15" s="32" t="e">
        <f t="shared" si="3"/>
        <v>#DIV/0!</v>
      </c>
      <c r="V15" s="16"/>
      <c r="W15" s="16"/>
      <c r="X15" s="16" t="e">
        <f t="shared" si="4"/>
        <v>#DIV/0!</v>
      </c>
      <c r="Y15" s="16">
        <f>COUNTA(J15:W15)/2</f>
        <v>5</v>
      </c>
      <c r="Z15" s="16">
        <f>J15+M15+P15+S15+V15</f>
        <v>18</v>
      </c>
      <c r="AA15" s="16">
        <f t="shared" si="5"/>
        <v>8</v>
      </c>
      <c r="AB15" s="16">
        <f t="shared" si="6"/>
        <v>26</v>
      </c>
      <c r="AC15" s="24">
        <f t="shared" si="7"/>
        <v>0.69230769230769229</v>
      </c>
      <c r="AD15" s="10" t="s">
        <v>76</v>
      </c>
      <c r="AE15" s="10" t="s">
        <v>77</v>
      </c>
      <c r="AF15" s="10" t="s">
        <v>78</v>
      </c>
      <c r="AG15" s="16">
        <v>2</v>
      </c>
    </row>
    <row r="16" spans="1:33">
      <c r="A16" s="9" t="s">
        <v>102</v>
      </c>
      <c r="B16" s="10" t="s">
        <v>34</v>
      </c>
      <c r="C16" s="11" t="s">
        <v>103</v>
      </c>
      <c r="D16" s="11" t="s">
        <v>104</v>
      </c>
      <c r="E16" s="11" t="s">
        <v>105</v>
      </c>
      <c r="F16" s="11" t="s">
        <v>106</v>
      </c>
      <c r="G16" s="15" t="s">
        <v>39</v>
      </c>
      <c r="H16" s="35">
        <v>2</v>
      </c>
      <c r="I16" s="30">
        <v>169</v>
      </c>
      <c r="J16" s="13">
        <v>7</v>
      </c>
      <c r="K16" s="13">
        <v>6</v>
      </c>
      <c r="L16" s="32">
        <f t="shared" si="0"/>
        <v>0.53846153846153844</v>
      </c>
      <c r="M16" s="13">
        <v>3</v>
      </c>
      <c r="N16" s="13">
        <v>6</v>
      </c>
      <c r="O16" s="32">
        <f t="shared" si="1"/>
        <v>0.33333333333333331</v>
      </c>
      <c r="P16" s="13">
        <v>6</v>
      </c>
      <c r="Q16" s="13">
        <v>4</v>
      </c>
      <c r="R16" s="32">
        <f t="shared" si="2"/>
        <v>0.6</v>
      </c>
      <c r="S16" s="13"/>
      <c r="T16" s="13"/>
      <c r="U16" s="32" t="e">
        <f t="shared" si="3"/>
        <v>#DIV/0!</v>
      </c>
      <c r="V16" s="13"/>
      <c r="W16" s="13"/>
      <c r="X16" s="16" t="e">
        <f t="shared" si="4"/>
        <v>#DIV/0!</v>
      </c>
      <c r="Y16" s="16">
        <f>COUNTA(J16:W16)/2</f>
        <v>5</v>
      </c>
      <c r="Z16" s="16">
        <f>J16+M16+P16+S16+V16</f>
        <v>16</v>
      </c>
      <c r="AA16" s="16">
        <f t="shared" si="5"/>
        <v>16</v>
      </c>
      <c r="AB16" s="16">
        <f t="shared" si="6"/>
        <v>32</v>
      </c>
      <c r="AC16" s="24">
        <f t="shared" si="7"/>
        <v>0.5</v>
      </c>
      <c r="AD16" s="11" t="s">
        <v>107</v>
      </c>
      <c r="AE16" s="11" t="s">
        <v>108</v>
      </c>
      <c r="AF16" s="11" t="s">
        <v>109</v>
      </c>
      <c r="AG16" s="13">
        <v>1</v>
      </c>
    </row>
    <row r="17" spans="1:33">
      <c r="A17" s="9" t="s">
        <v>102</v>
      </c>
      <c r="B17" s="10" t="s">
        <v>43</v>
      </c>
      <c r="C17" s="11" t="s">
        <v>110</v>
      </c>
      <c r="D17" s="11" t="s">
        <v>111</v>
      </c>
      <c r="E17" s="11" t="s">
        <v>112</v>
      </c>
      <c r="F17" s="11" t="s">
        <v>113</v>
      </c>
      <c r="G17" s="15" t="s">
        <v>39</v>
      </c>
      <c r="H17" s="35">
        <v>2</v>
      </c>
      <c r="I17" s="30">
        <v>183</v>
      </c>
      <c r="J17" s="13">
        <v>6</v>
      </c>
      <c r="K17" s="13">
        <v>2</v>
      </c>
      <c r="L17" s="32">
        <f t="shared" si="0"/>
        <v>0.75</v>
      </c>
      <c r="M17" s="13">
        <v>6</v>
      </c>
      <c r="N17" s="13">
        <v>7</v>
      </c>
      <c r="O17" s="32">
        <f t="shared" si="1"/>
        <v>0.46153846153846156</v>
      </c>
      <c r="P17" s="13">
        <v>6</v>
      </c>
      <c r="Q17" s="13">
        <v>3</v>
      </c>
      <c r="R17" s="32">
        <f t="shared" si="2"/>
        <v>0.66666666666666663</v>
      </c>
      <c r="S17" s="13">
        <v>3</v>
      </c>
      <c r="T17" s="13">
        <v>6</v>
      </c>
      <c r="U17" s="32">
        <f t="shared" si="3"/>
        <v>0.33333333333333331</v>
      </c>
      <c r="V17" s="13">
        <v>6</v>
      </c>
      <c r="W17" s="13">
        <v>1</v>
      </c>
      <c r="X17" s="16">
        <f t="shared" si="4"/>
        <v>0.8571428571428571</v>
      </c>
      <c r="Y17" s="16">
        <f>COUNTA(J17:W17)/2</f>
        <v>7</v>
      </c>
      <c r="Z17" s="16">
        <f>J17+M17+P17+S17+V17</f>
        <v>27</v>
      </c>
      <c r="AA17" s="16">
        <f t="shared" si="5"/>
        <v>19</v>
      </c>
      <c r="AB17" s="16">
        <f t="shared" si="6"/>
        <v>46</v>
      </c>
      <c r="AC17" s="24">
        <f t="shared" si="7"/>
        <v>0.58695652173913049</v>
      </c>
      <c r="AD17" s="11" t="s">
        <v>114</v>
      </c>
      <c r="AE17" s="11" t="s">
        <v>115</v>
      </c>
      <c r="AF17" s="11" t="s">
        <v>116</v>
      </c>
      <c r="AG17" s="13">
        <v>6</v>
      </c>
    </row>
    <row r="18" spans="1:33">
      <c r="A18" s="14" t="s">
        <v>117</v>
      </c>
      <c r="B18" s="10" t="s">
        <v>34</v>
      </c>
      <c r="C18" s="10" t="s">
        <v>118</v>
      </c>
      <c r="D18" s="10" t="s">
        <v>36</v>
      </c>
      <c r="E18" s="18" t="s">
        <v>37</v>
      </c>
      <c r="F18" s="10" t="s">
        <v>119</v>
      </c>
      <c r="G18" s="15" t="s">
        <v>39</v>
      </c>
      <c r="H18" s="34">
        <v>2</v>
      </c>
      <c r="I18" s="28">
        <v>81</v>
      </c>
      <c r="J18" s="16">
        <v>6</v>
      </c>
      <c r="K18" s="16">
        <v>4</v>
      </c>
      <c r="L18" s="32">
        <f t="shared" si="0"/>
        <v>0.6</v>
      </c>
      <c r="M18" s="16">
        <v>6</v>
      </c>
      <c r="N18" s="16">
        <v>4</v>
      </c>
      <c r="O18" s="32">
        <f t="shared" si="1"/>
        <v>0.6</v>
      </c>
      <c r="P18" s="16"/>
      <c r="Q18" s="16"/>
      <c r="R18" s="32" t="e">
        <f t="shared" si="2"/>
        <v>#DIV/0!</v>
      </c>
      <c r="S18" s="16"/>
      <c r="T18" s="16"/>
      <c r="U18" s="32" t="e">
        <f t="shared" si="3"/>
        <v>#DIV/0!</v>
      </c>
      <c r="V18" s="16"/>
      <c r="W18" s="16"/>
      <c r="X18" s="16" t="e">
        <f t="shared" si="4"/>
        <v>#DIV/0!</v>
      </c>
      <c r="Y18" s="16">
        <f>COUNTA(J18:W18)/2</f>
        <v>4</v>
      </c>
      <c r="Z18" s="16">
        <f>J18+M18+P18+S18+V18</f>
        <v>12</v>
      </c>
      <c r="AA18" s="16">
        <f t="shared" si="5"/>
        <v>8</v>
      </c>
      <c r="AB18" s="16">
        <f t="shared" si="6"/>
        <v>20</v>
      </c>
      <c r="AC18" s="24">
        <f t="shared" si="7"/>
        <v>0.6</v>
      </c>
      <c r="AD18" s="10" t="s">
        <v>120</v>
      </c>
      <c r="AE18" s="10" t="s">
        <v>36</v>
      </c>
      <c r="AF18" s="10" t="s">
        <v>37</v>
      </c>
      <c r="AG18" s="16">
        <v>13</v>
      </c>
    </row>
    <row r="19" spans="1:33">
      <c r="A19" s="14" t="s">
        <v>117</v>
      </c>
      <c r="B19" s="10" t="s">
        <v>43</v>
      </c>
      <c r="C19" s="10" t="s">
        <v>110</v>
      </c>
      <c r="D19" s="10" t="s">
        <v>111</v>
      </c>
      <c r="E19" s="10" t="s">
        <v>112</v>
      </c>
      <c r="F19" s="10" t="s">
        <v>121</v>
      </c>
      <c r="G19" s="15" t="s">
        <v>39</v>
      </c>
      <c r="H19" s="34">
        <v>17</v>
      </c>
      <c r="I19" s="28">
        <v>218</v>
      </c>
      <c r="J19" s="16">
        <v>6</v>
      </c>
      <c r="K19" s="16">
        <v>4</v>
      </c>
      <c r="L19" s="32">
        <f t="shared" si="0"/>
        <v>0.6</v>
      </c>
      <c r="M19" s="16">
        <v>3</v>
      </c>
      <c r="N19" s="16">
        <v>6</v>
      </c>
      <c r="O19" s="32">
        <f t="shared" si="1"/>
        <v>0.33333333333333331</v>
      </c>
      <c r="P19" s="16">
        <v>6</v>
      </c>
      <c r="Q19" s="16">
        <v>1</v>
      </c>
      <c r="R19" s="32">
        <f t="shared" si="2"/>
        <v>0.8571428571428571</v>
      </c>
      <c r="S19" s="16">
        <v>3</v>
      </c>
      <c r="T19" s="16">
        <v>6</v>
      </c>
      <c r="U19" s="32">
        <f t="shared" si="3"/>
        <v>0.33333333333333331</v>
      </c>
      <c r="V19" s="16">
        <v>6</v>
      </c>
      <c r="W19" s="16">
        <v>3</v>
      </c>
      <c r="X19" s="16">
        <f t="shared" si="4"/>
        <v>0.66666666666666663</v>
      </c>
      <c r="Y19" s="16">
        <f>COUNTA(J19:W19)/2</f>
        <v>7</v>
      </c>
      <c r="Z19" s="16">
        <f>J19+M19+P19+S19+V19</f>
        <v>24</v>
      </c>
      <c r="AA19" s="16">
        <f t="shared" si="5"/>
        <v>20</v>
      </c>
      <c r="AB19" s="16">
        <f t="shared" si="6"/>
        <v>44</v>
      </c>
      <c r="AC19" s="24">
        <f t="shared" si="7"/>
        <v>0.54545454545454541</v>
      </c>
      <c r="AD19" s="10" t="s">
        <v>76</v>
      </c>
      <c r="AE19" s="10" t="s">
        <v>77</v>
      </c>
      <c r="AF19" s="10" t="s">
        <v>78</v>
      </c>
      <c r="AG19" s="16">
        <v>9</v>
      </c>
    </row>
    <row r="20" spans="1:33">
      <c r="A20" s="9" t="s">
        <v>122</v>
      </c>
      <c r="B20" s="10" t="s">
        <v>34</v>
      </c>
      <c r="C20" s="11" t="s">
        <v>123</v>
      </c>
      <c r="D20" s="11" t="s">
        <v>49</v>
      </c>
      <c r="E20" s="11" t="s">
        <v>50</v>
      </c>
      <c r="F20" s="11" t="s">
        <v>124</v>
      </c>
      <c r="G20" s="15" t="s">
        <v>39</v>
      </c>
      <c r="H20" s="35">
        <v>7</v>
      </c>
      <c r="I20" s="30">
        <v>129</v>
      </c>
      <c r="J20" s="13">
        <v>6</v>
      </c>
      <c r="K20" s="13">
        <v>4</v>
      </c>
      <c r="L20" s="32">
        <f t="shared" si="0"/>
        <v>0.6</v>
      </c>
      <c r="M20" s="13">
        <v>3</v>
      </c>
      <c r="N20" s="13">
        <v>6</v>
      </c>
      <c r="O20" s="32">
        <f t="shared" si="1"/>
        <v>0.33333333333333331</v>
      </c>
      <c r="P20" s="13">
        <v>6</v>
      </c>
      <c r="Q20" s="13">
        <v>4</v>
      </c>
      <c r="R20" s="32">
        <f t="shared" si="2"/>
        <v>0.6</v>
      </c>
      <c r="S20" s="13"/>
      <c r="T20" s="13"/>
      <c r="U20" s="32" t="e">
        <f t="shared" si="3"/>
        <v>#DIV/0!</v>
      </c>
      <c r="V20" s="13"/>
      <c r="W20" s="13"/>
      <c r="X20" s="16" t="e">
        <f t="shared" si="4"/>
        <v>#DIV/0!</v>
      </c>
      <c r="Y20" s="16">
        <f>COUNTA(J20:W20)/2</f>
        <v>5</v>
      </c>
      <c r="Z20" s="16">
        <f>J20+M20+P20+S20+V20</f>
        <v>15</v>
      </c>
      <c r="AA20" s="16">
        <f t="shared" si="5"/>
        <v>14</v>
      </c>
      <c r="AB20" s="16">
        <f t="shared" si="6"/>
        <v>29</v>
      </c>
      <c r="AC20" s="24">
        <f t="shared" si="7"/>
        <v>0.51724137931034486</v>
      </c>
      <c r="AD20" s="11" t="s">
        <v>118</v>
      </c>
      <c r="AE20" s="11" t="s">
        <v>36</v>
      </c>
      <c r="AF20" s="11" t="s">
        <v>37</v>
      </c>
      <c r="AG20" s="13">
        <v>1</v>
      </c>
    </row>
    <row r="21" spans="1:33">
      <c r="A21" s="9" t="s">
        <v>122</v>
      </c>
      <c r="B21" s="10" t="s">
        <v>43</v>
      </c>
      <c r="C21" s="11" t="s">
        <v>63</v>
      </c>
      <c r="D21" s="11" t="s">
        <v>64</v>
      </c>
      <c r="E21" s="17" t="s">
        <v>65</v>
      </c>
      <c r="F21" s="11" t="s">
        <v>125</v>
      </c>
      <c r="G21" s="15" t="s">
        <v>39</v>
      </c>
      <c r="H21" s="35">
        <v>1</v>
      </c>
      <c r="I21" s="30">
        <v>171</v>
      </c>
      <c r="J21" s="13">
        <v>6</v>
      </c>
      <c r="K21" s="13">
        <v>1</v>
      </c>
      <c r="L21" s="32">
        <f t="shared" si="0"/>
        <v>0.8571428571428571</v>
      </c>
      <c r="M21" s="13">
        <v>7</v>
      </c>
      <c r="N21" s="13">
        <v>5</v>
      </c>
      <c r="O21" s="32">
        <f t="shared" si="1"/>
        <v>0.58333333333333337</v>
      </c>
      <c r="P21" s="13">
        <v>7</v>
      </c>
      <c r="Q21" s="13">
        <v>6</v>
      </c>
      <c r="R21" s="32">
        <f t="shared" si="2"/>
        <v>0.53846153846153844</v>
      </c>
      <c r="S21" s="13"/>
      <c r="T21" s="13"/>
      <c r="U21" s="32" t="e">
        <f t="shared" si="3"/>
        <v>#DIV/0!</v>
      </c>
      <c r="V21" s="13"/>
      <c r="W21" s="13"/>
      <c r="X21" s="16" t="e">
        <f t="shared" si="4"/>
        <v>#DIV/0!</v>
      </c>
      <c r="Y21" s="16">
        <f>COUNTA(J21:W21)/2</f>
        <v>5</v>
      </c>
      <c r="Z21" s="16">
        <f>J21+M21+P21+S21+V21</f>
        <v>20</v>
      </c>
      <c r="AA21" s="16">
        <f t="shared" si="5"/>
        <v>12</v>
      </c>
      <c r="AB21" s="16">
        <f t="shared" si="6"/>
        <v>32</v>
      </c>
      <c r="AC21" s="24">
        <f t="shared" si="7"/>
        <v>0.625</v>
      </c>
      <c r="AD21" s="11" t="s">
        <v>126</v>
      </c>
      <c r="AE21" s="11" t="s">
        <v>127</v>
      </c>
      <c r="AF21" s="11" t="s">
        <v>128</v>
      </c>
      <c r="AG21" s="13">
        <v>2</v>
      </c>
    </row>
    <row r="22" spans="1:33">
      <c r="A22" s="14" t="s">
        <v>129</v>
      </c>
      <c r="B22" s="10" t="s">
        <v>34</v>
      </c>
      <c r="C22" s="10" t="s">
        <v>118</v>
      </c>
      <c r="D22" s="10" t="s">
        <v>36</v>
      </c>
      <c r="E22" s="18" t="s">
        <v>37</v>
      </c>
      <c r="F22" s="10" t="s">
        <v>130</v>
      </c>
      <c r="G22" s="15" t="s">
        <v>39</v>
      </c>
      <c r="H22" s="34">
        <v>1</v>
      </c>
      <c r="I22" s="28">
        <v>111</v>
      </c>
      <c r="J22" s="16">
        <v>6</v>
      </c>
      <c r="K22" s="16">
        <v>3</v>
      </c>
      <c r="L22" s="32">
        <f t="shared" si="0"/>
        <v>0.66666666666666663</v>
      </c>
      <c r="M22" s="16">
        <v>7</v>
      </c>
      <c r="N22" s="16">
        <v>6</v>
      </c>
      <c r="O22" s="32">
        <f t="shared" si="1"/>
        <v>0.53846153846153844</v>
      </c>
      <c r="P22" s="16"/>
      <c r="Q22" s="16"/>
      <c r="R22" s="32" t="e">
        <f t="shared" si="2"/>
        <v>#DIV/0!</v>
      </c>
      <c r="S22" s="16"/>
      <c r="T22" s="16"/>
      <c r="U22" s="32" t="e">
        <f t="shared" si="3"/>
        <v>#DIV/0!</v>
      </c>
      <c r="V22" s="16"/>
      <c r="W22" s="16"/>
      <c r="X22" s="16" t="e">
        <f t="shared" si="4"/>
        <v>#DIV/0!</v>
      </c>
      <c r="Y22" s="16">
        <f>COUNTA(J22:W22)/2</f>
        <v>4</v>
      </c>
      <c r="Z22" s="16">
        <f>J22+M22+P22+S22+V22</f>
        <v>13</v>
      </c>
      <c r="AA22" s="16">
        <f t="shared" si="5"/>
        <v>9</v>
      </c>
      <c r="AB22" s="16">
        <f t="shared" si="6"/>
        <v>22</v>
      </c>
      <c r="AC22" s="24">
        <f t="shared" si="7"/>
        <v>0.59090909090909094</v>
      </c>
      <c r="AD22" s="10" t="s">
        <v>131</v>
      </c>
      <c r="AE22" s="10" t="s">
        <v>57</v>
      </c>
      <c r="AF22" s="10" t="s">
        <v>58</v>
      </c>
      <c r="AG22" s="16">
        <v>2</v>
      </c>
    </row>
    <row r="23" spans="1:33">
      <c r="A23" s="14" t="s">
        <v>129</v>
      </c>
      <c r="B23" s="10" t="s">
        <v>43</v>
      </c>
      <c r="C23" s="10" t="s">
        <v>63</v>
      </c>
      <c r="D23" s="10" t="s">
        <v>64</v>
      </c>
      <c r="E23" s="10" t="s">
        <v>65</v>
      </c>
      <c r="F23" s="10" t="s">
        <v>132</v>
      </c>
      <c r="G23" s="15" t="s">
        <v>39</v>
      </c>
      <c r="H23" s="34">
        <v>1</v>
      </c>
      <c r="I23" s="28">
        <v>219</v>
      </c>
      <c r="J23" s="16">
        <v>7</v>
      </c>
      <c r="K23" s="16">
        <v>6</v>
      </c>
      <c r="L23" s="32">
        <f t="shared" si="0"/>
        <v>0.53846153846153844</v>
      </c>
      <c r="M23" s="16">
        <v>6</v>
      </c>
      <c r="N23" s="16">
        <v>7</v>
      </c>
      <c r="O23" s="32">
        <f t="shared" si="1"/>
        <v>0.46153846153846156</v>
      </c>
      <c r="P23" s="16">
        <v>6</v>
      </c>
      <c r="Q23" s="16">
        <v>3</v>
      </c>
      <c r="R23" s="32">
        <f t="shared" si="2"/>
        <v>0.66666666666666663</v>
      </c>
      <c r="S23" s="16">
        <v>6</v>
      </c>
      <c r="T23" s="16">
        <v>0</v>
      </c>
      <c r="U23" s="32">
        <f t="shared" si="3"/>
        <v>1</v>
      </c>
      <c r="V23" s="16"/>
      <c r="W23" s="16"/>
      <c r="X23" s="16" t="e">
        <f t="shared" si="4"/>
        <v>#DIV/0!</v>
      </c>
      <c r="Y23" s="16">
        <f>COUNTA(J23:W23)/2</f>
        <v>6</v>
      </c>
      <c r="Z23" s="16">
        <f>J23+M23+P23+S23+V23</f>
        <v>25</v>
      </c>
      <c r="AA23" s="16">
        <f t="shared" si="5"/>
        <v>16</v>
      </c>
      <c r="AB23" s="16">
        <f t="shared" si="6"/>
        <v>41</v>
      </c>
      <c r="AC23" s="24">
        <f t="shared" si="7"/>
        <v>0.6097560975609756</v>
      </c>
      <c r="AD23" s="10" t="s">
        <v>126</v>
      </c>
      <c r="AE23" s="10" t="s">
        <v>127</v>
      </c>
      <c r="AF23" s="10" t="s">
        <v>128</v>
      </c>
      <c r="AG23" s="16">
        <v>6</v>
      </c>
    </row>
    <row r="24" spans="1:33">
      <c r="A24" s="9" t="s">
        <v>133</v>
      </c>
      <c r="B24" s="10" t="s">
        <v>34</v>
      </c>
      <c r="C24" s="11" t="s">
        <v>134</v>
      </c>
      <c r="D24" s="11" t="s">
        <v>53</v>
      </c>
      <c r="E24" s="11" t="s">
        <v>54</v>
      </c>
      <c r="F24" s="11" t="s">
        <v>135</v>
      </c>
      <c r="G24" s="15" t="s">
        <v>39</v>
      </c>
      <c r="H24" s="35">
        <v>4</v>
      </c>
      <c r="I24" s="30">
        <v>97</v>
      </c>
      <c r="J24" s="13">
        <v>7</v>
      </c>
      <c r="K24" s="13">
        <v>6</v>
      </c>
      <c r="L24" s="32">
        <f t="shared" si="0"/>
        <v>0.53846153846153844</v>
      </c>
      <c r="M24" s="13">
        <v>6</v>
      </c>
      <c r="N24" s="13">
        <v>0</v>
      </c>
      <c r="O24" s="32">
        <f t="shared" si="1"/>
        <v>1</v>
      </c>
      <c r="P24" s="13"/>
      <c r="Q24" s="13"/>
      <c r="R24" s="32" t="e">
        <f t="shared" si="2"/>
        <v>#DIV/0!</v>
      </c>
      <c r="S24" s="13"/>
      <c r="T24" s="13"/>
      <c r="U24" s="32" t="e">
        <f t="shared" si="3"/>
        <v>#DIV/0!</v>
      </c>
      <c r="V24" s="13"/>
      <c r="W24" s="13"/>
      <c r="X24" s="16" t="e">
        <f t="shared" si="4"/>
        <v>#DIV/0!</v>
      </c>
      <c r="Y24" s="16">
        <f>COUNTA(J24:W24)/2</f>
        <v>4</v>
      </c>
      <c r="Z24" s="16">
        <f>J24+M24+P24+S24+V24</f>
        <v>13</v>
      </c>
      <c r="AA24" s="16">
        <f t="shared" si="5"/>
        <v>6</v>
      </c>
      <c r="AB24" s="16">
        <f t="shared" si="6"/>
        <v>19</v>
      </c>
      <c r="AC24" s="24">
        <f t="shared" si="7"/>
        <v>0.68421052631578949</v>
      </c>
      <c r="AD24" s="11" t="s">
        <v>136</v>
      </c>
      <c r="AE24" s="11" t="s">
        <v>137</v>
      </c>
      <c r="AF24" s="11" t="s">
        <v>138</v>
      </c>
      <c r="AG24" s="13">
        <v>20</v>
      </c>
    </row>
    <row r="25" spans="1:33">
      <c r="A25" s="9" t="s">
        <v>133</v>
      </c>
      <c r="B25" s="10" t="s">
        <v>43</v>
      </c>
      <c r="C25" s="11" t="s">
        <v>139</v>
      </c>
      <c r="D25" s="11" t="s">
        <v>111</v>
      </c>
      <c r="E25" s="11" t="s">
        <v>112</v>
      </c>
      <c r="F25" s="11" t="s">
        <v>140</v>
      </c>
      <c r="G25" s="15" t="s">
        <v>39</v>
      </c>
      <c r="H25" s="35">
        <v>8</v>
      </c>
      <c r="I25" s="30">
        <v>141</v>
      </c>
      <c r="J25" s="13">
        <v>6</v>
      </c>
      <c r="K25" s="13">
        <v>3</v>
      </c>
      <c r="L25" s="32">
        <f t="shared" si="0"/>
        <v>0.66666666666666663</v>
      </c>
      <c r="M25" s="13">
        <v>6</v>
      </c>
      <c r="N25" s="13">
        <v>2</v>
      </c>
      <c r="O25" s="32">
        <f t="shared" si="1"/>
        <v>0.75</v>
      </c>
      <c r="P25" s="13">
        <v>3</v>
      </c>
      <c r="Q25" s="13">
        <v>6</v>
      </c>
      <c r="R25" s="32">
        <f t="shared" si="2"/>
        <v>0.33333333333333331</v>
      </c>
      <c r="S25" s="13">
        <v>6</v>
      </c>
      <c r="T25" s="13">
        <v>3</v>
      </c>
      <c r="U25" s="32">
        <f t="shared" si="3"/>
        <v>0.66666666666666663</v>
      </c>
      <c r="V25" s="13"/>
      <c r="W25" s="13"/>
      <c r="X25" s="16" t="e">
        <f t="shared" si="4"/>
        <v>#DIV/0!</v>
      </c>
      <c r="Y25" s="16">
        <f>COUNTA(J25:W25)/2</f>
        <v>6</v>
      </c>
      <c r="Z25" s="16">
        <f>J25+M25+P25+S25+V25</f>
        <v>21</v>
      </c>
      <c r="AA25" s="16">
        <f t="shared" si="5"/>
        <v>14</v>
      </c>
      <c r="AB25" s="16">
        <f t="shared" si="6"/>
        <v>35</v>
      </c>
      <c r="AC25" s="24">
        <f t="shared" si="7"/>
        <v>0.6</v>
      </c>
      <c r="AD25" s="11" t="s">
        <v>76</v>
      </c>
      <c r="AE25" s="11" t="s">
        <v>77</v>
      </c>
      <c r="AF25" s="11" t="s">
        <v>78</v>
      </c>
      <c r="AG25" s="13">
        <v>1</v>
      </c>
    </row>
    <row r="26" spans="1:33">
      <c r="A26" s="14" t="s">
        <v>141</v>
      </c>
      <c r="B26" s="10" t="s">
        <v>34</v>
      </c>
      <c r="C26" s="10" t="s">
        <v>142</v>
      </c>
      <c r="D26" s="10" t="s">
        <v>41</v>
      </c>
      <c r="E26" s="10" t="s">
        <v>42</v>
      </c>
      <c r="F26" s="10" t="s">
        <v>143</v>
      </c>
      <c r="G26" s="15" t="s">
        <v>39</v>
      </c>
      <c r="H26" s="34">
        <v>1</v>
      </c>
      <c r="I26" s="28">
        <v>160</v>
      </c>
      <c r="J26" s="16">
        <v>4</v>
      </c>
      <c r="K26" s="16">
        <v>6</v>
      </c>
      <c r="L26" s="32">
        <f t="shared" si="0"/>
        <v>0.4</v>
      </c>
      <c r="M26" s="16">
        <v>6</v>
      </c>
      <c r="N26" s="16">
        <v>4</v>
      </c>
      <c r="O26" s="32">
        <f t="shared" si="1"/>
        <v>0.6</v>
      </c>
      <c r="P26" s="16">
        <v>6</v>
      </c>
      <c r="Q26" s="16">
        <v>3</v>
      </c>
      <c r="R26" s="32">
        <f t="shared" si="2"/>
        <v>0.66666666666666663</v>
      </c>
      <c r="S26" s="16"/>
      <c r="T26" s="16"/>
      <c r="U26" s="32" t="e">
        <f t="shared" si="3"/>
        <v>#DIV/0!</v>
      </c>
      <c r="V26" s="16"/>
      <c r="W26" s="16"/>
      <c r="X26" s="16" t="e">
        <f t="shared" si="4"/>
        <v>#DIV/0!</v>
      </c>
      <c r="Y26" s="16">
        <f>COUNTA(J26:W26)/2</f>
        <v>5</v>
      </c>
      <c r="Z26" s="16">
        <f>J26+M26+P26+S26+V26</f>
        <v>16</v>
      </c>
      <c r="AA26" s="16">
        <f t="shared" si="5"/>
        <v>13</v>
      </c>
      <c r="AB26" s="16">
        <f t="shared" si="6"/>
        <v>29</v>
      </c>
      <c r="AC26" s="24">
        <f t="shared" si="7"/>
        <v>0.55172413793103448</v>
      </c>
      <c r="AD26" s="10" t="s">
        <v>134</v>
      </c>
      <c r="AE26" s="10" t="s">
        <v>53</v>
      </c>
      <c r="AF26" s="10" t="s">
        <v>54</v>
      </c>
      <c r="AG26" s="16">
        <v>6</v>
      </c>
    </row>
    <row r="27" spans="1:33">
      <c r="A27" s="14" t="s">
        <v>141</v>
      </c>
      <c r="B27" s="10" t="s">
        <v>43</v>
      </c>
      <c r="C27" s="10" t="s">
        <v>63</v>
      </c>
      <c r="D27" s="10" t="s">
        <v>64</v>
      </c>
      <c r="E27" s="10" t="s">
        <v>65</v>
      </c>
      <c r="F27" s="10" t="s">
        <v>144</v>
      </c>
      <c r="G27" s="15" t="s">
        <v>39</v>
      </c>
      <c r="H27" s="34">
        <v>1</v>
      </c>
      <c r="I27" s="28">
        <v>220</v>
      </c>
      <c r="J27" s="16">
        <v>6</v>
      </c>
      <c r="K27" s="16">
        <v>7</v>
      </c>
      <c r="L27" s="32">
        <f t="shared" si="0"/>
        <v>0.46153846153846156</v>
      </c>
      <c r="M27" s="16">
        <v>7</v>
      </c>
      <c r="N27" s="16">
        <v>6</v>
      </c>
      <c r="O27" s="32">
        <f t="shared" si="1"/>
        <v>0.53846153846153844</v>
      </c>
      <c r="P27" s="16">
        <v>6</v>
      </c>
      <c r="Q27" s="16">
        <v>3</v>
      </c>
      <c r="R27" s="32">
        <f t="shared" si="2"/>
        <v>0.66666666666666663</v>
      </c>
      <c r="S27" s="16">
        <v>6</v>
      </c>
      <c r="T27" s="16">
        <v>2</v>
      </c>
      <c r="U27" s="32">
        <f t="shared" si="3"/>
        <v>0.75</v>
      </c>
      <c r="V27" s="16"/>
      <c r="W27" s="16"/>
      <c r="X27" s="16" t="e">
        <f t="shared" si="4"/>
        <v>#DIV/0!</v>
      </c>
      <c r="Y27" s="16">
        <f>COUNTA(J27:W27)/2</f>
        <v>6</v>
      </c>
      <c r="Z27" s="16">
        <f>J27+M27+P27+S27+V27</f>
        <v>25</v>
      </c>
      <c r="AA27" s="16">
        <f t="shared" si="5"/>
        <v>18</v>
      </c>
      <c r="AB27" s="16">
        <f t="shared" si="6"/>
        <v>43</v>
      </c>
      <c r="AC27" s="24">
        <f t="shared" si="7"/>
        <v>0.58139534883720934</v>
      </c>
      <c r="AD27" s="10" t="s">
        <v>126</v>
      </c>
      <c r="AE27" s="10" t="s">
        <v>127</v>
      </c>
      <c r="AF27" s="10" t="s">
        <v>128</v>
      </c>
      <c r="AG27" s="16">
        <v>3</v>
      </c>
    </row>
    <row r="28" spans="1:33">
      <c r="A28" s="9" t="s">
        <v>145</v>
      </c>
      <c r="B28" s="10" t="s">
        <v>34</v>
      </c>
      <c r="C28" s="11" t="s">
        <v>142</v>
      </c>
      <c r="D28" s="11" t="s">
        <v>41</v>
      </c>
      <c r="E28" s="19" t="s">
        <v>42</v>
      </c>
      <c r="F28" s="11" t="s">
        <v>146</v>
      </c>
      <c r="G28" s="15" t="s">
        <v>39</v>
      </c>
      <c r="H28" s="35">
        <v>3</v>
      </c>
      <c r="I28" s="30">
        <v>82</v>
      </c>
      <c r="J28" s="13">
        <v>6</v>
      </c>
      <c r="K28" s="13">
        <v>3</v>
      </c>
      <c r="L28" s="32">
        <f t="shared" si="0"/>
        <v>0.66666666666666663</v>
      </c>
      <c r="M28" s="13">
        <v>6</v>
      </c>
      <c r="N28" s="13">
        <v>0</v>
      </c>
      <c r="O28" s="32">
        <f t="shared" si="1"/>
        <v>1</v>
      </c>
      <c r="P28" s="13"/>
      <c r="Q28" s="13"/>
      <c r="R28" s="32" t="e">
        <f t="shared" si="2"/>
        <v>#DIV/0!</v>
      </c>
      <c r="S28" s="13"/>
      <c r="T28" s="13"/>
      <c r="U28" s="32" t="e">
        <f t="shared" si="3"/>
        <v>#DIV/0!</v>
      </c>
      <c r="V28" s="13"/>
      <c r="W28" s="13"/>
      <c r="X28" s="16" t="e">
        <f t="shared" si="4"/>
        <v>#DIV/0!</v>
      </c>
      <c r="Y28" s="16">
        <f>COUNTA(J28:W28)/2</f>
        <v>4</v>
      </c>
      <c r="Z28" s="16">
        <f>J28+M28+P28+S28+V28</f>
        <v>12</v>
      </c>
      <c r="AA28" s="16">
        <f t="shared" si="5"/>
        <v>3</v>
      </c>
      <c r="AB28" s="16">
        <f t="shared" si="6"/>
        <v>15</v>
      </c>
      <c r="AC28" s="24">
        <f t="shared" si="7"/>
        <v>0.8</v>
      </c>
      <c r="AD28" s="11" t="s">
        <v>131</v>
      </c>
      <c r="AE28" s="11" t="s">
        <v>57</v>
      </c>
      <c r="AF28" s="11" t="s">
        <v>58</v>
      </c>
      <c r="AG28" s="13">
        <v>4</v>
      </c>
    </row>
    <row r="29" spans="1:33">
      <c r="A29" s="9" t="s">
        <v>145</v>
      </c>
      <c r="B29" s="10" t="s">
        <v>43</v>
      </c>
      <c r="C29" s="11" t="s">
        <v>63</v>
      </c>
      <c r="D29" s="11" t="s">
        <v>64</v>
      </c>
      <c r="E29" s="17" t="s">
        <v>65</v>
      </c>
      <c r="F29" s="11" t="s">
        <v>147</v>
      </c>
      <c r="G29" s="15" t="s">
        <v>39</v>
      </c>
      <c r="H29" s="35">
        <v>1</v>
      </c>
      <c r="I29" s="30">
        <v>353</v>
      </c>
      <c r="J29" s="13">
        <v>5</v>
      </c>
      <c r="K29" s="13">
        <v>7</v>
      </c>
      <c r="L29" s="32">
        <f t="shared" si="0"/>
        <v>0.41666666666666669</v>
      </c>
      <c r="M29" s="13">
        <v>6</v>
      </c>
      <c r="N29" s="13">
        <v>4</v>
      </c>
      <c r="O29" s="32">
        <f t="shared" si="1"/>
        <v>0.6</v>
      </c>
      <c r="P29" s="13">
        <v>6</v>
      </c>
      <c r="Q29" s="13">
        <v>2</v>
      </c>
      <c r="R29" s="32">
        <f t="shared" si="2"/>
        <v>0.75</v>
      </c>
      <c r="S29" s="13">
        <v>6</v>
      </c>
      <c r="T29" s="13">
        <v>7</v>
      </c>
      <c r="U29" s="32">
        <f t="shared" si="3"/>
        <v>0.46153846153846156</v>
      </c>
      <c r="V29" s="13">
        <v>7</v>
      </c>
      <c r="W29" s="13">
        <v>5</v>
      </c>
      <c r="X29" s="16">
        <f t="shared" si="4"/>
        <v>0.58333333333333337</v>
      </c>
      <c r="Y29" s="16">
        <f>COUNTA(J29:W29)/2</f>
        <v>7</v>
      </c>
      <c r="Z29" s="16">
        <f>J29+M29+P29+S29+V29</f>
        <v>30</v>
      </c>
      <c r="AA29" s="16">
        <f t="shared" si="5"/>
        <v>25</v>
      </c>
      <c r="AB29" s="16">
        <f t="shared" si="6"/>
        <v>55</v>
      </c>
      <c r="AC29" s="24">
        <f t="shared" si="7"/>
        <v>0.54545454545454541</v>
      </c>
      <c r="AD29" s="11" t="s">
        <v>76</v>
      </c>
      <c r="AE29" s="11" t="s">
        <v>77</v>
      </c>
      <c r="AF29" s="11" t="s">
        <v>78</v>
      </c>
      <c r="AG29" s="13">
        <v>2</v>
      </c>
    </row>
    <row r="30" spans="1:33">
      <c r="A30" s="14" t="s">
        <v>148</v>
      </c>
      <c r="B30" s="10" t="s">
        <v>34</v>
      </c>
      <c r="C30" s="10" t="s">
        <v>149</v>
      </c>
      <c r="D30" s="10" t="s">
        <v>150</v>
      </c>
      <c r="E30" s="10" t="s">
        <v>151</v>
      </c>
      <c r="F30" s="10" t="s">
        <v>152</v>
      </c>
      <c r="G30" s="15" t="s">
        <v>39</v>
      </c>
      <c r="H30" s="34">
        <v>3</v>
      </c>
      <c r="I30" s="28">
        <v>126</v>
      </c>
      <c r="J30" s="16">
        <v>3</v>
      </c>
      <c r="K30" s="16">
        <v>6</v>
      </c>
      <c r="L30" s="32">
        <f t="shared" si="0"/>
        <v>0.33333333333333331</v>
      </c>
      <c r="M30" s="16">
        <v>6</v>
      </c>
      <c r="N30" s="16">
        <v>3</v>
      </c>
      <c r="O30" s="32">
        <f t="shared" si="1"/>
        <v>0.66666666666666663</v>
      </c>
      <c r="P30" s="16">
        <v>6</v>
      </c>
      <c r="Q30" s="16">
        <v>3</v>
      </c>
      <c r="R30" s="32">
        <f t="shared" si="2"/>
        <v>0.66666666666666663</v>
      </c>
      <c r="S30" s="16"/>
      <c r="T30" s="16"/>
      <c r="U30" s="32" t="e">
        <f t="shared" si="3"/>
        <v>#DIV/0!</v>
      </c>
      <c r="V30" s="16"/>
      <c r="W30" s="16"/>
      <c r="X30" s="16" t="e">
        <f t="shared" si="4"/>
        <v>#DIV/0!</v>
      </c>
      <c r="Y30" s="16">
        <f>COUNTA(J30:W30)/2</f>
        <v>5</v>
      </c>
      <c r="Z30" s="16">
        <f>J30+M30+P30+S30+V30</f>
        <v>15</v>
      </c>
      <c r="AA30" s="16">
        <f t="shared" si="5"/>
        <v>12</v>
      </c>
      <c r="AB30" s="16">
        <f t="shared" si="6"/>
        <v>27</v>
      </c>
      <c r="AC30" s="24">
        <f t="shared" si="7"/>
        <v>0.55555555555555558</v>
      </c>
      <c r="AD30" s="10" t="s">
        <v>134</v>
      </c>
      <c r="AE30" s="10" t="s">
        <v>53</v>
      </c>
      <c r="AF30" s="10" t="s">
        <v>54</v>
      </c>
      <c r="AG30" s="16">
        <v>9</v>
      </c>
    </row>
    <row r="31" spans="1:33">
      <c r="A31" s="14" t="s">
        <v>148</v>
      </c>
      <c r="B31" s="10" t="s">
        <v>43</v>
      </c>
      <c r="C31" s="10" t="s">
        <v>63</v>
      </c>
      <c r="D31" s="10" t="s">
        <v>64</v>
      </c>
      <c r="E31" s="10" t="s">
        <v>65</v>
      </c>
      <c r="F31" s="10" t="s">
        <v>153</v>
      </c>
      <c r="G31" s="15" t="s">
        <v>39</v>
      </c>
      <c r="H31" s="34">
        <v>3</v>
      </c>
      <c r="I31" s="28">
        <v>159</v>
      </c>
      <c r="J31" s="16">
        <v>6</v>
      </c>
      <c r="K31" s="16">
        <v>4</v>
      </c>
      <c r="L31" s="32">
        <f t="shared" si="0"/>
        <v>0.6</v>
      </c>
      <c r="M31" s="16">
        <v>6</v>
      </c>
      <c r="N31" s="16">
        <v>2</v>
      </c>
      <c r="O31" s="32">
        <f t="shared" si="1"/>
        <v>0.75</v>
      </c>
      <c r="P31" s="16">
        <v>6</v>
      </c>
      <c r="Q31" s="16">
        <v>3</v>
      </c>
      <c r="R31" s="32">
        <f t="shared" si="2"/>
        <v>0.66666666666666663</v>
      </c>
      <c r="S31" s="16"/>
      <c r="T31" s="16"/>
      <c r="U31" s="32" t="e">
        <f t="shared" si="3"/>
        <v>#DIV/0!</v>
      </c>
      <c r="V31" s="16"/>
      <c r="W31" s="16"/>
      <c r="X31" s="16" t="e">
        <f t="shared" si="4"/>
        <v>#DIV/0!</v>
      </c>
      <c r="Y31" s="16">
        <f>COUNTA(J31:W31)/2</f>
        <v>5</v>
      </c>
      <c r="Z31" s="16">
        <f>J31+M31+P31+S31+V31</f>
        <v>18</v>
      </c>
      <c r="AA31" s="16">
        <f t="shared" si="5"/>
        <v>9</v>
      </c>
      <c r="AB31" s="16">
        <f t="shared" si="6"/>
        <v>27</v>
      </c>
      <c r="AC31" s="24">
        <f t="shared" si="7"/>
        <v>0.66666666666666663</v>
      </c>
      <c r="AD31" s="10" t="s">
        <v>126</v>
      </c>
      <c r="AE31" s="10" t="s">
        <v>127</v>
      </c>
      <c r="AF31" s="10" t="s">
        <v>128</v>
      </c>
      <c r="AG31" s="16">
        <v>5</v>
      </c>
    </row>
    <row r="32" spans="1:33">
      <c r="A32" s="9" t="s">
        <v>154</v>
      </c>
      <c r="B32" s="10" t="s">
        <v>34</v>
      </c>
      <c r="C32" s="11" t="s">
        <v>118</v>
      </c>
      <c r="D32" s="11" t="s">
        <v>36</v>
      </c>
      <c r="E32" s="11" t="s">
        <v>37</v>
      </c>
      <c r="F32" s="11" t="s">
        <v>155</v>
      </c>
      <c r="G32" s="15" t="s">
        <v>39</v>
      </c>
      <c r="H32" s="35">
        <v>1</v>
      </c>
      <c r="I32" s="30">
        <v>127</v>
      </c>
      <c r="J32" s="13">
        <v>6</v>
      </c>
      <c r="K32" s="13">
        <v>4</v>
      </c>
      <c r="L32" s="32">
        <f t="shared" si="0"/>
        <v>0.6</v>
      </c>
      <c r="M32" s="13">
        <v>3</v>
      </c>
      <c r="N32" s="13">
        <v>6</v>
      </c>
      <c r="O32" s="32">
        <f t="shared" si="1"/>
        <v>0.33333333333333331</v>
      </c>
      <c r="P32" s="13">
        <v>6</v>
      </c>
      <c r="Q32" s="13">
        <v>2</v>
      </c>
      <c r="R32" s="32">
        <f t="shared" si="2"/>
        <v>0.75</v>
      </c>
      <c r="S32" s="13"/>
      <c r="T32" s="13"/>
      <c r="U32" s="32" t="e">
        <f t="shared" si="3"/>
        <v>#DIV/0!</v>
      </c>
      <c r="V32" s="13"/>
      <c r="W32" s="13"/>
      <c r="X32" s="16" t="e">
        <f t="shared" si="4"/>
        <v>#DIV/0!</v>
      </c>
      <c r="Y32" s="16">
        <f>COUNTA(J32:W32)/2</f>
        <v>5</v>
      </c>
      <c r="Z32" s="16">
        <f>J32+M32+P32+S32+V32</f>
        <v>15</v>
      </c>
      <c r="AA32" s="16">
        <f t="shared" si="5"/>
        <v>12</v>
      </c>
      <c r="AB32" s="16">
        <f t="shared" si="6"/>
        <v>27</v>
      </c>
      <c r="AC32" s="24">
        <f t="shared" si="7"/>
        <v>0.55555555555555558</v>
      </c>
      <c r="AD32" s="11" t="s">
        <v>156</v>
      </c>
      <c r="AE32" s="11" t="s">
        <v>150</v>
      </c>
      <c r="AF32" s="11" t="s">
        <v>151</v>
      </c>
      <c r="AG32" s="13" t="s">
        <v>91</v>
      </c>
    </row>
    <row r="33" spans="1:33">
      <c r="A33" s="9" t="s">
        <v>154</v>
      </c>
      <c r="B33" s="10" t="s">
        <v>43</v>
      </c>
      <c r="C33" s="11" t="s">
        <v>110</v>
      </c>
      <c r="D33" s="11" t="s">
        <v>111</v>
      </c>
      <c r="E33" s="11" t="s">
        <v>112</v>
      </c>
      <c r="F33" s="11" t="s">
        <v>157</v>
      </c>
      <c r="G33" s="15" t="s">
        <v>39</v>
      </c>
      <c r="H33" s="35">
        <v>1</v>
      </c>
      <c r="I33" s="30">
        <v>161</v>
      </c>
      <c r="J33" s="13">
        <v>6</v>
      </c>
      <c r="K33" s="13">
        <v>3</v>
      </c>
      <c r="L33" s="32">
        <f t="shared" si="0"/>
        <v>0.66666666666666663</v>
      </c>
      <c r="M33" s="13">
        <v>6</v>
      </c>
      <c r="N33" s="13">
        <v>4</v>
      </c>
      <c r="O33" s="32">
        <f t="shared" si="1"/>
        <v>0.6</v>
      </c>
      <c r="P33" s="13">
        <v>7</v>
      </c>
      <c r="Q33" s="13">
        <v>6</v>
      </c>
      <c r="R33" s="32">
        <f t="shared" si="2"/>
        <v>0.53846153846153844</v>
      </c>
      <c r="S33" s="13"/>
      <c r="T33" s="13"/>
      <c r="U33" s="32" t="e">
        <f t="shared" si="3"/>
        <v>#DIV/0!</v>
      </c>
      <c r="V33" s="13"/>
      <c r="W33" s="13"/>
      <c r="X33" s="16" t="e">
        <f t="shared" si="4"/>
        <v>#DIV/0!</v>
      </c>
      <c r="Y33" s="16">
        <f>COUNTA(J33:W33)/2</f>
        <v>5</v>
      </c>
      <c r="Z33" s="16">
        <f>J33+M33+P33+S33+V33</f>
        <v>19</v>
      </c>
      <c r="AA33" s="16">
        <f t="shared" si="5"/>
        <v>13</v>
      </c>
      <c r="AB33" s="16">
        <f t="shared" si="6"/>
        <v>32</v>
      </c>
      <c r="AC33" s="24">
        <f t="shared" si="7"/>
        <v>0.59375</v>
      </c>
      <c r="AD33" s="11" t="s">
        <v>126</v>
      </c>
      <c r="AE33" s="11" t="s">
        <v>127</v>
      </c>
      <c r="AF33" s="11" t="s">
        <v>128</v>
      </c>
      <c r="AG33" s="13">
        <v>5</v>
      </c>
    </row>
    <row r="34" spans="1:33">
      <c r="A34" s="14" t="s">
        <v>158</v>
      </c>
      <c r="B34" s="10" t="s">
        <v>34</v>
      </c>
      <c r="C34" s="10" t="s">
        <v>118</v>
      </c>
      <c r="D34" s="10" t="s">
        <v>36</v>
      </c>
      <c r="E34" s="18" t="s">
        <v>37</v>
      </c>
      <c r="F34" s="10" t="s">
        <v>159</v>
      </c>
      <c r="G34" s="15" t="s">
        <v>39</v>
      </c>
      <c r="H34" s="34">
        <v>2</v>
      </c>
      <c r="I34" s="28">
        <v>58</v>
      </c>
      <c r="J34" s="16">
        <v>6</v>
      </c>
      <c r="K34" s="16">
        <v>0</v>
      </c>
      <c r="L34" s="32">
        <f t="shared" si="0"/>
        <v>1</v>
      </c>
      <c r="M34" s="16">
        <v>6</v>
      </c>
      <c r="N34" s="16">
        <v>3</v>
      </c>
      <c r="O34" s="32">
        <f t="shared" si="1"/>
        <v>0.66666666666666663</v>
      </c>
      <c r="P34" s="16"/>
      <c r="Q34" s="16"/>
      <c r="R34" s="32" t="e">
        <f t="shared" si="2"/>
        <v>#DIV/0!</v>
      </c>
      <c r="S34" s="16"/>
      <c r="T34" s="16"/>
      <c r="U34" s="32" t="e">
        <f t="shared" si="3"/>
        <v>#DIV/0!</v>
      </c>
      <c r="V34" s="16"/>
      <c r="W34" s="16"/>
      <c r="X34" s="16" t="e">
        <f t="shared" si="4"/>
        <v>#DIV/0!</v>
      </c>
      <c r="Y34" s="16">
        <f>COUNTA(J34:W34)/2</f>
        <v>4</v>
      </c>
      <c r="Z34" s="16">
        <f>J34+M34+P34+S34+V34</f>
        <v>12</v>
      </c>
      <c r="AA34" s="16">
        <f t="shared" si="5"/>
        <v>3</v>
      </c>
      <c r="AB34" s="16">
        <f t="shared" si="6"/>
        <v>15</v>
      </c>
      <c r="AC34" s="24">
        <f t="shared" si="7"/>
        <v>0.8</v>
      </c>
      <c r="AD34" s="10" t="s">
        <v>160</v>
      </c>
      <c r="AE34" s="10" t="s">
        <v>57</v>
      </c>
      <c r="AF34" s="10" t="s">
        <v>58</v>
      </c>
      <c r="AG34" s="16">
        <v>3</v>
      </c>
    </row>
    <row r="35" spans="1:33">
      <c r="A35" s="14" t="s">
        <v>158</v>
      </c>
      <c r="B35" s="10" t="s">
        <v>43</v>
      </c>
      <c r="C35" s="10" t="s">
        <v>76</v>
      </c>
      <c r="D35" s="10" t="s">
        <v>77</v>
      </c>
      <c r="E35" s="10" t="s">
        <v>78</v>
      </c>
      <c r="F35" s="10" t="s">
        <v>161</v>
      </c>
      <c r="G35" s="15" t="s">
        <v>39</v>
      </c>
      <c r="H35" s="34">
        <v>1</v>
      </c>
      <c r="I35" s="28">
        <v>263</v>
      </c>
      <c r="J35" s="16">
        <v>7</v>
      </c>
      <c r="K35" s="16">
        <v>5</v>
      </c>
      <c r="L35" s="32">
        <f t="shared" si="0"/>
        <v>0.58333333333333337</v>
      </c>
      <c r="M35" s="16">
        <v>3</v>
      </c>
      <c r="N35" s="16">
        <v>6</v>
      </c>
      <c r="O35" s="32">
        <f t="shared" si="1"/>
        <v>0.33333333333333331</v>
      </c>
      <c r="P35" s="16">
        <v>7</v>
      </c>
      <c r="Q35" s="16">
        <v>6</v>
      </c>
      <c r="R35" s="32">
        <f t="shared" si="2"/>
        <v>0.53846153846153844</v>
      </c>
      <c r="S35" s="16">
        <v>3</v>
      </c>
      <c r="T35" s="16">
        <v>6</v>
      </c>
      <c r="U35" s="32">
        <f t="shared" si="3"/>
        <v>0.33333333333333331</v>
      </c>
      <c r="V35" s="16">
        <v>6</v>
      </c>
      <c r="W35" s="16">
        <v>2</v>
      </c>
      <c r="X35" s="16">
        <f t="shared" si="4"/>
        <v>0.75</v>
      </c>
      <c r="Y35" s="16">
        <f>COUNTA(J35:W35)/2</f>
        <v>7</v>
      </c>
      <c r="Z35" s="16">
        <f>J35+M35+P35+S35+V35</f>
        <v>26</v>
      </c>
      <c r="AA35" s="16">
        <f t="shared" si="5"/>
        <v>25</v>
      </c>
      <c r="AB35" s="16">
        <f t="shared" si="6"/>
        <v>51</v>
      </c>
      <c r="AC35" s="24">
        <f t="shared" si="7"/>
        <v>0.50980392156862742</v>
      </c>
      <c r="AD35" s="10" t="s">
        <v>110</v>
      </c>
      <c r="AE35" s="10" t="s">
        <v>111</v>
      </c>
      <c r="AF35" s="10" t="s">
        <v>112</v>
      </c>
      <c r="AG35" s="16">
        <v>2</v>
      </c>
    </row>
    <row r="36" spans="1:33">
      <c r="A36" s="9" t="s">
        <v>162</v>
      </c>
      <c r="B36" s="10" t="s">
        <v>34</v>
      </c>
      <c r="C36" s="11" t="s">
        <v>131</v>
      </c>
      <c r="D36" s="11" t="s">
        <v>57</v>
      </c>
      <c r="E36" s="11" t="s">
        <v>58</v>
      </c>
      <c r="F36" s="11" t="s">
        <v>163</v>
      </c>
      <c r="G36" s="15" t="s">
        <v>39</v>
      </c>
      <c r="H36" s="35">
        <v>5</v>
      </c>
      <c r="I36" s="30">
        <v>91</v>
      </c>
      <c r="J36" s="13">
        <v>7</v>
      </c>
      <c r="K36" s="13">
        <v>5</v>
      </c>
      <c r="L36" s="32">
        <f t="shared" si="0"/>
        <v>0.58333333333333337</v>
      </c>
      <c r="M36" s="13">
        <v>6</v>
      </c>
      <c r="N36" s="13">
        <v>3</v>
      </c>
      <c r="O36" s="32">
        <f t="shared" si="1"/>
        <v>0.66666666666666663</v>
      </c>
      <c r="P36" s="13"/>
      <c r="Q36" s="13"/>
      <c r="R36" s="32" t="e">
        <f t="shared" si="2"/>
        <v>#DIV/0!</v>
      </c>
      <c r="S36" s="13"/>
      <c r="T36" s="13"/>
      <c r="U36" s="32" t="e">
        <f t="shared" si="3"/>
        <v>#DIV/0!</v>
      </c>
      <c r="V36" s="13"/>
      <c r="W36" s="13"/>
      <c r="X36" s="16" t="e">
        <f t="shared" si="4"/>
        <v>#DIV/0!</v>
      </c>
      <c r="Y36" s="16">
        <f>COUNTA(J36:W36)/2</f>
        <v>4</v>
      </c>
      <c r="Z36" s="16">
        <f>J36+M36+P36+S36+V36</f>
        <v>13</v>
      </c>
      <c r="AA36" s="16">
        <f t="shared" si="5"/>
        <v>8</v>
      </c>
      <c r="AB36" s="16">
        <f t="shared" si="6"/>
        <v>21</v>
      </c>
      <c r="AC36" s="24">
        <f t="shared" si="7"/>
        <v>0.61904761904761907</v>
      </c>
      <c r="AD36" s="11" t="s">
        <v>164</v>
      </c>
      <c r="AE36" s="11" t="s">
        <v>64</v>
      </c>
      <c r="AF36" s="11" t="s">
        <v>65</v>
      </c>
      <c r="AG36" s="13">
        <v>4</v>
      </c>
    </row>
    <row r="37" spans="1:33">
      <c r="A37" s="9" t="s">
        <v>162</v>
      </c>
      <c r="B37" s="10" t="s">
        <v>43</v>
      </c>
      <c r="C37" s="11" t="s">
        <v>63</v>
      </c>
      <c r="D37" s="11" t="s">
        <v>64</v>
      </c>
      <c r="E37" s="17" t="s">
        <v>65</v>
      </c>
      <c r="F37" s="11" t="s">
        <v>165</v>
      </c>
      <c r="G37" s="15" t="s">
        <v>39</v>
      </c>
      <c r="H37" s="35">
        <v>3</v>
      </c>
      <c r="I37" s="30">
        <v>182</v>
      </c>
      <c r="J37" s="13">
        <v>4</v>
      </c>
      <c r="K37" s="13">
        <v>6</v>
      </c>
      <c r="L37" s="32">
        <f t="shared" si="0"/>
        <v>0.4</v>
      </c>
      <c r="M37" s="13">
        <v>6</v>
      </c>
      <c r="N37" s="13">
        <v>4</v>
      </c>
      <c r="O37" s="32">
        <f t="shared" si="1"/>
        <v>0.6</v>
      </c>
      <c r="P37" s="13">
        <v>6</v>
      </c>
      <c r="Q37" s="13">
        <v>3</v>
      </c>
      <c r="R37" s="32">
        <f t="shared" si="2"/>
        <v>0.66666666666666663</v>
      </c>
      <c r="S37" s="13">
        <v>7</v>
      </c>
      <c r="T37" s="13">
        <v>6</v>
      </c>
      <c r="U37" s="32">
        <f t="shared" si="3"/>
        <v>0.53846153846153844</v>
      </c>
      <c r="V37" s="13"/>
      <c r="W37" s="13"/>
      <c r="X37" s="16" t="e">
        <f t="shared" si="4"/>
        <v>#DIV/0!</v>
      </c>
      <c r="Y37" s="16">
        <f>COUNTA(J37:W37)/2</f>
        <v>6</v>
      </c>
      <c r="Z37" s="16">
        <f>J37+M37+P37+S37+V37</f>
        <v>23</v>
      </c>
      <c r="AA37" s="16">
        <f t="shared" si="5"/>
        <v>19</v>
      </c>
      <c r="AB37" s="16">
        <f t="shared" si="6"/>
        <v>42</v>
      </c>
      <c r="AC37" s="24">
        <f t="shared" si="7"/>
        <v>0.54761904761904767</v>
      </c>
      <c r="AD37" s="11" t="s">
        <v>166</v>
      </c>
      <c r="AE37" s="11" t="s">
        <v>167</v>
      </c>
      <c r="AF37" s="11" t="s">
        <v>168</v>
      </c>
      <c r="AG37" s="13" t="s">
        <v>91</v>
      </c>
    </row>
    <row r="38" spans="1:33">
      <c r="A38" s="14" t="s">
        <v>169</v>
      </c>
      <c r="B38" s="10" t="s">
        <v>34</v>
      </c>
      <c r="C38" s="10" t="s">
        <v>118</v>
      </c>
      <c r="D38" s="10" t="s">
        <v>36</v>
      </c>
      <c r="E38" s="18" t="s">
        <v>37</v>
      </c>
      <c r="F38" s="10" t="s">
        <v>170</v>
      </c>
      <c r="G38" s="15" t="s">
        <v>39</v>
      </c>
      <c r="H38" s="34" t="s">
        <v>91</v>
      </c>
      <c r="I38" s="28">
        <v>63</v>
      </c>
      <c r="J38" s="16">
        <v>6</v>
      </c>
      <c r="K38" s="16">
        <v>1</v>
      </c>
      <c r="L38" s="32">
        <f t="shared" si="0"/>
        <v>0.8571428571428571</v>
      </c>
      <c r="M38" s="16">
        <v>6</v>
      </c>
      <c r="N38" s="16">
        <v>2</v>
      </c>
      <c r="O38" s="32">
        <f t="shared" si="1"/>
        <v>0.75</v>
      </c>
      <c r="P38" s="16"/>
      <c r="Q38" s="16"/>
      <c r="R38" s="32" t="e">
        <f t="shared" si="2"/>
        <v>#DIV/0!</v>
      </c>
      <c r="S38" s="16"/>
      <c r="T38" s="16"/>
      <c r="U38" s="32" t="e">
        <f t="shared" si="3"/>
        <v>#DIV/0!</v>
      </c>
      <c r="V38" s="16"/>
      <c r="W38" s="16"/>
      <c r="X38" s="16" t="e">
        <f t="shared" si="4"/>
        <v>#DIV/0!</v>
      </c>
      <c r="Y38" s="16">
        <f>COUNTA(J38:W38)/2</f>
        <v>4</v>
      </c>
      <c r="Z38" s="16">
        <f>J38+M38+P38+S38+V38</f>
        <v>12</v>
      </c>
      <c r="AA38" s="16">
        <f t="shared" si="5"/>
        <v>3</v>
      </c>
      <c r="AB38" s="16">
        <f t="shared" si="6"/>
        <v>15</v>
      </c>
      <c r="AC38" s="24">
        <f t="shared" si="7"/>
        <v>0.8</v>
      </c>
      <c r="AD38" s="10" t="s">
        <v>131</v>
      </c>
      <c r="AE38" s="10" t="s">
        <v>57</v>
      </c>
      <c r="AF38" s="10" t="s">
        <v>58</v>
      </c>
      <c r="AG38" s="16">
        <v>1</v>
      </c>
    </row>
    <row r="39" spans="1:33">
      <c r="A39" s="14" t="s">
        <v>169</v>
      </c>
      <c r="B39" s="10" t="s">
        <v>43</v>
      </c>
      <c r="C39" s="10" t="s">
        <v>110</v>
      </c>
      <c r="D39" s="10" t="s">
        <v>111</v>
      </c>
      <c r="E39" s="10" t="s">
        <v>112</v>
      </c>
      <c r="F39" s="10" t="s">
        <v>171</v>
      </c>
      <c r="G39" s="15" t="s">
        <v>39</v>
      </c>
      <c r="H39" s="34">
        <v>1</v>
      </c>
      <c r="I39" s="28">
        <v>160</v>
      </c>
      <c r="J39" s="16">
        <v>7</v>
      </c>
      <c r="K39" s="16">
        <v>6</v>
      </c>
      <c r="L39" s="32">
        <f t="shared" si="0"/>
        <v>0.53846153846153844</v>
      </c>
      <c r="M39" s="16">
        <v>6</v>
      </c>
      <c r="N39" s="16">
        <v>4</v>
      </c>
      <c r="O39" s="32">
        <f t="shared" si="1"/>
        <v>0.6</v>
      </c>
      <c r="P39" s="16">
        <v>6</v>
      </c>
      <c r="Q39" s="16">
        <v>4</v>
      </c>
      <c r="R39" s="32">
        <f t="shared" si="2"/>
        <v>0.6</v>
      </c>
      <c r="S39" s="16"/>
      <c r="T39" s="16"/>
      <c r="U39" s="32" t="e">
        <f t="shared" si="3"/>
        <v>#DIV/0!</v>
      </c>
      <c r="V39" s="16"/>
      <c r="W39" s="16"/>
      <c r="X39" s="16" t="e">
        <f t="shared" si="4"/>
        <v>#DIV/0!</v>
      </c>
      <c r="Y39" s="16">
        <f>COUNTA(J39:W39)/2</f>
        <v>5</v>
      </c>
      <c r="Z39" s="16">
        <f>J39+M39+P39+S39+V39</f>
        <v>19</v>
      </c>
      <c r="AA39" s="16">
        <f t="shared" si="5"/>
        <v>14</v>
      </c>
      <c r="AB39" s="16">
        <f t="shared" si="6"/>
        <v>33</v>
      </c>
      <c r="AC39" s="24">
        <f t="shared" si="7"/>
        <v>0.5757575757575758</v>
      </c>
      <c r="AD39" s="10" t="s">
        <v>172</v>
      </c>
      <c r="AE39" s="10" t="s">
        <v>173</v>
      </c>
      <c r="AF39" s="10" t="s">
        <v>174</v>
      </c>
      <c r="AG39" s="16">
        <v>10</v>
      </c>
    </row>
    <row r="40" spans="1:33">
      <c r="A40" s="9" t="s">
        <v>175</v>
      </c>
      <c r="B40" s="10" t="s">
        <v>34</v>
      </c>
      <c r="C40" s="11" t="s">
        <v>176</v>
      </c>
      <c r="D40" s="11" t="s">
        <v>167</v>
      </c>
      <c r="E40" s="11" t="s">
        <v>168</v>
      </c>
      <c r="F40" s="11" t="s">
        <v>177</v>
      </c>
      <c r="G40" s="11" t="s">
        <v>178</v>
      </c>
      <c r="H40" s="35">
        <v>3</v>
      </c>
      <c r="I40" s="30" t="s">
        <v>179</v>
      </c>
      <c r="J40" s="13">
        <v>6</v>
      </c>
      <c r="K40" s="13">
        <v>1</v>
      </c>
      <c r="L40" s="32">
        <f t="shared" si="0"/>
        <v>0.8571428571428571</v>
      </c>
      <c r="M40" s="13">
        <v>2</v>
      </c>
      <c r="N40" s="13">
        <v>0</v>
      </c>
      <c r="O40" s="32">
        <f t="shared" si="1"/>
        <v>1</v>
      </c>
      <c r="P40" s="13"/>
      <c r="Q40" s="13"/>
      <c r="R40" s="32" t="e">
        <f t="shared" si="2"/>
        <v>#DIV/0!</v>
      </c>
      <c r="S40" s="13"/>
      <c r="T40" s="13"/>
      <c r="U40" s="32" t="e">
        <f t="shared" si="3"/>
        <v>#DIV/0!</v>
      </c>
      <c r="V40" s="13"/>
      <c r="W40" s="13"/>
      <c r="X40" s="16" t="e">
        <f t="shared" si="4"/>
        <v>#DIV/0!</v>
      </c>
      <c r="Y40" s="16">
        <f>COUNTA(J40:W40)/2</f>
        <v>4</v>
      </c>
      <c r="Z40" s="16">
        <f>J40+M40+P40+S40+V40</f>
        <v>8</v>
      </c>
      <c r="AA40" s="16">
        <f t="shared" si="5"/>
        <v>1</v>
      </c>
      <c r="AB40" s="16">
        <f t="shared" si="6"/>
        <v>9</v>
      </c>
      <c r="AC40" s="24">
        <f t="shared" si="7"/>
        <v>0.88888888888888884</v>
      </c>
      <c r="AD40" s="11" t="s">
        <v>156</v>
      </c>
      <c r="AE40" s="11" t="s">
        <v>150</v>
      </c>
      <c r="AF40" s="11" t="s">
        <v>151</v>
      </c>
      <c r="AG40" s="13">
        <v>8</v>
      </c>
    </row>
    <row r="41" spans="1:33">
      <c r="A41" s="9" t="s">
        <v>175</v>
      </c>
      <c r="B41" s="10" t="s">
        <v>43</v>
      </c>
      <c r="C41" s="11" t="s">
        <v>110</v>
      </c>
      <c r="D41" s="11" t="s">
        <v>111</v>
      </c>
      <c r="E41" s="11" t="s">
        <v>112</v>
      </c>
      <c r="F41" s="11" t="s">
        <v>180</v>
      </c>
      <c r="G41" s="11" t="s">
        <v>39</v>
      </c>
      <c r="H41" s="35">
        <v>1</v>
      </c>
      <c r="I41" s="30">
        <v>166</v>
      </c>
      <c r="J41" s="13">
        <v>5</v>
      </c>
      <c r="K41" s="13">
        <v>7</v>
      </c>
      <c r="L41" s="32">
        <f t="shared" si="0"/>
        <v>0.41666666666666669</v>
      </c>
      <c r="M41" s="13">
        <v>7</v>
      </c>
      <c r="N41" s="13">
        <v>5</v>
      </c>
      <c r="O41" s="32">
        <f t="shared" si="1"/>
        <v>0.58333333333333337</v>
      </c>
      <c r="P41" s="13">
        <v>6</v>
      </c>
      <c r="Q41" s="13">
        <v>0</v>
      </c>
      <c r="R41" s="32">
        <f t="shared" si="2"/>
        <v>1</v>
      </c>
      <c r="S41" s="13">
        <v>6</v>
      </c>
      <c r="T41" s="13">
        <v>2</v>
      </c>
      <c r="U41" s="32">
        <f t="shared" si="3"/>
        <v>0.75</v>
      </c>
      <c r="V41" s="13"/>
      <c r="W41" s="13"/>
      <c r="X41" s="16" t="e">
        <f t="shared" si="4"/>
        <v>#DIV/0!</v>
      </c>
      <c r="Y41" s="16">
        <f>COUNTA(J41:W41)/2</f>
        <v>6</v>
      </c>
      <c r="Z41" s="16">
        <f>J41+M41+P41+S41+V41</f>
        <v>24</v>
      </c>
      <c r="AA41" s="16">
        <f t="shared" si="5"/>
        <v>14</v>
      </c>
      <c r="AB41" s="16">
        <f t="shared" si="6"/>
        <v>38</v>
      </c>
      <c r="AC41" s="24">
        <f t="shared" si="7"/>
        <v>0.63157894736842102</v>
      </c>
      <c r="AD41" s="11" t="s">
        <v>181</v>
      </c>
      <c r="AE41" s="11" t="s">
        <v>182</v>
      </c>
      <c r="AF41" s="11" t="s">
        <v>183</v>
      </c>
      <c r="AG41" s="13" t="s">
        <v>91</v>
      </c>
    </row>
    <row r="42" spans="1:33">
      <c r="A42" s="14" t="s">
        <v>184</v>
      </c>
      <c r="B42" s="10" t="s">
        <v>34</v>
      </c>
      <c r="C42" s="10" t="s">
        <v>118</v>
      </c>
      <c r="D42" s="10" t="s">
        <v>36</v>
      </c>
      <c r="E42" s="18" t="s">
        <v>37</v>
      </c>
      <c r="F42" s="10" t="s">
        <v>185</v>
      </c>
      <c r="G42" s="11" t="s">
        <v>39</v>
      </c>
      <c r="H42" s="34">
        <v>7</v>
      </c>
      <c r="I42" s="28">
        <v>119</v>
      </c>
      <c r="J42" s="16">
        <v>2</v>
      </c>
      <c r="K42" s="16">
        <v>6</v>
      </c>
      <c r="L42" s="32">
        <f t="shared" si="0"/>
        <v>0.25</v>
      </c>
      <c r="M42" s="16">
        <v>6</v>
      </c>
      <c r="N42" s="16">
        <v>3</v>
      </c>
      <c r="O42" s="32">
        <f t="shared" si="1"/>
        <v>0.66666666666666663</v>
      </c>
      <c r="P42" s="16">
        <v>6</v>
      </c>
      <c r="Q42" s="16">
        <v>0</v>
      </c>
      <c r="R42" s="32">
        <f t="shared" si="2"/>
        <v>1</v>
      </c>
      <c r="S42" s="16"/>
      <c r="T42" s="16"/>
      <c r="U42" s="32" t="e">
        <f t="shared" si="3"/>
        <v>#DIV/0!</v>
      </c>
      <c r="V42" s="16"/>
      <c r="W42" s="16"/>
      <c r="X42" s="16" t="e">
        <f t="shared" si="4"/>
        <v>#DIV/0!</v>
      </c>
      <c r="Y42" s="16">
        <f>COUNTA(J42:W42)/2</f>
        <v>5</v>
      </c>
      <c r="Z42" s="16">
        <f>J42+M42+P42+S42+V42</f>
        <v>14</v>
      </c>
      <c r="AA42" s="16">
        <f t="shared" si="5"/>
        <v>9</v>
      </c>
      <c r="AB42" s="16">
        <f t="shared" si="6"/>
        <v>23</v>
      </c>
      <c r="AC42" s="24">
        <f t="shared" si="7"/>
        <v>0.60869565217391308</v>
      </c>
      <c r="AD42" s="10" t="s">
        <v>186</v>
      </c>
      <c r="AE42" s="10" t="s">
        <v>36</v>
      </c>
      <c r="AF42" s="10" t="s">
        <v>37</v>
      </c>
      <c r="AG42" s="16">
        <v>1</v>
      </c>
    </row>
    <row r="43" spans="1:33">
      <c r="A43" s="14" t="s">
        <v>184</v>
      </c>
      <c r="B43" s="10" t="s">
        <v>43</v>
      </c>
      <c r="C43" s="10" t="s">
        <v>187</v>
      </c>
      <c r="D43" s="10" t="s">
        <v>57</v>
      </c>
      <c r="E43" s="10" t="s">
        <v>58</v>
      </c>
      <c r="F43" s="10" t="s">
        <v>188</v>
      </c>
      <c r="G43" s="11" t="s">
        <v>39</v>
      </c>
      <c r="H43" s="34">
        <v>4</v>
      </c>
      <c r="I43" s="28">
        <v>177</v>
      </c>
      <c r="J43" s="16">
        <v>1</v>
      </c>
      <c r="K43" s="16">
        <v>6</v>
      </c>
      <c r="L43" s="32">
        <f t="shared" si="0"/>
        <v>0.14285714285714285</v>
      </c>
      <c r="M43" s="16">
        <v>6</v>
      </c>
      <c r="N43" s="16">
        <v>3</v>
      </c>
      <c r="O43" s="32">
        <f t="shared" si="1"/>
        <v>0.66666666666666663</v>
      </c>
      <c r="P43" s="16">
        <v>6</v>
      </c>
      <c r="Q43" s="16">
        <v>4</v>
      </c>
      <c r="R43" s="32">
        <f t="shared" si="2"/>
        <v>0.6</v>
      </c>
      <c r="S43" s="16">
        <v>6</v>
      </c>
      <c r="T43" s="16">
        <v>4</v>
      </c>
      <c r="U43" s="32">
        <f t="shared" si="3"/>
        <v>0.6</v>
      </c>
      <c r="V43" s="16"/>
      <c r="W43" s="16"/>
      <c r="X43" s="16" t="e">
        <f t="shared" si="4"/>
        <v>#DIV/0!</v>
      </c>
      <c r="Y43" s="16">
        <f>COUNTA(J43:W43)/2</f>
        <v>6</v>
      </c>
      <c r="Z43" s="16">
        <f>J43+M43+P43+S43+V43</f>
        <v>19</v>
      </c>
      <c r="AA43" s="16">
        <f t="shared" si="5"/>
        <v>17</v>
      </c>
      <c r="AB43" s="16">
        <f t="shared" si="6"/>
        <v>36</v>
      </c>
      <c r="AC43" s="24">
        <f t="shared" si="7"/>
        <v>0.52777777777777779</v>
      </c>
      <c r="AD43" s="10" t="s">
        <v>189</v>
      </c>
      <c r="AE43" s="10" t="s">
        <v>72</v>
      </c>
      <c r="AF43" s="10" t="s">
        <v>73</v>
      </c>
      <c r="AG43" s="16">
        <v>3</v>
      </c>
    </row>
    <row r="44" spans="1:33">
      <c r="A44" s="9" t="s">
        <v>190</v>
      </c>
      <c r="B44" s="10" t="s">
        <v>34</v>
      </c>
      <c r="C44" s="11" t="s">
        <v>156</v>
      </c>
      <c r="D44" s="11" t="s">
        <v>150</v>
      </c>
      <c r="E44" s="11" t="s">
        <v>151</v>
      </c>
      <c r="F44" s="11" t="s">
        <v>191</v>
      </c>
      <c r="G44" s="11" t="s">
        <v>39</v>
      </c>
      <c r="H44" s="35">
        <v>1</v>
      </c>
      <c r="I44" s="30">
        <v>132</v>
      </c>
      <c r="J44" s="13">
        <v>6</v>
      </c>
      <c r="K44" s="13">
        <v>3</v>
      </c>
      <c r="L44" s="32">
        <f t="shared" si="0"/>
        <v>0.66666666666666663</v>
      </c>
      <c r="M44" s="13">
        <v>4</v>
      </c>
      <c r="N44" s="13">
        <v>6</v>
      </c>
      <c r="O44" s="32">
        <f t="shared" si="1"/>
        <v>0.4</v>
      </c>
      <c r="P44" s="13">
        <v>6</v>
      </c>
      <c r="Q44" s="13">
        <v>3</v>
      </c>
      <c r="R44" s="32">
        <f t="shared" si="2"/>
        <v>0.66666666666666663</v>
      </c>
      <c r="S44" s="13"/>
      <c r="T44" s="13"/>
      <c r="U44" s="32" t="e">
        <f t="shared" si="3"/>
        <v>#DIV/0!</v>
      </c>
      <c r="V44" s="13"/>
      <c r="W44" s="13"/>
      <c r="X44" s="16" t="e">
        <f t="shared" si="4"/>
        <v>#DIV/0!</v>
      </c>
      <c r="Y44" s="16">
        <f>COUNTA(J44:W44)/2</f>
        <v>5</v>
      </c>
      <c r="Z44" s="16">
        <f>J44+M44+P44+S44+V44</f>
        <v>16</v>
      </c>
      <c r="AA44" s="16">
        <f t="shared" si="5"/>
        <v>12</v>
      </c>
      <c r="AB44" s="16">
        <f t="shared" si="6"/>
        <v>28</v>
      </c>
      <c r="AC44" s="24">
        <f t="shared" si="7"/>
        <v>0.5714285714285714</v>
      </c>
      <c r="AD44" s="11" t="s">
        <v>149</v>
      </c>
      <c r="AE44" s="11" t="s">
        <v>150</v>
      </c>
      <c r="AF44" s="11" t="s">
        <v>151</v>
      </c>
      <c r="AG44" s="13">
        <v>2</v>
      </c>
    </row>
    <row r="45" spans="1:33">
      <c r="A45" s="9" t="s">
        <v>190</v>
      </c>
      <c r="B45" s="10" t="s">
        <v>43</v>
      </c>
      <c r="C45" s="11" t="s">
        <v>110</v>
      </c>
      <c r="D45" s="11" t="s">
        <v>111</v>
      </c>
      <c r="E45" s="11" t="s">
        <v>112</v>
      </c>
      <c r="F45" s="11" t="s">
        <v>192</v>
      </c>
      <c r="G45" s="11" t="s">
        <v>39</v>
      </c>
      <c r="H45" s="35">
        <v>2</v>
      </c>
      <c r="I45" s="30">
        <v>135</v>
      </c>
      <c r="J45" s="13">
        <v>7</v>
      </c>
      <c r="K45" s="13">
        <v>6</v>
      </c>
      <c r="L45" s="32">
        <f t="shared" si="0"/>
        <v>0.53846153846153844</v>
      </c>
      <c r="M45" s="13">
        <v>6</v>
      </c>
      <c r="N45" s="13">
        <v>4</v>
      </c>
      <c r="O45" s="32">
        <f t="shared" si="1"/>
        <v>0.6</v>
      </c>
      <c r="P45" s="13">
        <v>6</v>
      </c>
      <c r="Q45" s="13">
        <v>2</v>
      </c>
      <c r="R45" s="32">
        <f t="shared" si="2"/>
        <v>0.75</v>
      </c>
      <c r="S45" s="13"/>
      <c r="T45" s="13"/>
      <c r="U45" s="32" t="e">
        <f t="shared" si="3"/>
        <v>#DIV/0!</v>
      </c>
      <c r="V45" s="13"/>
      <c r="W45" s="13"/>
      <c r="X45" s="16" t="e">
        <f t="shared" si="4"/>
        <v>#DIV/0!</v>
      </c>
      <c r="Y45" s="16">
        <f>COUNTA(J45:W45)/2</f>
        <v>5</v>
      </c>
      <c r="Z45" s="16">
        <f>J45+M45+P45+S45+V45</f>
        <v>19</v>
      </c>
      <c r="AA45" s="16">
        <f t="shared" si="5"/>
        <v>12</v>
      </c>
      <c r="AB45" s="16">
        <f t="shared" si="6"/>
        <v>31</v>
      </c>
      <c r="AC45" s="24">
        <f t="shared" si="7"/>
        <v>0.61290322580645162</v>
      </c>
      <c r="AD45" s="11" t="s">
        <v>187</v>
      </c>
      <c r="AE45" s="11" t="s">
        <v>57</v>
      </c>
      <c r="AF45" s="11" t="s">
        <v>58</v>
      </c>
      <c r="AG45" s="13" t="s">
        <v>91</v>
      </c>
    </row>
    <row r="46" spans="1:33">
      <c r="A46" s="14" t="s">
        <v>193</v>
      </c>
      <c r="B46" s="10" t="s">
        <v>34</v>
      </c>
      <c r="C46" s="10" t="s">
        <v>118</v>
      </c>
      <c r="D46" s="10" t="s">
        <v>36</v>
      </c>
      <c r="E46" s="18" t="s">
        <v>37</v>
      </c>
      <c r="F46" s="10" t="s">
        <v>194</v>
      </c>
      <c r="G46" s="11" t="s">
        <v>39</v>
      </c>
      <c r="H46" s="34">
        <v>1</v>
      </c>
      <c r="I46" s="28">
        <v>203</v>
      </c>
      <c r="J46" s="16">
        <v>7</v>
      </c>
      <c r="K46" s="16">
        <v>6</v>
      </c>
      <c r="L46" s="32">
        <f t="shared" si="0"/>
        <v>0.53846153846153844</v>
      </c>
      <c r="M46" s="16">
        <v>3</v>
      </c>
      <c r="N46" s="16">
        <v>6</v>
      </c>
      <c r="O46" s="32">
        <f t="shared" si="1"/>
        <v>0.33333333333333331</v>
      </c>
      <c r="P46" s="16">
        <v>6</v>
      </c>
      <c r="Q46" s="16">
        <v>4</v>
      </c>
      <c r="R46" s="32">
        <f t="shared" si="2"/>
        <v>0.6</v>
      </c>
      <c r="S46" s="16"/>
      <c r="T46" s="16"/>
      <c r="U46" s="32" t="e">
        <f t="shared" si="3"/>
        <v>#DIV/0!</v>
      </c>
      <c r="V46" s="16"/>
      <c r="W46" s="16"/>
      <c r="X46" s="16" t="e">
        <f t="shared" si="4"/>
        <v>#DIV/0!</v>
      </c>
      <c r="Y46" s="16">
        <f>COUNTA(J46:W46)/2</f>
        <v>5</v>
      </c>
      <c r="Z46" s="16">
        <f>J46+M46+P46+S46+V46</f>
        <v>16</v>
      </c>
      <c r="AA46" s="16">
        <f t="shared" si="5"/>
        <v>16</v>
      </c>
      <c r="AB46" s="16">
        <f t="shared" si="6"/>
        <v>32</v>
      </c>
      <c r="AC46" s="24">
        <f t="shared" si="7"/>
        <v>0.5</v>
      </c>
      <c r="AD46" s="10" t="s">
        <v>120</v>
      </c>
      <c r="AE46" s="10" t="s">
        <v>36</v>
      </c>
      <c r="AF46" s="10" t="s">
        <v>37</v>
      </c>
      <c r="AG46" s="16">
        <v>2</v>
      </c>
    </row>
    <row r="47" spans="1:33">
      <c r="A47" s="14" t="s">
        <v>193</v>
      </c>
      <c r="B47" s="10" t="s">
        <v>43</v>
      </c>
      <c r="C47" s="10" t="s">
        <v>195</v>
      </c>
      <c r="D47" s="10" t="s">
        <v>36</v>
      </c>
      <c r="E47" s="18" t="s">
        <v>37</v>
      </c>
      <c r="F47" s="10" t="s">
        <v>196</v>
      </c>
      <c r="G47" s="11" t="s">
        <v>39</v>
      </c>
      <c r="H47" s="34">
        <v>2</v>
      </c>
      <c r="I47" s="28">
        <v>76</v>
      </c>
      <c r="J47" s="16">
        <v>6</v>
      </c>
      <c r="K47" s="16">
        <v>2</v>
      </c>
      <c r="L47" s="32">
        <f t="shared" si="0"/>
        <v>0.75</v>
      </c>
      <c r="M47" s="16">
        <v>6</v>
      </c>
      <c r="N47" s="16">
        <v>2</v>
      </c>
      <c r="O47" s="32">
        <f t="shared" si="1"/>
        <v>0.75</v>
      </c>
      <c r="P47" s="16">
        <v>6</v>
      </c>
      <c r="Q47" s="16">
        <v>1</v>
      </c>
      <c r="R47" s="32">
        <f t="shared" si="2"/>
        <v>0.8571428571428571</v>
      </c>
      <c r="S47" s="16"/>
      <c r="T47" s="16"/>
      <c r="U47" s="32" t="e">
        <f t="shared" si="3"/>
        <v>#DIV/0!</v>
      </c>
      <c r="V47" s="16"/>
      <c r="W47" s="16"/>
      <c r="X47" s="16" t="e">
        <f t="shared" si="4"/>
        <v>#DIV/0!</v>
      </c>
      <c r="Y47" s="16">
        <f>COUNTA(J47:W47)/2</f>
        <v>5</v>
      </c>
      <c r="Z47" s="16">
        <f>J47+M47+P47+S47+V47</f>
        <v>18</v>
      </c>
      <c r="AA47" s="16">
        <f t="shared" si="5"/>
        <v>5</v>
      </c>
      <c r="AB47" s="16">
        <f t="shared" si="6"/>
        <v>23</v>
      </c>
      <c r="AC47" s="24">
        <f t="shared" si="7"/>
        <v>0.78260869565217395</v>
      </c>
      <c r="AD47" s="10" t="s">
        <v>197</v>
      </c>
      <c r="AE47" s="10" t="s">
        <v>49</v>
      </c>
      <c r="AF47" s="10" t="s">
        <v>50</v>
      </c>
      <c r="AG47" s="16">
        <v>31</v>
      </c>
    </row>
    <row r="48" spans="1:33">
      <c r="A48" s="9" t="s">
        <v>198</v>
      </c>
      <c r="B48" s="10" t="s">
        <v>34</v>
      </c>
      <c r="C48" s="11" t="s">
        <v>199</v>
      </c>
      <c r="D48" s="11" t="s">
        <v>36</v>
      </c>
      <c r="E48" s="11" t="s">
        <v>37</v>
      </c>
      <c r="F48" s="11" t="s">
        <v>200</v>
      </c>
      <c r="G48" s="11" t="s">
        <v>39</v>
      </c>
      <c r="H48" s="35">
        <v>1</v>
      </c>
      <c r="I48" s="30">
        <v>170</v>
      </c>
      <c r="J48" s="13">
        <v>4</v>
      </c>
      <c r="K48" s="13">
        <v>6</v>
      </c>
      <c r="L48" s="32">
        <f t="shared" si="0"/>
        <v>0.4</v>
      </c>
      <c r="M48" s="13">
        <v>7</v>
      </c>
      <c r="N48" s="13">
        <v>6</v>
      </c>
      <c r="O48" s="32">
        <f t="shared" si="1"/>
        <v>0.53846153846153844</v>
      </c>
      <c r="P48" s="13">
        <v>6</v>
      </c>
      <c r="Q48" s="13">
        <v>2</v>
      </c>
      <c r="R48" s="32">
        <f t="shared" si="2"/>
        <v>0.75</v>
      </c>
      <c r="S48" s="13"/>
      <c r="T48" s="13"/>
      <c r="U48" s="32" t="e">
        <f t="shared" si="3"/>
        <v>#DIV/0!</v>
      </c>
      <c r="V48" s="13"/>
      <c r="W48" s="13"/>
      <c r="X48" s="16" t="e">
        <f t="shared" si="4"/>
        <v>#DIV/0!</v>
      </c>
      <c r="Y48" s="16">
        <f>COUNTA(J48:W48)/2</f>
        <v>5</v>
      </c>
      <c r="Z48" s="16">
        <f>J48+M48+P48+S48+V48</f>
        <v>17</v>
      </c>
      <c r="AA48" s="16">
        <f t="shared" si="5"/>
        <v>14</v>
      </c>
      <c r="AB48" s="16">
        <f t="shared" si="6"/>
        <v>31</v>
      </c>
      <c r="AC48" s="24">
        <f t="shared" si="7"/>
        <v>0.54838709677419351</v>
      </c>
      <c r="AD48" s="11" t="s">
        <v>201</v>
      </c>
      <c r="AE48" s="11" t="s">
        <v>111</v>
      </c>
      <c r="AF48" s="11" t="s">
        <v>112</v>
      </c>
      <c r="AG48" s="13">
        <v>3</v>
      </c>
    </row>
    <row r="49" spans="1:33">
      <c r="A49" s="9" t="s">
        <v>198</v>
      </c>
      <c r="B49" s="10" t="s">
        <v>43</v>
      </c>
      <c r="C49" s="11" t="s">
        <v>202</v>
      </c>
      <c r="D49" s="11" t="s">
        <v>203</v>
      </c>
      <c r="E49" s="11" t="s">
        <v>204</v>
      </c>
      <c r="F49" s="11" t="s">
        <v>205</v>
      </c>
      <c r="G49" s="11" t="s">
        <v>39</v>
      </c>
      <c r="H49" s="35">
        <v>16</v>
      </c>
      <c r="I49" s="30">
        <v>173</v>
      </c>
      <c r="J49" s="13">
        <v>3</v>
      </c>
      <c r="K49" s="13">
        <v>6</v>
      </c>
      <c r="L49" s="32">
        <f t="shared" si="0"/>
        <v>0.33333333333333331</v>
      </c>
      <c r="M49" s="13">
        <v>6</v>
      </c>
      <c r="N49" s="13">
        <v>4</v>
      </c>
      <c r="O49" s="32">
        <f t="shared" si="1"/>
        <v>0.6</v>
      </c>
      <c r="P49" s="13">
        <v>6</v>
      </c>
      <c r="Q49" s="13">
        <v>4</v>
      </c>
      <c r="R49" s="32">
        <f t="shared" si="2"/>
        <v>0.6</v>
      </c>
      <c r="S49" s="13">
        <v>7</v>
      </c>
      <c r="T49" s="13">
        <v>6</v>
      </c>
      <c r="U49" s="32">
        <f t="shared" si="3"/>
        <v>0.53846153846153844</v>
      </c>
      <c r="V49" s="13"/>
      <c r="W49" s="13"/>
      <c r="X49" s="16" t="e">
        <f t="shared" si="4"/>
        <v>#DIV/0!</v>
      </c>
      <c r="Y49" s="16">
        <f>COUNTA(J49:W49)/2</f>
        <v>6</v>
      </c>
      <c r="Z49" s="16">
        <f>J49+M49+P49+S49+V49</f>
        <v>22</v>
      </c>
      <c r="AA49" s="16">
        <f t="shared" si="5"/>
        <v>20</v>
      </c>
      <c r="AB49" s="16">
        <f t="shared" si="6"/>
        <v>42</v>
      </c>
      <c r="AC49" s="24">
        <f t="shared" si="7"/>
        <v>0.52380952380952384</v>
      </c>
      <c r="AD49" s="11" t="s">
        <v>187</v>
      </c>
      <c r="AE49" s="11" t="s">
        <v>57</v>
      </c>
      <c r="AF49" s="11" t="s">
        <v>58</v>
      </c>
      <c r="AG49" s="13">
        <v>9</v>
      </c>
    </row>
    <row r="50" spans="1:33">
      <c r="A50" s="14" t="s">
        <v>206</v>
      </c>
      <c r="B50" s="10" t="s">
        <v>34</v>
      </c>
      <c r="C50" s="10" t="s">
        <v>199</v>
      </c>
      <c r="D50" s="10" t="s">
        <v>36</v>
      </c>
      <c r="E50" s="18" t="s">
        <v>37</v>
      </c>
      <c r="F50" s="10" t="s">
        <v>84</v>
      </c>
      <c r="G50" s="11" t="s">
        <v>39</v>
      </c>
      <c r="H50" s="34">
        <v>12</v>
      </c>
      <c r="I50" s="31">
        <v>150</v>
      </c>
      <c r="J50" s="16">
        <v>6</v>
      </c>
      <c r="K50" s="16">
        <v>4</v>
      </c>
      <c r="L50" s="32">
        <f t="shared" si="0"/>
        <v>0.6</v>
      </c>
      <c r="M50" s="16">
        <v>6</v>
      </c>
      <c r="N50" s="16">
        <v>3</v>
      </c>
      <c r="O50" s="32">
        <f t="shared" si="1"/>
        <v>0.66666666666666663</v>
      </c>
      <c r="P50" s="16"/>
      <c r="Q50" s="16"/>
      <c r="R50" s="32" t="e">
        <f t="shared" si="2"/>
        <v>#DIV/0!</v>
      </c>
      <c r="S50" s="16"/>
      <c r="T50" s="16"/>
      <c r="U50" s="32" t="e">
        <f t="shared" si="3"/>
        <v>#DIV/0!</v>
      </c>
      <c r="V50" s="16"/>
      <c r="W50" s="16"/>
      <c r="X50" s="16" t="e">
        <f t="shared" si="4"/>
        <v>#DIV/0!</v>
      </c>
      <c r="Y50" s="16">
        <f>COUNTA(J50:W50)/2</f>
        <v>4</v>
      </c>
      <c r="Z50" s="16">
        <f>J50+M50+P50+S50+V50</f>
        <v>12</v>
      </c>
      <c r="AA50" s="16">
        <f t="shared" si="5"/>
        <v>7</v>
      </c>
      <c r="AB50" s="16">
        <f t="shared" si="6"/>
        <v>19</v>
      </c>
      <c r="AC50" s="24">
        <f t="shared" si="7"/>
        <v>0.63157894736842102</v>
      </c>
      <c r="AD50" s="10" t="s">
        <v>201</v>
      </c>
      <c r="AE50" s="10" t="s">
        <v>111</v>
      </c>
      <c r="AF50" s="10" t="s">
        <v>112</v>
      </c>
      <c r="AG50" s="16">
        <v>1</v>
      </c>
    </row>
    <row r="51" spans="1:33">
      <c r="A51" s="14" t="s">
        <v>206</v>
      </c>
      <c r="B51" s="10" t="s">
        <v>43</v>
      </c>
      <c r="C51" s="10" t="s">
        <v>195</v>
      </c>
      <c r="D51" s="10" t="s">
        <v>36</v>
      </c>
      <c r="E51" s="18" t="s">
        <v>37</v>
      </c>
      <c r="F51" s="10" t="s">
        <v>207</v>
      </c>
      <c r="G51" s="11" t="s">
        <v>39</v>
      </c>
      <c r="H51" s="34">
        <v>6</v>
      </c>
      <c r="I51" s="31">
        <v>162</v>
      </c>
      <c r="J51" s="16">
        <v>6</v>
      </c>
      <c r="K51" s="16">
        <v>4</v>
      </c>
      <c r="L51" s="32">
        <f t="shared" si="0"/>
        <v>0.6</v>
      </c>
      <c r="M51" s="16">
        <v>6</v>
      </c>
      <c r="N51" s="16">
        <v>2</v>
      </c>
      <c r="O51" s="32">
        <f t="shared" si="1"/>
        <v>0.75</v>
      </c>
      <c r="P51" s="16">
        <v>6</v>
      </c>
      <c r="Q51" s="16">
        <v>2</v>
      </c>
      <c r="R51" s="32">
        <f t="shared" si="2"/>
        <v>0.75</v>
      </c>
      <c r="S51" s="16"/>
      <c r="T51" s="16"/>
      <c r="U51" s="32" t="e">
        <f t="shared" si="3"/>
        <v>#DIV/0!</v>
      </c>
      <c r="V51" s="16"/>
      <c r="W51" s="16"/>
      <c r="X51" s="16" t="e">
        <f t="shared" si="4"/>
        <v>#DIV/0!</v>
      </c>
      <c r="Y51" s="16">
        <f>COUNTA(J51:W51)/2</f>
        <v>5</v>
      </c>
      <c r="Z51" s="16">
        <f>J51+M51+P51+S51+V51</f>
        <v>18</v>
      </c>
      <c r="AA51" s="16">
        <f t="shared" si="5"/>
        <v>8</v>
      </c>
      <c r="AB51" s="16">
        <f t="shared" si="6"/>
        <v>26</v>
      </c>
      <c r="AC51" s="24">
        <f t="shared" si="7"/>
        <v>0.69230769230769229</v>
      </c>
      <c r="AD51" s="10" t="s">
        <v>208</v>
      </c>
      <c r="AE51" s="10" t="s">
        <v>167</v>
      </c>
      <c r="AF51" s="10" t="s">
        <v>168</v>
      </c>
      <c r="AG51" s="16">
        <v>15</v>
      </c>
    </row>
    <row r="52" spans="1:33">
      <c r="A52" s="9" t="s">
        <v>209</v>
      </c>
      <c r="B52" s="10" t="s">
        <v>34</v>
      </c>
      <c r="C52" s="11" t="s">
        <v>186</v>
      </c>
      <c r="D52" s="11" t="s">
        <v>36</v>
      </c>
      <c r="E52" s="11" t="s">
        <v>37</v>
      </c>
      <c r="F52" s="11" t="s">
        <v>210</v>
      </c>
      <c r="G52" s="11" t="s">
        <v>39</v>
      </c>
      <c r="H52" s="35">
        <v>2</v>
      </c>
      <c r="I52" s="31">
        <v>65</v>
      </c>
      <c r="J52" s="13">
        <v>6</v>
      </c>
      <c r="K52" s="13">
        <v>1</v>
      </c>
      <c r="L52" s="32">
        <f t="shared" si="0"/>
        <v>0.8571428571428571</v>
      </c>
      <c r="M52" s="13">
        <v>7</v>
      </c>
      <c r="N52" s="13">
        <v>5</v>
      </c>
      <c r="O52" s="32">
        <f t="shared" si="1"/>
        <v>0.58333333333333337</v>
      </c>
      <c r="P52" s="13"/>
      <c r="Q52" s="13"/>
      <c r="R52" s="32" t="e">
        <f t="shared" si="2"/>
        <v>#DIV/0!</v>
      </c>
      <c r="S52" s="13"/>
      <c r="T52" s="13"/>
      <c r="U52" s="32" t="e">
        <f t="shared" si="3"/>
        <v>#DIV/0!</v>
      </c>
      <c r="V52" s="13"/>
      <c r="W52" s="13"/>
      <c r="X52" s="16" t="e">
        <f t="shared" si="4"/>
        <v>#DIV/0!</v>
      </c>
      <c r="Y52" s="16">
        <f>COUNTA(J52:W52)/2</f>
        <v>4</v>
      </c>
      <c r="Z52" s="16">
        <f>J52+M52+P52+S52+V52</f>
        <v>13</v>
      </c>
      <c r="AA52" s="16">
        <f t="shared" si="5"/>
        <v>6</v>
      </c>
      <c r="AB52" s="16">
        <f t="shared" si="6"/>
        <v>19</v>
      </c>
      <c r="AC52" s="24">
        <f t="shared" si="7"/>
        <v>0.68421052631578949</v>
      </c>
      <c r="AD52" s="11" t="s">
        <v>201</v>
      </c>
      <c r="AE52" s="11" t="s">
        <v>111</v>
      </c>
      <c r="AF52" s="11" t="s">
        <v>112</v>
      </c>
      <c r="AG52" s="13">
        <v>1</v>
      </c>
    </row>
    <row r="53" spans="1:33">
      <c r="A53" s="9" t="s">
        <v>209</v>
      </c>
      <c r="B53" s="10" t="s">
        <v>43</v>
      </c>
      <c r="C53" s="11" t="s">
        <v>195</v>
      </c>
      <c r="D53" s="11" t="s">
        <v>36</v>
      </c>
      <c r="E53" s="11" t="s">
        <v>37</v>
      </c>
      <c r="F53" s="11" t="s">
        <v>211</v>
      </c>
      <c r="G53" s="11" t="s">
        <v>39</v>
      </c>
      <c r="H53" s="35">
        <v>1</v>
      </c>
      <c r="I53" s="31">
        <v>114</v>
      </c>
      <c r="J53" s="13">
        <v>3</v>
      </c>
      <c r="K53" s="13">
        <v>6</v>
      </c>
      <c r="L53" s="32">
        <f t="shared" si="0"/>
        <v>0.33333333333333331</v>
      </c>
      <c r="M53" s="13">
        <v>6</v>
      </c>
      <c r="N53" s="13">
        <v>3</v>
      </c>
      <c r="O53" s="32">
        <f t="shared" si="1"/>
        <v>0.66666666666666663</v>
      </c>
      <c r="P53" s="13">
        <v>6</v>
      </c>
      <c r="Q53" s="13">
        <v>2</v>
      </c>
      <c r="R53" s="32">
        <f t="shared" si="2"/>
        <v>0.75</v>
      </c>
      <c r="S53" s="13">
        <v>6</v>
      </c>
      <c r="T53" s="13">
        <v>4</v>
      </c>
      <c r="U53" s="32">
        <f t="shared" si="3"/>
        <v>0.6</v>
      </c>
      <c r="V53" s="13"/>
      <c r="W53" s="13"/>
      <c r="X53" s="16" t="e">
        <f t="shared" si="4"/>
        <v>#DIV/0!</v>
      </c>
      <c r="Y53" s="16">
        <f>COUNTA(J53:W53)/2</f>
        <v>6</v>
      </c>
      <c r="Z53" s="16">
        <f>J53+M53+P53+S53+V53</f>
        <v>21</v>
      </c>
      <c r="AA53" s="16">
        <f t="shared" si="5"/>
        <v>15</v>
      </c>
      <c r="AB53" s="16">
        <f t="shared" si="6"/>
        <v>36</v>
      </c>
      <c r="AC53" s="24">
        <f t="shared" si="7"/>
        <v>0.58333333333333337</v>
      </c>
      <c r="AD53" s="11" t="s">
        <v>212</v>
      </c>
      <c r="AE53" s="11" t="s">
        <v>57</v>
      </c>
      <c r="AF53" s="11" t="s">
        <v>58</v>
      </c>
      <c r="AG53" s="13">
        <v>2</v>
      </c>
    </row>
    <row r="54" spans="1:33">
      <c r="A54" s="14" t="s">
        <v>213</v>
      </c>
      <c r="B54" s="10" t="s">
        <v>34</v>
      </c>
      <c r="C54" s="10" t="s">
        <v>201</v>
      </c>
      <c r="D54" s="10" t="s">
        <v>111</v>
      </c>
      <c r="E54" s="10" t="s">
        <v>112</v>
      </c>
      <c r="F54" s="10" t="s">
        <v>214</v>
      </c>
      <c r="G54" s="11" t="s">
        <v>39</v>
      </c>
      <c r="H54" s="34">
        <v>2</v>
      </c>
      <c r="I54" s="31">
        <v>96</v>
      </c>
      <c r="J54" s="16">
        <v>6</v>
      </c>
      <c r="K54" s="16">
        <v>2</v>
      </c>
      <c r="L54" s="32">
        <f t="shared" si="0"/>
        <v>0.75</v>
      </c>
      <c r="M54" s="16">
        <v>6</v>
      </c>
      <c r="N54" s="16">
        <v>3</v>
      </c>
      <c r="O54" s="32">
        <f t="shared" si="1"/>
        <v>0.66666666666666663</v>
      </c>
      <c r="P54" s="16"/>
      <c r="Q54" s="16"/>
      <c r="R54" s="32" t="e">
        <f t="shared" si="2"/>
        <v>#DIV/0!</v>
      </c>
      <c r="S54" s="16"/>
      <c r="T54" s="16"/>
      <c r="U54" s="32" t="e">
        <f t="shared" si="3"/>
        <v>#DIV/0!</v>
      </c>
      <c r="V54" s="16"/>
      <c r="W54" s="16"/>
      <c r="X54" s="16" t="e">
        <f t="shared" si="4"/>
        <v>#DIV/0!</v>
      </c>
      <c r="Y54" s="16">
        <f>COUNTA(J54:W54)/2</f>
        <v>4</v>
      </c>
      <c r="Z54" s="16">
        <f>J54+M54+P54+S54+V54</f>
        <v>12</v>
      </c>
      <c r="AA54" s="16">
        <f t="shared" si="5"/>
        <v>5</v>
      </c>
      <c r="AB54" s="16">
        <f t="shared" si="6"/>
        <v>17</v>
      </c>
      <c r="AC54" s="24">
        <f t="shared" si="7"/>
        <v>0.70588235294117652</v>
      </c>
      <c r="AD54" s="10" t="s">
        <v>176</v>
      </c>
      <c r="AE54" s="10" t="s">
        <v>167</v>
      </c>
      <c r="AF54" s="10" t="s">
        <v>168</v>
      </c>
      <c r="AG54" s="16" t="s">
        <v>91</v>
      </c>
    </row>
    <row r="55" spans="1:33">
      <c r="A55" s="14" t="s">
        <v>213</v>
      </c>
      <c r="B55" s="10" t="s">
        <v>43</v>
      </c>
      <c r="C55" s="10" t="s">
        <v>212</v>
      </c>
      <c r="D55" s="10" t="s">
        <v>57</v>
      </c>
      <c r="E55" s="10" t="s">
        <v>58</v>
      </c>
      <c r="F55" s="10" t="s">
        <v>215</v>
      </c>
      <c r="G55" s="11" t="s">
        <v>39</v>
      </c>
      <c r="H55" s="34">
        <v>10</v>
      </c>
      <c r="I55" s="31">
        <v>177</v>
      </c>
      <c r="J55" s="16">
        <v>4</v>
      </c>
      <c r="K55" s="16">
        <v>6</v>
      </c>
      <c r="L55" s="32">
        <f t="shared" si="0"/>
        <v>0.4</v>
      </c>
      <c r="M55" s="16">
        <v>6</v>
      </c>
      <c r="N55" s="16">
        <v>0</v>
      </c>
      <c r="O55" s="32">
        <f t="shared" si="1"/>
        <v>1</v>
      </c>
      <c r="P55" s="16">
        <v>6</v>
      </c>
      <c r="Q55" s="16">
        <v>3</v>
      </c>
      <c r="R55" s="32">
        <f t="shared" si="2"/>
        <v>0.66666666666666663</v>
      </c>
      <c r="S55" s="16">
        <v>7</v>
      </c>
      <c r="T55" s="16">
        <v>6</v>
      </c>
      <c r="U55" s="32">
        <f t="shared" si="3"/>
        <v>0.53846153846153844</v>
      </c>
      <c r="V55" s="16"/>
      <c r="W55" s="16"/>
      <c r="X55" s="16" t="e">
        <f t="shared" si="4"/>
        <v>#DIV/0!</v>
      </c>
      <c r="Y55" s="16">
        <f>COUNTA(J55:W55)/2</f>
        <v>6</v>
      </c>
      <c r="Z55" s="16">
        <f>J55+M55+P55+S55+V55</f>
        <v>23</v>
      </c>
      <c r="AA55" s="16">
        <f t="shared" si="5"/>
        <v>15</v>
      </c>
      <c r="AB55" s="16">
        <f t="shared" si="6"/>
        <v>38</v>
      </c>
      <c r="AC55" s="24">
        <f t="shared" si="7"/>
        <v>0.60526315789473684</v>
      </c>
      <c r="AD55" s="10" t="s">
        <v>216</v>
      </c>
      <c r="AE55" s="10" t="s">
        <v>203</v>
      </c>
      <c r="AF55" s="10" t="s">
        <v>204</v>
      </c>
      <c r="AG55" s="16" t="s">
        <v>91</v>
      </c>
    </row>
    <row r="56" spans="1:33">
      <c r="A56" s="9" t="s">
        <v>217</v>
      </c>
      <c r="B56" s="10" t="s">
        <v>34</v>
      </c>
      <c r="C56" s="11" t="s">
        <v>201</v>
      </c>
      <c r="D56" s="11" t="s">
        <v>111</v>
      </c>
      <c r="E56" s="11" t="s">
        <v>112</v>
      </c>
      <c r="F56" s="11" t="s">
        <v>218</v>
      </c>
      <c r="G56" s="11" t="s">
        <v>39</v>
      </c>
      <c r="H56" s="35">
        <v>1</v>
      </c>
      <c r="I56" s="31">
        <v>86</v>
      </c>
      <c r="J56" s="13">
        <v>6</v>
      </c>
      <c r="K56" s="13">
        <v>3</v>
      </c>
      <c r="L56" s="32">
        <f t="shared" si="0"/>
        <v>0.66666666666666663</v>
      </c>
      <c r="M56" s="13">
        <v>6</v>
      </c>
      <c r="N56" s="13">
        <v>3</v>
      </c>
      <c r="O56" s="32">
        <f t="shared" si="1"/>
        <v>0.66666666666666663</v>
      </c>
      <c r="P56" s="13"/>
      <c r="Q56" s="13"/>
      <c r="R56" s="32" t="e">
        <f t="shared" si="2"/>
        <v>#DIV/0!</v>
      </c>
      <c r="S56" s="13"/>
      <c r="T56" s="13"/>
      <c r="U56" s="32" t="e">
        <f t="shared" si="3"/>
        <v>#DIV/0!</v>
      </c>
      <c r="V56" s="13"/>
      <c r="W56" s="13"/>
      <c r="X56" s="16" t="e">
        <f t="shared" si="4"/>
        <v>#DIV/0!</v>
      </c>
      <c r="Y56" s="16">
        <f>COUNTA(J56:W56)/2</f>
        <v>4</v>
      </c>
      <c r="Z56" s="16">
        <f>J56+M56+P56+S56+V56</f>
        <v>12</v>
      </c>
      <c r="AA56" s="16">
        <f t="shared" si="5"/>
        <v>6</v>
      </c>
      <c r="AB56" s="16">
        <f t="shared" si="6"/>
        <v>18</v>
      </c>
      <c r="AC56" s="24">
        <f t="shared" si="7"/>
        <v>0.66666666666666663</v>
      </c>
      <c r="AD56" s="11" t="s">
        <v>219</v>
      </c>
      <c r="AE56" s="11" t="s">
        <v>77</v>
      </c>
      <c r="AF56" s="11" t="s">
        <v>78</v>
      </c>
      <c r="AG56" s="13">
        <v>8</v>
      </c>
    </row>
    <row r="57" spans="1:33">
      <c r="A57" s="9" t="s">
        <v>217</v>
      </c>
      <c r="B57" s="10" t="s">
        <v>43</v>
      </c>
      <c r="C57" s="11" t="s">
        <v>220</v>
      </c>
      <c r="D57" s="11" t="s">
        <v>99</v>
      </c>
      <c r="E57" s="11" t="s">
        <v>100</v>
      </c>
      <c r="F57" s="11" t="s">
        <v>221</v>
      </c>
      <c r="G57" s="11" t="s">
        <v>39</v>
      </c>
      <c r="H57" s="35">
        <v>6</v>
      </c>
      <c r="I57" s="31">
        <v>85</v>
      </c>
      <c r="J57" s="13">
        <v>6</v>
      </c>
      <c r="K57" s="13">
        <v>2</v>
      </c>
      <c r="L57" s="32">
        <f t="shared" si="0"/>
        <v>0.75</v>
      </c>
      <c r="M57" s="13">
        <v>6</v>
      </c>
      <c r="N57" s="13">
        <v>2</v>
      </c>
      <c r="O57" s="32">
        <f t="shared" si="1"/>
        <v>0.75</v>
      </c>
      <c r="P57" s="13">
        <v>6</v>
      </c>
      <c r="Q57" s="13">
        <v>2</v>
      </c>
      <c r="R57" s="32">
        <f t="shared" si="2"/>
        <v>0.75</v>
      </c>
      <c r="S57" s="13"/>
      <c r="T57" s="13"/>
      <c r="U57" s="32" t="e">
        <f t="shared" si="3"/>
        <v>#DIV/0!</v>
      </c>
      <c r="V57" s="13"/>
      <c r="W57" s="13"/>
      <c r="X57" s="16" t="e">
        <f t="shared" si="4"/>
        <v>#DIV/0!</v>
      </c>
      <c r="Y57" s="16">
        <f>COUNTA(J57:W57)/2</f>
        <v>5</v>
      </c>
      <c r="Z57" s="16">
        <f>J57+M57+P57+S57+V57</f>
        <v>18</v>
      </c>
      <c r="AA57" s="16">
        <f t="shared" si="5"/>
        <v>6</v>
      </c>
      <c r="AB57" s="16">
        <f t="shared" si="6"/>
        <v>24</v>
      </c>
      <c r="AC57" s="24">
        <f t="shared" si="7"/>
        <v>0.75</v>
      </c>
      <c r="AD57" s="11" t="s">
        <v>222</v>
      </c>
      <c r="AE57" s="11" t="s">
        <v>173</v>
      </c>
      <c r="AF57" s="11" t="s">
        <v>174</v>
      </c>
      <c r="AG57" s="13">
        <v>9</v>
      </c>
    </row>
    <row r="58" spans="1:33">
      <c r="A58" s="14" t="s">
        <v>223</v>
      </c>
      <c r="B58" s="10" t="s">
        <v>34</v>
      </c>
      <c r="C58" s="10" t="s">
        <v>201</v>
      </c>
      <c r="D58" s="10" t="s">
        <v>111</v>
      </c>
      <c r="E58" s="10" t="s">
        <v>112</v>
      </c>
      <c r="F58" s="10" t="s">
        <v>224</v>
      </c>
      <c r="G58" s="11" t="s">
        <v>39</v>
      </c>
      <c r="H58" s="34">
        <v>4</v>
      </c>
      <c r="I58" s="31">
        <v>93</v>
      </c>
      <c r="J58" s="16">
        <v>6</v>
      </c>
      <c r="K58" s="16">
        <v>2</v>
      </c>
      <c r="L58" s="32">
        <f t="shared" si="0"/>
        <v>0.75</v>
      </c>
      <c r="M58" s="16">
        <v>6</v>
      </c>
      <c r="N58" s="16">
        <v>2</v>
      </c>
      <c r="O58" s="32">
        <f t="shared" si="1"/>
        <v>0.75</v>
      </c>
      <c r="P58" s="16"/>
      <c r="Q58" s="16"/>
      <c r="R58" s="32" t="e">
        <f t="shared" si="2"/>
        <v>#DIV/0!</v>
      </c>
      <c r="S58" s="16"/>
      <c r="T58" s="16"/>
      <c r="U58" s="32" t="e">
        <f t="shared" si="3"/>
        <v>#DIV/0!</v>
      </c>
      <c r="V58" s="16"/>
      <c r="W58" s="16"/>
      <c r="X58" s="16" t="e">
        <f t="shared" si="4"/>
        <v>#DIV/0!</v>
      </c>
      <c r="Y58" s="16">
        <f>COUNTA(J58:W58)/2</f>
        <v>4</v>
      </c>
      <c r="Z58" s="16">
        <f>J58+M58+P58+S58+V58</f>
        <v>12</v>
      </c>
      <c r="AA58" s="16">
        <f t="shared" si="5"/>
        <v>4</v>
      </c>
      <c r="AB58" s="16">
        <f t="shared" si="6"/>
        <v>16</v>
      </c>
      <c r="AC58" s="24">
        <f t="shared" si="7"/>
        <v>0.75</v>
      </c>
      <c r="AD58" s="10" t="s">
        <v>225</v>
      </c>
      <c r="AE58" s="10" t="s">
        <v>167</v>
      </c>
      <c r="AF58" s="10" t="s">
        <v>168</v>
      </c>
      <c r="AG58" s="16" t="s">
        <v>91</v>
      </c>
    </row>
    <row r="59" spans="1:33">
      <c r="A59" s="14" t="s">
        <v>223</v>
      </c>
      <c r="B59" s="10" t="s">
        <v>43</v>
      </c>
      <c r="C59" s="10" t="s">
        <v>226</v>
      </c>
      <c r="D59" s="10" t="s">
        <v>36</v>
      </c>
      <c r="E59" s="18" t="s">
        <v>37</v>
      </c>
      <c r="F59" s="10" t="s">
        <v>227</v>
      </c>
      <c r="G59" s="11" t="s">
        <v>39</v>
      </c>
      <c r="H59" s="34">
        <v>1</v>
      </c>
      <c r="I59" s="31">
        <v>148</v>
      </c>
      <c r="J59" s="16">
        <v>6</v>
      </c>
      <c r="K59" s="16">
        <v>2</v>
      </c>
      <c r="L59" s="32">
        <f t="shared" si="0"/>
        <v>0.75</v>
      </c>
      <c r="M59" s="16">
        <v>6</v>
      </c>
      <c r="N59" s="16">
        <v>3</v>
      </c>
      <c r="O59" s="32">
        <f t="shared" si="1"/>
        <v>0.66666666666666663</v>
      </c>
      <c r="P59" s="16">
        <v>6</v>
      </c>
      <c r="Q59" s="16">
        <v>3</v>
      </c>
      <c r="R59" s="32">
        <f t="shared" si="2"/>
        <v>0.66666666666666663</v>
      </c>
      <c r="S59" s="16"/>
      <c r="T59" s="16"/>
      <c r="U59" s="32" t="e">
        <f t="shared" si="3"/>
        <v>#DIV/0!</v>
      </c>
      <c r="V59" s="16"/>
      <c r="W59" s="16"/>
      <c r="X59" s="16" t="e">
        <f t="shared" si="4"/>
        <v>#DIV/0!</v>
      </c>
      <c r="Y59" s="16">
        <f>COUNTA(J59:W59)/2</f>
        <v>5</v>
      </c>
      <c r="Z59" s="16">
        <f>J59+M59+P59+S59+V59</f>
        <v>18</v>
      </c>
      <c r="AA59" s="16">
        <f t="shared" si="5"/>
        <v>8</v>
      </c>
      <c r="AB59" s="16">
        <f t="shared" si="6"/>
        <v>26</v>
      </c>
      <c r="AC59" s="24">
        <f t="shared" si="7"/>
        <v>0.69230769230769229</v>
      </c>
      <c r="AD59" s="10" t="s">
        <v>228</v>
      </c>
      <c r="AE59" s="10" t="s">
        <v>77</v>
      </c>
      <c r="AF59" s="10" t="s">
        <v>78</v>
      </c>
      <c r="AG59" s="16" t="s">
        <v>91</v>
      </c>
    </row>
    <row r="60" spans="1:33">
      <c r="A60" s="9" t="s">
        <v>229</v>
      </c>
      <c r="B60" s="10" t="s">
        <v>34</v>
      </c>
      <c r="C60" s="11" t="s">
        <v>230</v>
      </c>
      <c r="D60" s="11" t="s">
        <v>36</v>
      </c>
      <c r="E60" s="11" t="s">
        <v>37</v>
      </c>
      <c r="F60" s="11" t="s">
        <v>231</v>
      </c>
      <c r="G60" s="11" t="s">
        <v>39</v>
      </c>
      <c r="H60" s="35">
        <v>1</v>
      </c>
      <c r="I60" s="31">
        <v>101</v>
      </c>
      <c r="J60" s="13">
        <v>6</v>
      </c>
      <c r="K60" s="13">
        <v>4</v>
      </c>
      <c r="L60" s="32">
        <f t="shared" si="0"/>
        <v>0.6</v>
      </c>
      <c r="M60" s="13">
        <v>6</v>
      </c>
      <c r="N60" s="13">
        <v>1</v>
      </c>
      <c r="O60" s="32">
        <f t="shared" si="1"/>
        <v>0.8571428571428571</v>
      </c>
      <c r="P60" s="13"/>
      <c r="Q60" s="13"/>
      <c r="R60" s="32" t="e">
        <f t="shared" si="2"/>
        <v>#DIV/0!</v>
      </c>
      <c r="S60" s="13"/>
      <c r="T60" s="13"/>
      <c r="U60" s="32" t="e">
        <f t="shared" si="3"/>
        <v>#DIV/0!</v>
      </c>
      <c r="V60" s="13"/>
      <c r="W60" s="13"/>
      <c r="X60" s="16" t="e">
        <f t="shared" si="4"/>
        <v>#DIV/0!</v>
      </c>
      <c r="Y60" s="16">
        <f>COUNTA(J60:W60)/2</f>
        <v>4</v>
      </c>
      <c r="Z60" s="16">
        <f>J60+M60+P60+S60+V60</f>
        <v>12</v>
      </c>
      <c r="AA60" s="16">
        <f t="shared" si="5"/>
        <v>5</v>
      </c>
      <c r="AB60" s="16">
        <f t="shared" si="6"/>
        <v>17</v>
      </c>
      <c r="AC60" s="24">
        <f t="shared" si="7"/>
        <v>0.70588235294117652</v>
      </c>
      <c r="AD60" s="11" t="s">
        <v>232</v>
      </c>
      <c r="AE60" s="11" t="s">
        <v>49</v>
      </c>
      <c r="AF60" s="11" t="s">
        <v>50</v>
      </c>
      <c r="AG60" s="13">
        <v>8</v>
      </c>
    </row>
    <row r="61" spans="1:33">
      <c r="A61" s="9" t="s">
        <v>229</v>
      </c>
      <c r="B61" s="10" t="s">
        <v>43</v>
      </c>
      <c r="C61" s="11" t="s">
        <v>233</v>
      </c>
      <c r="D61" s="11" t="s">
        <v>49</v>
      </c>
      <c r="E61" s="11" t="s">
        <v>50</v>
      </c>
      <c r="F61" s="11" t="s">
        <v>234</v>
      </c>
      <c r="G61" s="11" t="s">
        <v>39</v>
      </c>
      <c r="H61" s="35">
        <v>4</v>
      </c>
      <c r="I61" s="31">
        <v>189</v>
      </c>
      <c r="J61" s="13">
        <v>6</v>
      </c>
      <c r="K61" s="13">
        <v>2</v>
      </c>
      <c r="L61" s="32">
        <f t="shared" si="0"/>
        <v>0.75</v>
      </c>
      <c r="M61" s="13">
        <v>6</v>
      </c>
      <c r="N61" s="13">
        <v>4</v>
      </c>
      <c r="O61" s="32">
        <f t="shared" si="1"/>
        <v>0.6</v>
      </c>
      <c r="P61" s="13">
        <v>2</v>
      </c>
      <c r="Q61" s="13">
        <v>6</v>
      </c>
      <c r="R61" s="32">
        <f t="shared" si="2"/>
        <v>0.25</v>
      </c>
      <c r="S61" s="13">
        <v>6</v>
      </c>
      <c r="T61" s="13">
        <v>2</v>
      </c>
      <c r="U61" s="32">
        <f t="shared" si="3"/>
        <v>0.75</v>
      </c>
      <c r="V61" s="13"/>
      <c r="W61" s="13"/>
      <c r="X61" s="16" t="e">
        <f t="shared" si="4"/>
        <v>#DIV/0!</v>
      </c>
      <c r="Y61" s="16">
        <f>COUNTA(J61:W61)/2</f>
        <v>6</v>
      </c>
      <c r="Z61" s="16">
        <f>J61+M61+P61+S61+V61</f>
        <v>20</v>
      </c>
      <c r="AA61" s="16">
        <f t="shared" si="5"/>
        <v>14</v>
      </c>
      <c r="AB61" s="16">
        <f t="shared" si="6"/>
        <v>34</v>
      </c>
      <c r="AC61" s="24">
        <f t="shared" si="7"/>
        <v>0.58823529411764708</v>
      </c>
      <c r="AD61" s="11" t="s">
        <v>235</v>
      </c>
      <c r="AE61" s="11" t="s">
        <v>36</v>
      </c>
      <c r="AF61" s="11" t="s">
        <v>37</v>
      </c>
      <c r="AG61" s="13">
        <v>5</v>
      </c>
    </row>
    <row r="62" spans="1:33">
      <c r="A62" s="14" t="s">
        <v>236</v>
      </c>
      <c r="B62" s="10" t="s">
        <v>34</v>
      </c>
      <c r="C62" s="10" t="s">
        <v>225</v>
      </c>
      <c r="D62" s="10" t="s">
        <v>167</v>
      </c>
      <c r="E62" s="10" t="s">
        <v>168</v>
      </c>
      <c r="F62" s="10" t="s">
        <v>237</v>
      </c>
      <c r="G62" s="11" t="s">
        <v>39</v>
      </c>
      <c r="H62" s="34">
        <v>4</v>
      </c>
      <c r="I62" s="31">
        <v>127</v>
      </c>
      <c r="J62" s="16">
        <v>6</v>
      </c>
      <c r="K62" s="16">
        <v>3</v>
      </c>
      <c r="L62" s="32">
        <f t="shared" si="0"/>
        <v>0.66666666666666663</v>
      </c>
      <c r="M62" s="16">
        <v>6</v>
      </c>
      <c r="N62" s="16">
        <v>2</v>
      </c>
      <c r="O62" s="32">
        <f t="shared" si="1"/>
        <v>0.75</v>
      </c>
      <c r="P62" s="16"/>
      <c r="Q62" s="16"/>
      <c r="R62" s="32" t="e">
        <f t="shared" si="2"/>
        <v>#DIV/0!</v>
      </c>
      <c r="S62" s="16"/>
      <c r="T62" s="16"/>
      <c r="U62" s="32" t="e">
        <f t="shared" si="3"/>
        <v>#DIV/0!</v>
      </c>
      <c r="V62" s="16"/>
      <c r="W62" s="16"/>
      <c r="X62" s="16" t="e">
        <f t="shared" si="4"/>
        <v>#DIV/0!</v>
      </c>
      <c r="Y62" s="16">
        <f>COUNTA(J62:W62)/2</f>
        <v>4</v>
      </c>
      <c r="Z62" s="16">
        <f>J62+M62+P62+S62+V62</f>
        <v>12</v>
      </c>
      <c r="AA62" s="16">
        <f t="shared" si="5"/>
        <v>5</v>
      </c>
      <c r="AB62" s="16">
        <f t="shared" si="6"/>
        <v>17</v>
      </c>
      <c r="AC62" s="24">
        <f t="shared" si="7"/>
        <v>0.70588235294117652</v>
      </c>
      <c r="AD62" s="10" t="s">
        <v>238</v>
      </c>
      <c r="AE62" s="10" t="s">
        <v>77</v>
      </c>
      <c r="AF62" s="10" t="s">
        <v>78</v>
      </c>
      <c r="AG62" s="16">
        <v>1</v>
      </c>
    </row>
    <row r="63" spans="1:33">
      <c r="A63" s="14" t="s">
        <v>236</v>
      </c>
      <c r="B63" s="10" t="s">
        <v>43</v>
      </c>
      <c r="C63" s="10" t="s">
        <v>195</v>
      </c>
      <c r="D63" s="10" t="s">
        <v>36</v>
      </c>
      <c r="E63" s="18" t="s">
        <v>37</v>
      </c>
      <c r="F63" s="10" t="s">
        <v>239</v>
      </c>
      <c r="G63" s="11" t="s">
        <v>39</v>
      </c>
      <c r="H63" s="34">
        <v>2</v>
      </c>
      <c r="I63" s="31">
        <v>158</v>
      </c>
      <c r="J63" s="16">
        <v>4</v>
      </c>
      <c r="K63" s="16">
        <v>6</v>
      </c>
      <c r="L63" s="32">
        <f t="shared" si="0"/>
        <v>0.4</v>
      </c>
      <c r="M63" s="16">
        <v>6</v>
      </c>
      <c r="N63" s="16">
        <v>1</v>
      </c>
      <c r="O63" s="32">
        <f t="shared" si="1"/>
        <v>0.8571428571428571</v>
      </c>
      <c r="P63" s="16">
        <v>7</v>
      </c>
      <c r="Q63" s="16">
        <v>6</v>
      </c>
      <c r="R63" s="32">
        <f t="shared" si="2"/>
        <v>0.53846153846153844</v>
      </c>
      <c r="S63" s="16">
        <v>6</v>
      </c>
      <c r="T63" s="16">
        <v>4</v>
      </c>
      <c r="U63" s="32">
        <f t="shared" si="3"/>
        <v>0.6</v>
      </c>
      <c r="V63" s="16"/>
      <c r="W63" s="16"/>
      <c r="X63" s="16" t="e">
        <f t="shared" si="4"/>
        <v>#DIV/0!</v>
      </c>
      <c r="Y63" s="16">
        <f>COUNTA(J63:W63)/2</f>
        <v>6</v>
      </c>
      <c r="Z63" s="16">
        <f>J63+M63+P63+S63+V63</f>
        <v>23</v>
      </c>
      <c r="AA63" s="16">
        <f t="shared" si="5"/>
        <v>17</v>
      </c>
      <c r="AB63" s="16">
        <f t="shared" si="6"/>
        <v>40</v>
      </c>
      <c r="AC63" s="24">
        <f t="shared" si="7"/>
        <v>0.57499999999999996</v>
      </c>
      <c r="AD63" s="10" t="s">
        <v>226</v>
      </c>
      <c r="AE63" s="10" t="s">
        <v>36</v>
      </c>
      <c r="AF63" s="10" t="s">
        <v>37</v>
      </c>
      <c r="AG63" s="16">
        <v>1</v>
      </c>
    </row>
    <row r="64" spans="1:33">
      <c r="A64" s="9" t="s">
        <v>240</v>
      </c>
      <c r="B64" s="10" t="s">
        <v>34</v>
      </c>
      <c r="C64" s="11" t="s">
        <v>241</v>
      </c>
      <c r="D64" s="11" t="s">
        <v>49</v>
      </c>
      <c r="E64" s="11" t="s">
        <v>50</v>
      </c>
      <c r="F64" s="11" t="s">
        <v>242</v>
      </c>
      <c r="G64" s="11" t="s">
        <v>39</v>
      </c>
      <c r="H64" s="35">
        <v>1</v>
      </c>
      <c r="I64" s="31">
        <v>133</v>
      </c>
      <c r="J64" s="13">
        <v>6</v>
      </c>
      <c r="K64" s="13">
        <v>0</v>
      </c>
      <c r="L64" s="32">
        <f t="shared" si="0"/>
        <v>1</v>
      </c>
      <c r="M64" s="13">
        <v>6</v>
      </c>
      <c r="N64" s="13">
        <v>2</v>
      </c>
      <c r="O64" s="32">
        <f t="shared" si="1"/>
        <v>0.75</v>
      </c>
      <c r="P64" s="13"/>
      <c r="Q64" s="13"/>
      <c r="R64" s="32" t="e">
        <f t="shared" si="2"/>
        <v>#DIV/0!</v>
      </c>
      <c r="S64" s="13"/>
      <c r="T64" s="13"/>
      <c r="U64" s="32" t="e">
        <f t="shared" si="3"/>
        <v>#DIV/0!</v>
      </c>
      <c r="V64" s="13"/>
      <c r="W64" s="13"/>
      <c r="X64" s="16" t="e">
        <f t="shared" si="4"/>
        <v>#DIV/0!</v>
      </c>
      <c r="Y64" s="16">
        <f>COUNTA(J64:W64)/2</f>
        <v>4</v>
      </c>
      <c r="Z64" s="16">
        <f>J64+M64+P64+S64+V64</f>
        <v>12</v>
      </c>
      <c r="AA64" s="16">
        <f t="shared" si="5"/>
        <v>2</v>
      </c>
      <c r="AB64" s="16">
        <f t="shared" si="6"/>
        <v>14</v>
      </c>
      <c r="AC64" s="24">
        <f t="shared" si="7"/>
        <v>0.8571428571428571</v>
      </c>
      <c r="AD64" s="11" t="s">
        <v>238</v>
      </c>
      <c r="AE64" s="11" t="s">
        <v>77</v>
      </c>
      <c r="AF64" s="11" t="s">
        <v>78</v>
      </c>
      <c r="AG64" s="13">
        <v>2</v>
      </c>
    </row>
    <row r="65" spans="1:33">
      <c r="A65" s="9" t="s">
        <v>240</v>
      </c>
      <c r="B65" s="10" t="s">
        <v>43</v>
      </c>
      <c r="C65" s="11" t="s">
        <v>226</v>
      </c>
      <c r="D65" s="11" t="s">
        <v>36</v>
      </c>
      <c r="E65" s="11" t="s">
        <v>37</v>
      </c>
      <c r="F65" s="11" t="s">
        <v>243</v>
      </c>
      <c r="G65" s="11" t="s">
        <v>39</v>
      </c>
      <c r="H65" s="35">
        <v>1</v>
      </c>
      <c r="I65" s="31">
        <v>174</v>
      </c>
      <c r="J65" s="13">
        <v>7</v>
      </c>
      <c r="K65" s="13">
        <v>6</v>
      </c>
      <c r="L65" s="32">
        <f t="shared" si="0"/>
        <v>0.53846153846153844</v>
      </c>
      <c r="M65" s="13">
        <v>6</v>
      </c>
      <c r="N65" s="13">
        <v>4</v>
      </c>
      <c r="O65" s="32">
        <f t="shared" si="1"/>
        <v>0.6</v>
      </c>
      <c r="P65" s="13">
        <v>6</v>
      </c>
      <c r="Q65" s="13">
        <v>4</v>
      </c>
      <c r="R65" s="32">
        <f t="shared" si="2"/>
        <v>0.6</v>
      </c>
      <c r="S65" s="13"/>
      <c r="T65" s="13"/>
      <c r="U65" s="32" t="e">
        <f t="shared" si="3"/>
        <v>#DIV/0!</v>
      </c>
      <c r="V65" s="13"/>
      <c r="W65" s="13"/>
      <c r="X65" s="16" t="e">
        <f t="shared" si="4"/>
        <v>#DIV/0!</v>
      </c>
      <c r="Y65" s="16">
        <f>COUNTA(J65:W65)/2</f>
        <v>5</v>
      </c>
      <c r="Z65" s="16">
        <f>J65+M65+P65+S65+V65</f>
        <v>19</v>
      </c>
      <c r="AA65" s="16">
        <f t="shared" si="5"/>
        <v>14</v>
      </c>
      <c r="AB65" s="16">
        <f t="shared" si="6"/>
        <v>33</v>
      </c>
      <c r="AC65" s="24">
        <f t="shared" si="7"/>
        <v>0.5757575757575758</v>
      </c>
      <c r="AD65" s="11" t="s">
        <v>244</v>
      </c>
      <c r="AE65" s="11" t="s">
        <v>36</v>
      </c>
      <c r="AF65" s="11" t="s">
        <v>37</v>
      </c>
      <c r="AG65" s="13">
        <v>9</v>
      </c>
    </row>
    <row r="66" spans="1:33">
      <c r="A66" s="14" t="s">
        <v>245</v>
      </c>
      <c r="B66" s="10" t="s">
        <v>34</v>
      </c>
      <c r="C66" s="10" t="s">
        <v>230</v>
      </c>
      <c r="D66" s="10" t="s">
        <v>246</v>
      </c>
      <c r="E66" s="10" t="s">
        <v>247</v>
      </c>
      <c r="F66" s="10" t="s">
        <v>248</v>
      </c>
      <c r="G66" s="11" t="s">
        <v>39</v>
      </c>
      <c r="H66" s="34">
        <v>1</v>
      </c>
      <c r="I66" s="31">
        <v>129</v>
      </c>
      <c r="J66" s="16">
        <v>4</v>
      </c>
      <c r="K66" s="16">
        <v>6</v>
      </c>
      <c r="L66" s="32">
        <f t="shared" si="0"/>
        <v>0.4</v>
      </c>
      <c r="M66" s="16">
        <v>6</v>
      </c>
      <c r="N66" s="16">
        <v>3</v>
      </c>
      <c r="O66" s="32">
        <f t="shared" si="1"/>
        <v>0.66666666666666663</v>
      </c>
      <c r="P66" s="16">
        <v>6</v>
      </c>
      <c r="Q66" s="16">
        <v>2</v>
      </c>
      <c r="R66" s="32">
        <f t="shared" si="2"/>
        <v>0.75</v>
      </c>
      <c r="S66" s="16"/>
      <c r="T66" s="16"/>
      <c r="U66" s="32" t="e">
        <f t="shared" si="3"/>
        <v>#DIV/0!</v>
      </c>
      <c r="V66" s="16"/>
      <c r="W66" s="16"/>
      <c r="X66" s="16" t="e">
        <f t="shared" si="4"/>
        <v>#DIV/0!</v>
      </c>
      <c r="Y66" s="16">
        <f>COUNTA(J66:W66)/2</f>
        <v>5</v>
      </c>
      <c r="Z66" s="16">
        <f>J66+M66+P66+S66+V66</f>
        <v>16</v>
      </c>
      <c r="AA66" s="16">
        <f t="shared" si="5"/>
        <v>11</v>
      </c>
      <c r="AB66" s="16">
        <f t="shared" si="6"/>
        <v>27</v>
      </c>
      <c r="AC66" s="24">
        <f t="shared" si="7"/>
        <v>0.59259259259259256</v>
      </c>
      <c r="AD66" s="10" t="s">
        <v>241</v>
      </c>
      <c r="AE66" s="10" t="s">
        <v>49</v>
      </c>
      <c r="AF66" s="10" t="s">
        <v>50</v>
      </c>
      <c r="AG66" s="16">
        <v>2</v>
      </c>
    </row>
    <row r="67" spans="1:33">
      <c r="A67" s="14" t="s">
        <v>245</v>
      </c>
      <c r="B67" s="10" t="s">
        <v>43</v>
      </c>
      <c r="C67" s="10" t="s">
        <v>249</v>
      </c>
      <c r="D67" s="10" t="s">
        <v>36</v>
      </c>
      <c r="E67" s="18" t="s">
        <v>37</v>
      </c>
      <c r="F67" s="10" t="s">
        <v>250</v>
      </c>
      <c r="G67" s="11" t="s">
        <v>39</v>
      </c>
      <c r="H67" s="34">
        <v>1</v>
      </c>
      <c r="I67" s="31">
        <v>162</v>
      </c>
      <c r="J67" s="16">
        <v>6</v>
      </c>
      <c r="K67" s="16">
        <v>2</v>
      </c>
      <c r="L67" s="32">
        <f t="shared" ref="L67:L130" si="8">J67/(J67+K67)</f>
        <v>0.75</v>
      </c>
      <c r="M67" s="16">
        <v>6</v>
      </c>
      <c r="N67" s="16">
        <v>1</v>
      </c>
      <c r="O67" s="32">
        <f t="shared" ref="O67:O130" si="9">M67/(M67+N67)</f>
        <v>0.8571428571428571</v>
      </c>
      <c r="P67" s="16">
        <v>2</v>
      </c>
      <c r="Q67" s="16">
        <v>6</v>
      </c>
      <c r="R67" s="32">
        <f t="shared" ref="R67:R130" si="10">P67/(P67+Q67)</f>
        <v>0.25</v>
      </c>
      <c r="S67" s="16">
        <v>7</v>
      </c>
      <c r="T67" s="16">
        <v>5</v>
      </c>
      <c r="U67" s="32">
        <f t="shared" ref="U67:U130" si="11">S67/(S67+T67)</f>
        <v>0.58333333333333337</v>
      </c>
      <c r="V67" s="16"/>
      <c r="W67" s="16"/>
      <c r="X67" s="16" t="e">
        <f t="shared" ref="X67:X130" si="12">V67/(V67+W67)</f>
        <v>#DIV/0!</v>
      </c>
      <c r="Y67" s="16">
        <f>COUNTA(J67:W67)/2</f>
        <v>6</v>
      </c>
      <c r="Z67" s="16">
        <f>J67+M67+P67+S67+V67</f>
        <v>21</v>
      </c>
      <c r="AA67" s="16">
        <f t="shared" ref="AA67:AA130" si="13">K67+N67+Q67+T67+W67</f>
        <v>14</v>
      </c>
      <c r="AB67" s="16">
        <f t="shared" ref="AB67:AB130" si="14">Z67+AA67</f>
        <v>35</v>
      </c>
      <c r="AC67" s="24">
        <f t="shared" ref="AC67:AC130" si="15">Z67/SUM(Z67,AA67)</f>
        <v>0.6</v>
      </c>
      <c r="AD67" s="10" t="s">
        <v>251</v>
      </c>
      <c r="AE67" s="10" t="s">
        <v>203</v>
      </c>
      <c r="AF67" s="10" t="s">
        <v>204</v>
      </c>
      <c r="AG67" s="16">
        <v>2</v>
      </c>
    </row>
    <row r="68" spans="1:33">
      <c r="A68" s="9" t="s">
        <v>252</v>
      </c>
      <c r="B68" s="10" t="s">
        <v>34</v>
      </c>
      <c r="C68" s="11" t="s">
        <v>230</v>
      </c>
      <c r="D68" s="11" t="s">
        <v>246</v>
      </c>
      <c r="E68" s="17" t="s">
        <v>247</v>
      </c>
      <c r="F68" s="11" t="s">
        <v>214</v>
      </c>
      <c r="G68" s="11" t="s">
        <v>39</v>
      </c>
      <c r="H68" s="35">
        <v>1</v>
      </c>
      <c r="I68" s="31">
        <v>118</v>
      </c>
      <c r="J68" s="13">
        <v>6</v>
      </c>
      <c r="K68" s="13">
        <v>2</v>
      </c>
      <c r="L68" s="32">
        <f t="shared" si="8"/>
        <v>0.75</v>
      </c>
      <c r="M68" s="13">
        <v>6</v>
      </c>
      <c r="N68" s="13">
        <v>3</v>
      </c>
      <c r="O68" s="32">
        <f t="shared" si="9"/>
        <v>0.66666666666666663</v>
      </c>
      <c r="P68" s="13"/>
      <c r="Q68" s="13"/>
      <c r="R68" s="32" t="e">
        <f t="shared" si="10"/>
        <v>#DIV/0!</v>
      </c>
      <c r="S68" s="13"/>
      <c r="T68" s="13"/>
      <c r="U68" s="32" t="e">
        <f t="shared" si="11"/>
        <v>#DIV/0!</v>
      </c>
      <c r="V68" s="13"/>
      <c r="W68" s="13"/>
      <c r="X68" s="16" t="e">
        <f t="shared" si="12"/>
        <v>#DIV/0!</v>
      </c>
      <c r="Y68" s="16">
        <f>COUNTA(J68:W68)/2</f>
        <v>4</v>
      </c>
      <c r="Z68" s="16">
        <f>J68+M68+P68+S68+V68</f>
        <v>12</v>
      </c>
      <c r="AA68" s="16">
        <f t="shared" si="13"/>
        <v>5</v>
      </c>
      <c r="AB68" s="16">
        <f t="shared" si="14"/>
        <v>17</v>
      </c>
      <c r="AC68" s="24">
        <f t="shared" si="15"/>
        <v>0.70588235294117652</v>
      </c>
      <c r="AD68" s="11" t="s">
        <v>253</v>
      </c>
      <c r="AE68" s="11" t="s">
        <v>36</v>
      </c>
      <c r="AF68" s="11" t="s">
        <v>37</v>
      </c>
      <c r="AG68" s="13">
        <v>7</v>
      </c>
    </row>
    <row r="69" spans="1:33">
      <c r="A69" s="9" t="s">
        <v>252</v>
      </c>
      <c r="B69" s="10" t="s">
        <v>43</v>
      </c>
      <c r="C69" s="11" t="s">
        <v>249</v>
      </c>
      <c r="D69" s="11" t="s">
        <v>36</v>
      </c>
      <c r="E69" s="11" t="s">
        <v>37</v>
      </c>
      <c r="F69" s="11" t="s">
        <v>254</v>
      </c>
      <c r="G69" s="11" t="s">
        <v>39</v>
      </c>
      <c r="H69" s="35">
        <v>2</v>
      </c>
      <c r="I69" s="31">
        <v>185</v>
      </c>
      <c r="J69" s="13">
        <v>6</v>
      </c>
      <c r="K69" s="13">
        <v>3</v>
      </c>
      <c r="L69" s="32">
        <f t="shared" si="8"/>
        <v>0.66666666666666663</v>
      </c>
      <c r="M69" s="13">
        <v>3</v>
      </c>
      <c r="N69" s="13">
        <v>6</v>
      </c>
      <c r="O69" s="32">
        <f t="shared" si="9"/>
        <v>0.33333333333333331</v>
      </c>
      <c r="P69" s="13">
        <v>6</v>
      </c>
      <c r="Q69" s="13">
        <v>4</v>
      </c>
      <c r="R69" s="32">
        <f t="shared" si="10"/>
        <v>0.6</v>
      </c>
      <c r="S69" s="13">
        <v>6</v>
      </c>
      <c r="T69" s="13">
        <v>2</v>
      </c>
      <c r="U69" s="32">
        <f t="shared" si="11"/>
        <v>0.75</v>
      </c>
      <c r="V69" s="13"/>
      <c r="W69" s="13"/>
      <c r="X69" s="16" t="e">
        <f t="shared" si="12"/>
        <v>#DIV/0!</v>
      </c>
      <c r="Y69" s="16">
        <f>COUNTA(J69:W69)/2</f>
        <v>6</v>
      </c>
      <c r="Z69" s="16">
        <f>J69+M69+P69+S69+V69</f>
        <v>21</v>
      </c>
      <c r="AA69" s="16">
        <f t="shared" si="13"/>
        <v>15</v>
      </c>
      <c r="AB69" s="16">
        <f t="shared" si="14"/>
        <v>36</v>
      </c>
      <c r="AC69" s="24">
        <f t="shared" si="15"/>
        <v>0.58333333333333337</v>
      </c>
      <c r="AD69" s="11" t="s">
        <v>251</v>
      </c>
      <c r="AE69" s="11" t="s">
        <v>203</v>
      </c>
      <c r="AF69" s="11" t="s">
        <v>204</v>
      </c>
      <c r="AG69" s="13">
        <v>1</v>
      </c>
    </row>
    <row r="70" spans="1:33">
      <c r="A70" s="14" t="s">
        <v>255</v>
      </c>
      <c r="B70" s="10" t="s">
        <v>34</v>
      </c>
      <c r="C70" s="10" t="s">
        <v>230</v>
      </c>
      <c r="D70" s="10" t="s">
        <v>246</v>
      </c>
      <c r="E70" s="10" t="s">
        <v>247</v>
      </c>
      <c r="F70" s="10" t="s">
        <v>256</v>
      </c>
      <c r="G70" s="11" t="s">
        <v>39</v>
      </c>
      <c r="H70" s="34">
        <v>2</v>
      </c>
      <c r="I70" s="31">
        <v>123</v>
      </c>
      <c r="J70" s="16">
        <v>5</v>
      </c>
      <c r="K70" s="16">
        <v>7</v>
      </c>
      <c r="L70" s="32">
        <f t="shared" si="8"/>
        <v>0.41666666666666669</v>
      </c>
      <c r="M70" s="16">
        <v>6</v>
      </c>
      <c r="N70" s="16">
        <v>3</v>
      </c>
      <c r="O70" s="32">
        <f t="shared" si="9"/>
        <v>0.66666666666666663</v>
      </c>
      <c r="P70" s="16">
        <v>6</v>
      </c>
      <c r="Q70" s="16">
        <v>1</v>
      </c>
      <c r="R70" s="32">
        <f t="shared" si="10"/>
        <v>0.8571428571428571</v>
      </c>
      <c r="S70" s="16"/>
      <c r="T70" s="16"/>
      <c r="U70" s="32" t="e">
        <f t="shared" si="11"/>
        <v>#DIV/0!</v>
      </c>
      <c r="V70" s="16"/>
      <c r="W70" s="16"/>
      <c r="X70" s="16" t="e">
        <f t="shared" si="12"/>
        <v>#DIV/0!</v>
      </c>
      <c r="Y70" s="16">
        <f>COUNTA(J70:W70)/2</f>
        <v>5</v>
      </c>
      <c r="Z70" s="16">
        <f>J70+M70+P70+S70+V70</f>
        <v>17</v>
      </c>
      <c r="AA70" s="16">
        <f t="shared" si="13"/>
        <v>11</v>
      </c>
      <c r="AB70" s="16">
        <f t="shared" si="14"/>
        <v>28</v>
      </c>
      <c r="AC70" s="24">
        <f t="shared" si="15"/>
        <v>0.6071428571428571</v>
      </c>
      <c r="AD70" s="10" t="s">
        <v>257</v>
      </c>
      <c r="AE70" s="10" t="s">
        <v>258</v>
      </c>
      <c r="AF70" s="10" t="s">
        <v>100</v>
      </c>
      <c r="AG70" s="16">
        <v>10</v>
      </c>
    </row>
    <row r="71" spans="1:33">
      <c r="A71" s="14" t="s">
        <v>255</v>
      </c>
      <c r="B71" s="10" t="s">
        <v>43</v>
      </c>
      <c r="C71" s="10" t="s">
        <v>233</v>
      </c>
      <c r="D71" s="10" t="s">
        <v>49</v>
      </c>
      <c r="E71" s="10" t="s">
        <v>50</v>
      </c>
      <c r="F71" s="10" t="s">
        <v>259</v>
      </c>
      <c r="G71" s="11" t="s">
        <v>39</v>
      </c>
      <c r="H71" s="34">
        <v>2</v>
      </c>
      <c r="I71" s="31">
        <v>189</v>
      </c>
      <c r="J71" s="16">
        <v>1</v>
      </c>
      <c r="K71" s="16">
        <v>6</v>
      </c>
      <c r="L71" s="32">
        <f t="shared" si="8"/>
        <v>0.14285714285714285</v>
      </c>
      <c r="M71" s="16">
        <v>6</v>
      </c>
      <c r="N71" s="16">
        <v>4</v>
      </c>
      <c r="O71" s="32">
        <f t="shared" si="9"/>
        <v>0.6</v>
      </c>
      <c r="P71" s="16">
        <v>6</v>
      </c>
      <c r="Q71" s="16">
        <v>4</v>
      </c>
      <c r="R71" s="32">
        <f t="shared" si="10"/>
        <v>0.6</v>
      </c>
      <c r="S71" s="16">
        <v>6</v>
      </c>
      <c r="T71" s="16">
        <v>4</v>
      </c>
      <c r="U71" s="32">
        <f t="shared" si="11"/>
        <v>0.6</v>
      </c>
      <c r="V71" s="16"/>
      <c r="W71" s="16"/>
      <c r="X71" s="16" t="e">
        <f t="shared" si="12"/>
        <v>#DIV/0!</v>
      </c>
      <c r="Y71" s="16">
        <f>COUNTA(J71:W71)/2</f>
        <v>6</v>
      </c>
      <c r="Z71" s="16">
        <f>J71+M71+P71+S71+V71</f>
        <v>19</v>
      </c>
      <c r="AA71" s="16">
        <f t="shared" si="13"/>
        <v>18</v>
      </c>
      <c r="AB71" s="16">
        <f t="shared" si="14"/>
        <v>37</v>
      </c>
      <c r="AC71" s="24">
        <f t="shared" si="15"/>
        <v>0.51351351351351349</v>
      </c>
      <c r="AD71" s="10" t="s">
        <v>260</v>
      </c>
      <c r="AE71" s="10" t="s">
        <v>258</v>
      </c>
      <c r="AF71" s="10" t="s">
        <v>100</v>
      </c>
      <c r="AG71" s="16">
        <v>3</v>
      </c>
    </row>
    <row r="72" spans="1:33">
      <c r="A72" s="9" t="s">
        <v>261</v>
      </c>
      <c r="B72" s="10" t="s">
        <v>34</v>
      </c>
      <c r="C72" s="11" t="s">
        <v>241</v>
      </c>
      <c r="D72" s="11" t="s">
        <v>49</v>
      </c>
      <c r="E72" s="11" t="s">
        <v>50</v>
      </c>
      <c r="F72" s="11" t="s">
        <v>262</v>
      </c>
      <c r="G72" s="11" t="s">
        <v>39</v>
      </c>
      <c r="H72" s="35">
        <v>1</v>
      </c>
      <c r="I72" s="31">
        <v>117</v>
      </c>
      <c r="J72" s="13">
        <v>6</v>
      </c>
      <c r="K72" s="13">
        <v>3</v>
      </c>
      <c r="L72" s="32">
        <f t="shared" si="8"/>
        <v>0.66666666666666663</v>
      </c>
      <c r="M72" s="13">
        <v>6</v>
      </c>
      <c r="N72" s="13">
        <v>4</v>
      </c>
      <c r="O72" s="32">
        <f t="shared" si="9"/>
        <v>0.6</v>
      </c>
      <c r="P72" s="13"/>
      <c r="Q72" s="13"/>
      <c r="R72" s="32" t="e">
        <f t="shared" si="10"/>
        <v>#DIV/0!</v>
      </c>
      <c r="S72" s="13"/>
      <c r="T72" s="13"/>
      <c r="U72" s="32" t="e">
        <f t="shared" si="11"/>
        <v>#DIV/0!</v>
      </c>
      <c r="V72" s="13"/>
      <c r="W72" s="13"/>
      <c r="X72" s="16" t="e">
        <f t="shared" si="12"/>
        <v>#DIV/0!</v>
      </c>
      <c r="Y72" s="16">
        <f>COUNTA(J72:W72)/2</f>
        <v>4</v>
      </c>
      <c r="Z72" s="16">
        <f>J72+M72+P72+S72+V72</f>
        <v>12</v>
      </c>
      <c r="AA72" s="16">
        <f t="shared" si="13"/>
        <v>7</v>
      </c>
      <c r="AB72" s="16">
        <f t="shared" si="14"/>
        <v>19</v>
      </c>
      <c r="AC72" s="24">
        <f t="shared" si="15"/>
        <v>0.63157894736842102</v>
      </c>
      <c r="AD72" s="11" t="s">
        <v>253</v>
      </c>
      <c r="AE72" s="11" t="s">
        <v>36</v>
      </c>
      <c r="AF72" s="11" t="s">
        <v>37</v>
      </c>
      <c r="AG72" s="13">
        <v>6</v>
      </c>
    </row>
    <row r="73" spans="1:33">
      <c r="A73" s="9" t="s">
        <v>261</v>
      </c>
      <c r="B73" s="10" t="s">
        <v>43</v>
      </c>
      <c r="C73" s="11" t="s">
        <v>260</v>
      </c>
      <c r="D73" s="11" t="s">
        <v>258</v>
      </c>
      <c r="E73" s="11" t="s">
        <v>100</v>
      </c>
      <c r="F73" s="11" t="s">
        <v>263</v>
      </c>
      <c r="G73" s="11" t="s">
        <v>178</v>
      </c>
      <c r="H73" s="35">
        <v>1</v>
      </c>
      <c r="I73" s="31" t="s">
        <v>179</v>
      </c>
      <c r="J73" s="13">
        <v>4</v>
      </c>
      <c r="K73" s="13">
        <v>6</v>
      </c>
      <c r="L73" s="32">
        <f t="shared" si="8"/>
        <v>0.4</v>
      </c>
      <c r="M73" s="13">
        <v>7</v>
      </c>
      <c r="N73" s="13">
        <v>6</v>
      </c>
      <c r="O73" s="32">
        <f t="shared" si="9"/>
        <v>0.53846153846153844</v>
      </c>
      <c r="P73" s="13">
        <v>5</v>
      </c>
      <c r="Q73" s="13">
        <v>2</v>
      </c>
      <c r="R73" s="32">
        <f t="shared" si="10"/>
        <v>0.7142857142857143</v>
      </c>
      <c r="S73" s="13"/>
      <c r="T73" s="13"/>
      <c r="U73" s="32" t="e">
        <f t="shared" si="11"/>
        <v>#DIV/0!</v>
      </c>
      <c r="V73" s="13"/>
      <c r="W73" s="13"/>
      <c r="X73" s="16" t="e">
        <f t="shared" si="12"/>
        <v>#DIV/0!</v>
      </c>
      <c r="Y73" s="16">
        <f>COUNTA(J73:W73)/2</f>
        <v>5</v>
      </c>
      <c r="Z73" s="16">
        <f>J73+M73+P73+S73+V73</f>
        <v>16</v>
      </c>
      <c r="AA73" s="16">
        <f t="shared" si="13"/>
        <v>14</v>
      </c>
      <c r="AB73" s="16">
        <f t="shared" si="14"/>
        <v>30</v>
      </c>
      <c r="AC73" s="24">
        <f t="shared" si="15"/>
        <v>0.53333333333333333</v>
      </c>
      <c r="AD73" s="11" t="s">
        <v>251</v>
      </c>
      <c r="AE73" s="11" t="s">
        <v>203</v>
      </c>
      <c r="AF73" s="11" t="s">
        <v>204</v>
      </c>
      <c r="AG73" s="13">
        <v>3</v>
      </c>
    </row>
    <row r="74" spans="1:33">
      <c r="A74" s="14" t="s">
        <v>264</v>
      </c>
      <c r="B74" s="10" t="s">
        <v>34</v>
      </c>
      <c r="C74" s="10" t="s">
        <v>241</v>
      </c>
      <c r="D74" s="10" t="s">
        <v>49</v>
      </c>
      <c r="E74" s="10" t="s">
        <v>50</v>
      </c>
      <c r="F74" s="10" t="s">
        <v>119</v>
      </c>
      <c r="G74" s="10" t="s">
        <v>39</v>
      </c>
      <c r="H74" s="34">
        <v>1</v>
      </c>
      <c r="I74" s="31">
        <v>76</v>
      </c>
      <c r="J74" s="16">
        <v>6</v>
      </c>
      <c r="K74" s="16">
        <v>4</v>
      </c>
      <c r="L74" s="32">
        <f t="shared" si="8"/>
        <v>0.6</v>
      </c>
      <c r="M74" s="16">
        <v>6</v>
      </c>
      <c r="N74" s="16">
        <v>4</v>
      </c>
      <c r="O74" s="32">
        <f t="shared" si="9"/>
        <v>0.6</v>
      </c>
      <c r="P74" s="16"/>
      <c r="Q74" s="16"/>
      <c r="R74" s="32" t="e">
        <f t="shared" si="10"/>
        <v>#DIV/0!</v>
      </c>
      <c r="S74" s="16"/>
      <c r="T74" s="16"/>
      <c r="U74" s="32" t="e">
        <f t="shared" si="11"/>
        <v>#DIV/0!</v>
      </c>
      <c r="V74" s="16"/>
      <c r="W74" s="16"/>
      <c r="X74" s="16" t="e">
        <f t="shared" si="12"/>
        <v>#DIV/0!</v>
      </c>
      <c r="Y74" s="16">
        <f>COUNTA(J74:W74)/2</f>
        <v>4</v>
      </c>
      <c r="Z74" s="16">
        <f>J74+M74+P74+S74+V74</f>
        <v>12</v>
      </c>
      <c r="AA74" s="16">
        <f t="shared" si="13"/>
        <v>8</v>
      </c>
      <c r="AB74" s="16">
        <f t="shared" si="14"/>
        <v>20</v>
      </c>
      <c r="AC74" s="24">
        <f t="shared" si="15"/>
        <v>0.6</v>
      </c>
      <c r="AD74" s="10" t="s">
        <v>265</v>
      </c>
      <c r="AE74" s="10" t="s">
        <v>258</v>
      </c>
      <c r="AF74" s="10" t="s">
        <v>100</v>
      </c>
      <c r="AG74" s="16">
        <v>5</v>
      </c>
    </row>
    <row r="75" spans="1:33">
      <c r="A75" s="14" t="s">
        <v>264</v>
      </c>
      <c r="B75" s="10" t="s">
        <v>43</v>
      </c>
      <c r="C75" s="10" t="s">
        <v>260</v>
      </c>
      <c r="D75" s="10" t="s">
        <v>258</v>
      </c>
      <c r="E75" s="18" t="s">
        <v>100</v>
      </c>
      <c r="F75" s="10" t="s">
        <v>221</v>
      </c>
      <c r="G75" s="10" t="s">
        <v>39</v>
      </c>
      <c r="H75" s="34">
        <v>2</v>
      </c>
      <c r="I75" s="31">
        <v>165</v>
      </c>
      <c r="J75" s="16">
        <v>6</v>
      </c>
      <c r="K75" s="16">
        <v>2</v>
      </c>
      <c r="L75" s="32">
        <f t="shared" si="8"/>
        <v>0.75</v>
      </c>
      <c r="M75" s="16">
        <v>6</v>
      </c>
      <c r="N75" s="16">
        <v>2</v>
      </c>
      <c r="O75" s="32">
        <f t="shared" si="9"/>
        <v>0.75</v>
      </c>
      <c r="P75" s="16">
        <v>6</v>
      </c>
      <c r="Q75" s="16">
        <v>2</v>
      </c>
      <c r="R75" s="32">
        <f t="shared" si="10"/>
        <v>0.75</v>
      </c>
      <c r="S75" s="16"/>
      <c r="T75" s="16"/>
      <c r="U75" s="32" t="e">
        <f t="shared" si="11"/>
        <v>#DIV/0!</v>
      </c>
      <c r="V75" s="16"/>
      <c r="W75" s="16"/>
      <c r="X75" s="16" t="e">
        <f t="shared" si="12"/>
        <v>#DIV/0!</v>
      </c>
      <c r="Y75" s="16">
        <f>COUNTA(J75:W75)/2</f>
        <v>5</v>
      </c>
      <c r="Z75" s="16">
        <f>J75+M75+P75+S75+V75</f>
        <v>18</v>
      </c>
      <c r="AA75" s="16">
        <f t="shared" si="13"/>
        <v>6</v>
      </c>
      <c r="AB75" s="16">
        <f t="shared" si="14"/>
        <v>24</v>
      </c>
      <c r="AC75" s="24">
        <f t="shared" si="15"/>
        <v>0.75</v>
      </c>
      <c r="AD75" s="10" t="s">
        <v>266</v>
      </c>
      <c r="AE75" s="10" t="s">
        <v>258</v>
      </c>
      <c r="AF75" s="10" t="s">
        <v>100</v>
      </c>
      <c r="AG75" s="16">
        <v>9</v>
      </c>
    </row>
    <row r="76" spans="1:33">
      <c r="A76" s="9" t="s">
        <v>267</v>
      </c>
      <c r="B76" s="10" t="s">
        <v>34</v>
      </c>
      <c r="C76" s="11" t="s">
        <v>241</v>
      </c>
      <c r="D76" s="11" t="s">
        <v>49</v>
      </c>
      <c r="E76" s="11" t="s">
        <v>50</v>
      </c>
      <c r="F76" s="11" t="s">
        <v>268</v>
      </c>
      <c r="G76" s="10" t="s">
        <v>39</v>
      </c>
      <c r="H76" s="35">
        <v>1</v>
      </c>
      <c r="I76" s="31">
        <v>143</v>
      </c>
      <c r="J76" s="13">
        <v>6</v>
      </c>
      <c r="K76" s="13">
        <v>1</v>
      </c>
      <c r="L76" s="32">
        <f t="shared" si="8"/>
        <v>0.8571428571428571</v>
      </c>
      <c r="M76" s="13">
        <v>7</v>
      </c>
      <c r="N76" s="13">
        <v>6</v>
      </c>
      <c r="O76" s="32">
        <f t="shared" si="9"/>
        <v>0.53846153846153844</v>
      </c>
      <c r="P76" s="13"/>
      <c r="Q76" s="13"/>
      <c r="R76" s="32" t="e">
        <f t="shared" si="10"/>
        <v>#DIV/0!</v>
      </c>
      <c r="S76" s="13"/>
      <c r="T76" s="13"/>
      <c r="U76" s="32" t="e">
        <f t="shared" si="11"/>
        <v>#DIV/0!</v>
      </c>
      <c r="V76" s="13"/>
      <c r="W76" s="13"/>
      <c r="X76" s="16" t="e">
        <f t="shared" si="12"/>
        <v>#DIV/0!</v>
      </c>
      <c r="Y76" s="16">
        <f>COUNTA(J76:W76)/2</f>
        <v>4</v>
      </c>
      <c r="Z76" s="16">
        <f>J76+M76+P76+S76+V76</f>
        <v>13</v>
      </c>
      <c r="AA76" s="16">
        <f t="shared" si="13"/>
        <v>7</v>
      </c>
      <c r="AB76" s="16">
        <f t="shared" si="14"/>
        <v>20</v>
      </c>
      <c r="AC76" s="24">
        <f t="shared" si="15"/>
        <v>0.65</v>
      </c>
      <c r="AD76" s="11" t="s">
        <v>269</v>
      </c>
      <c r="AE76" s="11" t="s">
        <v>36</v>
      </c>
      <c r="AF76" s="11" t="s">
        <v>37</v>
      </c>
      <c r="AG76" s="13">
        <v>3</v>
      </c>
    </row>
    <row r="77" spans="1:33">
      <c r="A77" s="9" t="s">
        <v>267</v>
      </c>
      <c r="B77" s="10" t="s">
        <v>43</v>
      </c>
      <c r="C77" s="11" t="s">
        <v>270</v>
      </c>
      <c r="D77" s="11" t="s">
        <v>203</v>
      </c>
      <c r="E77" s="11" t="s">
        <v>204</v>
      </c>
      <c r="F77" s="11" t="s">
        <v>271</v>
      </c>
      <c r="G77" s="10" t="s">
        <v>39</v>
      </c>
      <c r="H77" s="35">
        <v>3</v>
      </c>
      <c r="I77" s="31">
        <v>183</v>
      </c>
      <c r="J77" s="13">
        <v>6</v>
      </c>
      <c r="K77" s="13">
        <v>3</v>
      </c>
      <c r="L77" s="32">
        <f t="shared" si="8"/>
        <v>0.66666666666666663</v>
      </c>
      <c r="M77" s="13">
        <v>6</v>
      </c>
      <c r="N77" s="13">
        <v>7</v>
      </c>
      <c r="O77" s="32">
        <f t="shared" si="9"/>
        <v>0.46153846153846156</v>
      </c>
      <c r="P77" s="13">
        <v>3</v>
      </c>
      <c r="Q77" s="13">
        <v>6</v>
      </c>
      <c r="R77" s="32">
        <f t="shared" si="10"/>
        <v>0.33333333333333331</v>
      </c>
      <c r="S77" s="13">
        <v>6</v>
      </c>
      <c r="T77" s="13">
        <v>1</v>
      </c>
      <c r="U77" s="32">
        <f t="shared" si="11"/>
        <v>0.8571428571428571</v>
      </c>
      <c r="V77" s="13">
        <v>8</v>
      </c>
      <c r="W77" s="13">
        <v>6</v>
      </c>
      <c r="X77" s="16">
        <f t="shared" si="12"/>
        <v>0.5714285714285714</v>
      </c>
      <c r="Y77" s="16">
        <f>COUNTA(J77:W77)/2</f>
        <v>7</v>
      </c>
      <c r="Z77" s="16">
        <f>J77+M77+P77+S77+V77</f>
        <v>29</v>
      </c>
      <c r="AA77" s="16">
        <f t="shared" si="13"/>
        <v>23</v>
      </c>
      <c r="AB77" s="16">
        <f t="shared" si="14"/>
        <v>52</v>
      </c>
      <c r="AC77" s="24">
        <f t="shared" si="15"/>
        <v>0.55769230769230771</v>
      </c>
      <c r="AD77" s="11" t="s">
        <v>272</v>
      </c>
      <c r="AE77" s="11" t="s">
        <v>72</v>
      </c>
      <c r="AF77" s="11" t="s">
        <v>73</v>
      </c>
      <c r="AG77" s="13">
        <v>4</v>
      </c>
    </row>
    <row r="78" spans="1:33">
      <c r="A78" s="14" t="s">
        <v>273</v>
      </c>
      <c r="B78" s="10" t="s">
        <v>34</v>
      </c>
      <c r="C78" s="10" t="s">
        <v>274</v>
      </c>
      <c r="D78" s="10" t="s">
        <v>258</v>
      </c>
      <c r="E78" s="18" t="s">
        <v>100</v>
      </c>
      <c r="F78" s="10" t="s">
        <v>275</v>
      </c>
      <c r="G78" s="10" t="s">
        <v>39</v>
      </c>
      <c r="H78" s="34">
        <v>2</v>
      </c>
      <c r="I78" s="31">
        <v>95</v>
      </c>
      <c r="J78" s="16">
        <v>7</v>
      </c>
      <c r="K78" s="16">
        <v>5</v>
      </c>
      <c r="L78" s="32">
        <f t="shared" si="8"/>
        <v>0.58333333333333337</v>
      </c>
      <c r="M78" s="16">
        <v>7</v>
      </c>
      <c r="N78" s="16">
        <v>6</v>
      </c>
      <c r="O78" s="32">
        <f t="shared" si="9"/>
        <v>0.53846153846153844</v>
      </c>
      <c r="P78" s="16"/>
      <c r="Q78" s="16"/>
      <c r="R78" s="32" t="e">
        <f t="shared" si="10"/>
        <v>#DIV/0!</v>
      </c>
      <c r="S78" s="16"/>
      <c r="T78" s="16"/>
      <c r="U78" s="32" t="e">
        <f t="shared" si="11"/>
        <v>#DIV/0!</v>
      </c>
      <c r="V78" s="16"/>
      <c r="W78" s="16"/>
      <c r="X78" s="16" t="e">
        <f t="shared" si="12"/>
        <v>#DIV/0!</v>
      </c>
      <c r="Y78" s="16">
        <f>COUNTA(J78:W78)/2</f>
        <v>4</v>
      </c>
      <c r="Z78" s="16">
        <f>J78+M78+P78+S78+V78</f>
        <v>14</v>
      </c>
      <c r="AA78" s="16">
        <f t="shared" si="13"/>
        <v>11</v>
      </c>
      <c r="AB78" s="16">
        <f t="shared" si="14"/>
        <v>25</v>
      </c>
      <c r="AC78" s="24">
        <f t="shared" si="15"/>
        <v>0.56000000000000005</v>
      </c>
      <c r="AD78" s="10" t="s">
        <v>276</v>
      </c>
      <c r="AE78" s="10" t="s">
        <v>36</v>
      </c>
      <c r="AF78" s="10" t="s">
        <v>37</v>
      </c>
      <c r="AG78" s="16">
        <v>1</v>
      </c>
    </row>
    <row r="79" spans="1:33">
      <c r="A79" s="14" t="s">
        <v>273</v>
      </c>
      <c r="B79" s="10" t="s">
        <v>43</v>
      </c>
      <c r="C79" s="10" t="s">
        <v>251</v>
      </c>
      <c r="D79" s="10" t="s">
        <v>203</v>
      </c>
      <c r="E79" s="18" t="s">
        <v>204</v>
      </c>
      <c r="F79" s="10" t="s">
        <v>277</v>
      </c>
      <c r="G79" s="10" t="s">
        <v>39</v>
      </c>
      <c r="H79" s="34">
        <v>4</v>
      </c>
      <c r="I79" s="31">
        <v>173</v>
      </c>
      <c r="J79" s="16">
        <v>6</v>
      </c>
      <c r="K79" s="16">
        <v>3</v>
      </c>
      <c r="L79" s="32">
        <f t="shared" si="8"/>
        <v>0.66666666666666663</v>
      </c>
      <c r="M79" s="16">
        <v>6</v>
      </c>
      <c r="N79" s="16">
        <v>4</v>
      </c>
      <c r="O79" s="32">
        <f t="shared" si="9"/>
        <v>0.6</v>
      </c>
      <c r="P79" s="16">
        <v>3</v>
      </c>
      <c r="Q79" s="16">
        <v>6</v>
      </c>
      <c r="R79" s="32">
        <f t="shared" si="10"/>
        <v>0.33333333333333331</v>
      </c>
      <c r="S79" s="16">
        <v>5</v>
      </c>
      <c r="T79" s="16">
        <v>7</v>
      </c>
      <c r="U79" s="32">
        <f t="shared" si="11"/>
        <v>0.41666666666666669</v>
      </c>
      <c r="V79" s="16">
        <v>6</v>
      </c>
      <c r="W79" s="16">
        <v>3</v>
      </c>
      <c r="X79" s="16">
        <f t="shared" si="12"/>
        <v>0.66666666666666663</v>
      </c>
      <c r="Y79" s="16">
        <f>COUNTA(J79:W79)/2</f>
        <v>7</v>
      </c>
      <c r="Z79" s="16">
        <f>J79+M79+P79+S79+V79</f>
        <v>26</v>
      </c>
      <c r="AA79" s="16">
        <f t="shared" si="13"/>
        <v>23</v>
      </c>
      <c r="AB79" s="16">
        <f t="shared" si="14"/>
        <v>49</v>
      </c>
      <c r="AC79" s="24">
        <f t="shared" si="15"/>
        <v>0.53061224489795922</v>
      </c>
      <c r="AD79" s="10" t="s">
        <v>272</v>
      </c>
      <c r="AE79" s="10" t="s">
        <v>72</v>
      </c>
      <c r="AF79" s="10" t="s">
        <v>73</v>
      </c>
      <c r="AG79" s="16">
        <v>11</v>
      </c>
    </row>
    <row r="80" spans="1:33">
      <c r="A80" s="14" t="s">
        <v>278</v>
      </c>
      <c r="B80" s="10" t="s">
        <v>34</v>
      </c>
      <c r="C80" s="10" t="s">
        <v>276</v>
      </c>
      <c r="D80" s="10" t="s">
        <v>36</v>
      </c>
      <c r="E80" s="18" t="s">
        <v>37</v>
      </c>
      <c r="F80" s="10" t="s">
        <v>279</v>
      </c>
      <c r="G80" s="10" t="s">
        <v>39</v>
      </c>
      <c r="H80" s="34">
        <v>2</v>
      </c>
      <c r="I80" s="31">
        <v>108</v>
      </c>
      <c r="J80" s="13">
        <v>6</v>
      </c>
      <c r="K80" s="13">
        <v>2</v>
      </c>
      <c r="L80" s="32">
        <f t="shared" si="8"/>
        <v>0.75</v>
      </c>
      <c r="M80" s="13">
        <v>4</v>
      </c>
      <c r="N80" s="13">
        <v>6</v>
      </c>
      <c r="O80" s="32">
        <f t="shared" si="9"/>
        <v>0.4</v>
      </c>
      <c r="P80" s="13">
        <v>6</v>
      </c>
      <c r="Q80" s="13">
        <v>2</v>
      </c>
      <c r="R80" s="32">
        <f t="shared" si="10"/>
        <v>0.75</v>
      </c>
      <c r="S80" s="13"/>
      <c r="T80" s="13"/>
      <c r="U80" s="32" t="e">
        <f t="shared" si="11"/>
        <v>#DIV/0!</v>
      </c>
      <c r="V80" s="13"/>
      <c r="W80" s="13"/>
      <c r="X80" s="16" t="e">
        <f t="shared" si="12"/>
        <v>#DIV/0!</v>
      </c>
      <c r="Y80" s="16">
        <f>COUNTA(J80:W80)/2</f>
        <v>5</v>
      </c>
      <c r="Z80" s="16">
        <f>J80+M80+P80+S80+V80</f>
        <v>16</v>
      </c>
      <c r="AA80" s="16">
        <f t="shared" si="13"/>
        <v>10</v>
      </c>
      <c r="AB80" s="16">
        <f t="shared" si="14"/>
        <v>26</v>
      </c>
      <c r="AC80" s="24">
        <f t="shared" si="15"/>
        <v>0.61538461538461542</v>
      </c>
      <c r="AD80" s="10" t="s">
        <v>269</v>
      </c>
      <c r="AE80" s="10" t="s">
        <v>36</v>
      </c>
      <c r="AF80" s="10" t="s">
        <v>37</v>
      </c>
      <c r="AG80" s="16">
        <v>1</v>
      </c>
    </row>
    <row r="81" spans="1:33">
      <c r="A81" s="9" t="s">
        <v>278</v>
      </c>
      <c r="B81" s="10" t="s">
        <v>43</v>
      </c>
      <c r="C81" s="11" t="s">
        <v>251</v>
      </c>
      <c r="D81" s="11" t="s">
        <v>203</v>
      </c>
      <c r="E81" s="11" t="s">
        <v>204</v>
      </c>
      <c r="F81" s="11" t="s">
        <v>280</v>
      </c>
      <c r="G81" s="10" t="s">
        <v>39</v>
      </c>
      <c r="H81" s="35">
        <v>5</v>
      </c>
      <c r="I81" s="31">
        <v>109</v>
      </c>
      <c r="J81" s="13">
        <v>6</v>
      </c>
      <c r="K81" s="13">
        <v>4</v>
      </c>
      <c r="L81" s="32">
        <f t="shared" si="8"/>
        <v>0.6</v>
      </c>
      <c r="M81" s="13">
        <v>6</v>
      </c>
      <c r="N81" s="13">
        <v>3</v>
      </c>
      <c r="O81" s="32">
        <f t="shared" si="9"/>
        <v>0.66666666666666663</v>
      </c>
      <c r="P81" s="13">
        <v>6</v>
      </c>
      <c r="Q81" s="13">
        <v>3</v>
      </c>
      <c r="R81" s="32">
        <f t="shared" si="10"/>
        <v>0.66666666666666663</v>
      </c>
      <c r="S81" s="13"/>
      <c r="T81" s="13"/>
      <c r="U81" s="32" t="e">
        <f t="shared" si="11"/>
        <v>#DIV/0!</v>
      </c>
      <c r="V81" s="13"/>
      <c r="W81" s="13"/>
      <c r="X81" s="16" t="e">
        <f t="shared" si="12"/>
        <v>#DIV/0!</v>
      </c>
      <c r="Y81" s="16">
        <f>COUNTA(J81:W81)/2</f>
        <v>5</v>
      </c>
      <c r="Z81" s="16">
        <f>J81+M81+P81+S81+V81</f>
        <v>18</v>
      </c>
      <c r="AA81" s="16">
        <f t="shared" si="13"/>
        <v>10</v>
      </c>
      <c r="AB81" s="16">
        <f t="shared" si="14"/>
        <v>28</v>
      </c>
      <c r="AC81" s="24">
        <f t="shared" si="15"/>
        <v>0.6428571428571429</v>
      </c>
      <c r="AD81" s="11" t="s">
        <v>270</v>
      </c>
      <c r="AE81" s="11" t="s">
        <v>203</v>
      </c>
      <c r="AF81" s="11" t="s">
        <v>204</v>
      </c>
      <c r="AG81" s="13">
        <v>3</v>
      </c>
    </row>
    <row r="82" spans="1:33">
      <c r="A82" s="9" t="s">
        <v>281</v>
      </c>
      <c r="B82" s="10" t="s">
        <v>34</v>
      </c>
      <c r="C82" s="11" t="s">
        <v>269</v>
      </c>
      <c r="D82" s="11" t="s">
        <v>36</v>
      </c>
      <c r="E82" s="11" t="s">
        <v>37</v>
      </c>
      <c r="F82" s="11" t="s">
        <v>282</v>
      </c>
      <c r="G82" s="10" t="s">
        <v>39</v>
      </c>
      <c r="H82" s="35">
        <v>2</v>
      </c>
      <c r="I82" s="31">
        <v>94</v>
      </c>
      <c r="J82" s="16">
        <v>6</v>
      </c>
      <c r="K82" s="16">
        <v>7</v>
      </c>
      <c r="L82" s="32">
        <f t="shared" si="8"/>
        <v>0.46153846153846156</v>
      </c>
      <c r="M82" s="16">
        <v>6</v>
      </c>
      <c r="N82" s="16">
        <v>1</v>
      </c>
      <c r="O82" s="32">
        <f t="shared" si="9"/>
        <v>0.8571428571428571</v>
      </c>
      <c r="P82" s="16">
        <v>6</v>
      </c>
      <c r="Q82" s="16">
        <v>3</v>
      </c>
      <c r="R82" s="32">
        <f t="shared" si="10"/>
        <v>0.66666666666666663</v>
      </c>
      <c r="S82" s="16"/>
      <c r="T82" s="16"/>
      <c r="U82" s="32" t="e">
        <f t="shared" si="11"/>
        <v>#DIV/0!</v>
      </c>
      <c r="V82" s="16"/>
      <c r="W82" s="16"/>
      <c r="X82" s="16" t="e">
        <f t="shared" si="12"/>
        <v>#DIV/0!</v>
      </c>
      <c r="Y82" s="16">
        <f>COUNTA(J82:W82)/2</f>
        <v>5</v>
      </c>
      <c r="Z82" s="16">
        <f>J82+M82+P82+S82+V82</f>
        <v>18</v>
      </c>
      <c r="AA82" s="16">
        <f t="shared" si="13"/>
        <v>11</v>
      </c>
      <c r="AB82" s="16">
        <f t="shared" si="14"/>
        <v>29</v>
      </c>
      <c r="AC82" s="24">
        <f t="shared" si="15"/>
        <v>0.62068965517241381</v>
      </c>
      <c r="AD82" s="11" t="s">
        <v>265</v>
      </c>
      <c r="AE82" s="11" t="s">
        <v>258</v>
      </c>
      <c r="AF82" s="11" t="s">
        <v>100</v>
      </c>
      <c r="AG82" s="13">
        <v>9</v>
      </c>
    </row>
    <row r="83" spans="1:33">
      <c r="A83" s="14" t="s">
        <v>281</v>
      </c>
      <c r="B83" s="10" t="s">
        <v>43</v>
      </c>
      <c r="C83" s="10" t="s">
        <v>270</v>
      </c>
      <c r="D83" s="10" t="s">
        <v>203</v>
      </c>
      <c r="E83" s="18" t="s">
        <v>204</v>
      </c>
      <c r="F83" s="10" t="s">
        <v>283</v>
      </c>
      <c r="G83" s="10" t="s">
        <v>39</v>
      </c>
      <c r="H83" s="34">
        <v>2</v>
      </c>
      <c r="I83" s="31">
        <v>131</v>
      </c>
      <c r="J83" s="16">
        <v>6</v>
      </c>
      <c r="K83" s="16">
        <v>7</v>
      </c>
      <c r="L83" s="32">
        <f t="shared" si="8"/>
        <v>0.46153846153846156</v>
      </c>
      <c r="M83" s="16">
        <v>6</v>
      </c>
      <c r="N83" s="16">
        <v>4</v>
      </c>
      <c r="O83" s="32">
        <f t="shared" si="9"/>
        <v>0.6</v>
      </c>
      <c r="P83" s="16">
        <v>7</v>
      </c>
      <c r="Q83" s="16">
        <v>6</v>
      </c>
      <c r="R83" s="32">
        <f t="shared" si="10"/>
        <v>0.53846153846153844</v>
      </c>
      <c r="S83" s="16">
        <v>6</v>
      </c>
      <c r="T83" s="16">
        <v>2</v>
      </c>
      <c r="U83" s="32">
        <f t="shared" si="11"/>
        <v>0.75</v>
      </c>
      <c r="V83" s="16"/>
      <c r="W83" s="16"/>
      <c r="X83" s="16" t="e">
        <f t="shared" si="12"/>
        <v>#DIV/0!</v>
      </c>
      <c r="Y83" s="16">
        <f>COUNTA(J83:W83)/2</f>
        <v>6</v>
      </c>
      <c r="Z83" s="16">
        <f>J83+M83+P83+S83+V83</f>
        <v>25</v>
      </c>
      <c r="AA83" s="16">
        <f t="shared" si="13"/>
        <v>19</v>
      </c>
      <c r="AB83" s="16">
        <f t="shared" si="14"/>
        <v>44</v>
      </c>
      <c r="AC83" s="24">
        <f t="shared" si="15"/>
        <v>0.56818181818181823</v>
      </c>
      <c r="AD83" s="10" t="s">
        <v>284</v>
      </c>
      <c r="AE83" s="10" t="s">
        <v>285</v>
      </c>
      <c r="AF83" s="10" t="s">
        <v>286</v>
      </c>
      <c r="AG83" s="16">
        <v>9</v>
      </c>
    </row>
    <row r="84" spans="1:33">
      <c r="A84" s="14" t="s">
        <v>287</v>
      </c>
      <c r="B84" s="10" t="s">
        <v>34</v>
      </c>
      <c r="C84" s="10" t="s">
        <v>276</v>
      </c>
      <c r="D84" s="10" t="s">
        <v>36</v>
      </c>
      <c r="E84" s="18" t="s">
        <v>37</v>
      </c>
      <c r="F84" s="10" t="s">
        <v>288</v>
      </c>
      <c r="G84" s="10" t="s">
        <v>39</v>
      </c>
      <c r="H84" s="34">
        <v>1</v>
      </c>
      <c r="I84" s="31">
        <v>106</v>
      </c>
      <c r="J84" s="13">
        <v>6</v>
      </c>
      <c r="K84" s="13">
        <v>2</v>
      </c>
      <c r="L84" s="32">
        <f t="shared" si="8"/>
        <v>0.75</v>
      </c>
      <c r="M84" s="13">
        <v>7</v>
      </c>
      <c r="N84" s="13">
        <v>6</v>
      </c>
      <c r="O84" s="32">
        <f t="shared" si="9"/>
        <v>0.53846153846153844</v>
      </c>
      <c r="P84" s="13"/>
      <c r="Q84" s="13"/>
      <c r="R84" s="32" t="e">
        <f t="shared" si="10"/>
        <v>#DIV/0!</v>
      </c>
      <c r="S84" s="13"/>
      <c r="T84" s="13"/>
      <c r="U84" s="32" t="e">
        <f t="shared" si="11"/>
        <v>#DIV/0!</v>
      </c>
      <c r="V84" s="13"/>
      <c r="W84" s="13"/>
      <c r="X84" s="16" t="e">
        <f t="shared" si="12"/>
        <v>#DIV/0!</v>
      </c>
      <c r="Y84" s="16">
        <f>COUNTA(J84:W84)/2</f>
        <v>4</v>
      </c>
      <c r="Z84" s="16">
        <f>J84+M84+P84+S84+V84</f>
        <v>13</v>
      </c>
      <c r="AA84" s="16">
        <f t="shared" si="13"/>
        <v>8</v>
      </c>
      <c r="AB84" s="16">
        <f t="shared" si="14"/>
        <v>21</v>
      </c>
      <c r="AC84" s="24">
        <f t="shared" si="15"/>
        <v>0.61904761904761907</v>
      </c>
      <c r="AD84" s="10" t="s">
        <v>289</v>
      </c>
      <c r="AE84" s="10" t="s">
        <v>36</v>
      </c>
      <c r="AF84" s="10" t="s">
        <v>37</v>
      </c>
      <c r="AG84" s="16">
        <v>9</v>
      </c>
    </row>
    <row r="85" spans="1:33">
      <c r="A85" s="9" t="s">
        <v>287</v>
      </c>
      <c r="B85" s="10" t="s">
        <v>43</v>
      </c>
      <c r="C85" s="11" t="s">
        <v>270</v>
      </c>
      <c r="D85" s="11" t="s">
        <v>203</v>
      </c>
      <c r="E85" s="11" t="s">
        <v>204</v>
      </c>
      <c r="F85" s="11" t="s">
        <v>290</v>
      </c>
      <c r="G85" s="10" t="s">
        <v>39</v>
      </c>
      <c r="H85" s="35">
        <v>3</v>
      </c>
      <c r="I85" s="31">
        <v>104</v>
      </c>
      <c r="J85" s="13">
        <v>6</v>
      </c>
      <c r="K85" s="13">
        <v>1</v>
      </c>
      <c r="L85" s="32">
        <f t="shared" si="8"/>
        <v>0.8571428571428571</v>
      </c>
      <c r="M85" s="13">
        <v>6</v>
      </c>
      <c r="N85" s="13">
        <v>4</v>
      </c>
      <c r="O85" s="32">
        <f t="shared" si="9"/>
        <v>0.6</v>
      </c>
      <c r="P85" s="13">
        <v>6</v>
      </c>
      <c r="Q85" s="13">
        <v>4</v>
      </c>
      <c r="R85" s="32">
        <f t="shared" si="10"/>
        <v>0.6</v>
      </c>
      <c r="S85" s="13"/>
      <c r="T85" s="13"/>
      <c r="U85" s="32" t="e">
        <f t="shared" si="11"/>
        <v>#DIV/0!</v>
      </c>
      <c r="V85" s="13"/>
      <c r="W85" s="13"/>
      <c r="X85" s="16" t="e">
        <f t="shared" si="12"/>
        <v>#DIV/0!</v>
      </c>
      <c r="Y85" s="16">
        <f>COUNTA(J85:W85)/2</f>
        <v>5</v>
      </c>
      <c r="Z85" s="16">
        <f>J85+M85+P85+S85+V85</f>
        <v>18</v>
      </c>
      <c r="AA85" s="16">
        <f t="shared" si="13"/>
        <v>9</v>
      </c>
      <c r="AB85" s="16">
        <f t="shared" si="14"/>
        <v>27</v>
      </c>
      <c r="AC85" s="24">
        <f t="shared" si="15"/>
        <v>0.66666666666666663</v>
      </c>
      <c r="AD85" s="11" t="s">
        <v>260</v>
      </c>
      <c r="AE85" s="11" t="s">
        <v>258</v>
      </c>
      <c r="AF85" s="11" t="s">
        <v>100</v>
      </c>
      <c r="AG85" s="13">
        <v>1</v>
      </c>
    </row>
    <row r="86" spans="1:33">
      <c r="A86" s="9" t="s">
        <v>291</v>
      </c>
      <c r="B86" s="10" t="s">
        <v>34</v>
      </c>
      <c r="C86" s="11" t="s">
        <v>269</v>
      </c>
      <c r="D86" s="11" t="s">
        <v>36</v>
      </c>
      <c r="E86" s="11" t="s">
        <v>37</v>
      </c>
      <c r="F86" s="11" t="s">
        <v>292</v>
      </c>
      <c r="G86" s="10" t="s">
        <v>39</v>
      </c>
      <c r="H86" s="35">
        <v>2</v>
      </c>
      <c r="I86" s="31">
        <v>107</v>
      </c>
      <c r="J86" s="16">
        <v>6</v>
      </c>
      <c r="K86" s="16">
        <v>3</v>
      </c>
      <c r="L86" s="32">
        <f t="shared" si="8"/>
        <v>0.66666666666666663</v>
      </c>
      <c r="M86" s="16">
        <v>2</v>
      </c>
      <c r="N86" s="16">
        <v>6</v>
      </c>
      <c r="O86" s="32">
        <f t="shared" si="9"/>
        <v>0.25</v>
      </c>
      <c r="P86" s="16">
        <v>6</v>
      </c>
      <c r="Q86" s="16">
        <v>3</v>
      </c>
      <c r="R86" s="32">
        <f t="shared" si="10"/>
        <v>0.66666666666666663</v>
      </c>
      <c r="S86" s="16"/>
      <c r="T86" s="16"/>
      <c r="U86" s="32" t="e">
        <f t="shared" si="11"/>
        <v>#DIV/0!</v>
      </c>
      <c r="V86" s="16"/>
      <c r="W86" s="16"/>
      <c r="X86" s="16" t="e">
        <f t="shared" si="12"/>
        <v>#DIV/0!</v>
      </c>
      <c r="Y86" s="16">
        <f>COUNTA(J86:W86)/2</f>
        <v>5</v>
      </c>
      <c r="Z86" s="16">
        <f>J86+M86+P86+S86+V86</f>
        <v>14</v>
      </c>
      <c r="AA86" s="16">
        <f t="shared" si="13"/>
        <v>12</v>
      </c>
      <c r="AB86" s="16">
        <f t="shared" si="14"/>
        <v>26</v>
      </c>
      <c r="AC86" s="24">
        <f t="shared" si="15"/>
        <v>0.53846153846153844</v>
      </c>
      <c r="AD86" s="11" t="s">
        <v>276</v>
      </c>
      <c r="AE86" s="11" t="s">
        <v>36</v>
      </c>
      <c r="AF86" s="11" t="s">
        <v>37</v>
      </c>
      <c r="AG86" s="13">
        <v>1</v>
      </c>
    </row>
    <row r="87" spans="1:33">
      <c r="A87" s="14" t="s">
        <v>291</v>
      </c>
      <c r="B87" s="10" t="s">
        <v>43</v>
      </c>
      <c r="C87" s="10" t="s">
        <v>293</v>
      </c>
      <c r="D87" s="10" t="s">
        <v>36</v>
      </c>
      <c r="E87" s="18" t="s">
        <v>37</v>
      </c>
      <c r="F87" s="10" t="s">
        <v>294</v>
      </c>
      <c r="G87" s="10" t="s">
        <v>39</v>
      </c>
      <c r="H87" s="34">
        <v>1</v>
      </c>
      <c r="I87" s="31">
        <v>113</v>
      </c>
      <c r="J87" s="16">
        <v>6</v>
      </c>
      <c r="K87" s="16">
        <v>3</v>
      </c>
      <c r="L87" s="32">
        <f t="shared" si="8"/>
        <v>0.66666666666666663</v>
      </c>
      <c r="M87" s="16">
        <v>6</v>
      </c>
      <c r="N87" s="16">
        <v>3</v>
      </c>
      <c r="O87" s="32">
        <f t="shared" si="9"/>
        <v>0.66666666666666663</v>
      </c>
      <c r="P87" s="16">
        <v>6</v>
      </c>
      <c r="Q87" s="16">
        <v>2</v>
      </c>
      <c r="R87" s="32">
        <f t="shared" si="10"/>
        <v>0.75</v>
      </c>
      <c r="S87" s="16"/>
      <c r="T87" s="16"/>
      <c r="U87" s="32" t="e">
        <f t="shared" si="11"/>
        <v>#DIV/0!</v>
      </c>
      <c r="V87" s="16"/>
      <c r="W87" s="16"/>
      <c r="X87" s="16" t="e">
        <f t="shared" si="12"/>
        <v>#DIV/0!</v>
      </c>
      <c r="Y87" s="16">
        <f>COUNTA(J87:W87)/2</f>
        <v>5</v>
      </c>
      <c r="Z87" s="16">
        <f>J87+M87+P87+S87+V87</f>
        <v>18</v>
      </c>
      <c r="AA87" s="16">
        <f t="shared" si="13"/>
        <v>8</v>
      </c>
      <c r="AB87" s="16">
        <f t="shared" si="14"/>
        <v>26</v>
      </c>
      <c r="AC87" s="24">
        <f t="shared" si="15"/>
        <v>0.69230769230769229</v>
      </c>
      <c r="AD87" s="10" t="s">
        <v>295</v>
      </c>
      <c r="AE87" s="10" t="s">
        <v>36</v>
      </c>
      <c r="AF87" s="10" t="s">
        <v>37</v>
      </c>
      <c r="AG87" s="16">
        <v>2</v>
      </c>
    </row>
    <row r="88" spans="1:33">
      <c r="A88" s="14" t="s">
        <v>296</v>
      </c>
      <c r="B88" s="10" t="s">
        <v>34</v>
      </c>
      <c r="C88" s="10" t="s">
        <v>276</v>
      </c>
      <c r="D88" s="10" t="s">
        <v>36</v>
      </c>
      <c r="E88" s="18" t="s">
        <v>37</v>
      </c>
      <c r="F88" s="10" t="s">
        <v>297</v>
      </c>
      <c r="G88" s="10" t="s">
        <v>39</v>
      </c>
      <c r="H88" s="34">
        <v>3</v>
      </c>
      <c r="I88" s="31">
        <v>111</v>
      </c>
      <c r="J88" s="13">
        <v>6</v>
      </c>
      <c r="K88" s="13">
        <v>7</v>
      </c>
      <c r="L88" s="32">
        <f t="shared" si="8"/>
        <v>0.46153846153846156</v>
      </c>
      <c r="M88" s="13">
        <v>6</v>
      </c>
      <c r="N88" s="13">
        <v>4</v>
      </c>
      <c r="O88" s="32">
        <f t="shared" si="9"/>
        <v>0.6</v>
      </c>
      <c r="P88" s="13">
        <v>7</v>
      </c>
      <c r="Q88" s="13">
        <v>5</v>
      </c>
      <c r="R88" s="32">
        <f t="shared" si="10"/>
        <v>0.58333333333333337</v>
      </c>
      <c r="S88" s="13"/>
      <c r="T88" s="13"/>
      <c r="U88" s="32" t="e">
        <f t="shared" si="11"/>
        <v>#DIV/0!</v>
      </c>
      <c r="V88" s="13"/>
      <c r="W88" s="13"/>
      <c r="X88" s="16" t="e">
        <f t="shared" si="12"/>
        <v>#DIV/0!</v>
      </c>
      <c r="Y88" s="16">
        <f>COUNTA(J88:W88)/2</f>
        <v>5</v>
      </c>
      <c r="Z88" s="16">
        <f>J88+M88+P88+S88+V88</f>
        <v>19</v>
      </c>
      <c r="AA88" s="16">
        <f t="shared" si="13"/>
        <v>16</v>
      </c>
      <c r="AB88" s="16">
        <f t="shared" si="14"/>
        <v>35</v>
      </c>
      <c r="AC88" s="24">
        <f t="shared" si="15"/>
        <v>0.54285714285714282</v>
      </c>
      <c r="AD88" s="10" t="s">
        <v>269</v>
      </c>
      <c r="AE88" s="10" t="s">
        <v>36</v>
      </c>
      <c r="AF88" s="10" t="s">
        <v>37</v>
      </c>
      <c r="AG88" s="16">
        <v>1</v>
      </c>
    </row>
    <row r="89" spans="1:33">
      <c r="A89" s="9" t="s">
        <v>296</v>
      </c>
      <c r="B89" s="10" t="s">
        <v>43</v>
      </c>
      <c r="C89" s="11" t="s">
        <v>293</v>
      </c>
      <c r="D89" s="11" t="s">
        <v>285</v>
      </c>
      <c r="E89" s="11" t="s">
        <v>286</v>
      </c>
      <c r="F89" s="11" t="s">
        <v>298</v>
      </c>
      <c r="G89" s="10" t="s">
        <v>39</v>
      </c>
      <c r="H89" s="35">
        <v>4</v>
      </c>
      <c r="I89" s="31">
        <v>176</v>
      </c>
      <c r="J89" s="13">
        <v>6</v>
      </c>
      <c r="K89" s="13">
        <v>2</v>
      </c>
      <c r="L89" s="32">
        <f t="shared" si="8"/>
        <v>0.75</v>
      </c>
      <c r="M89" s="13">
        <v>7</v>
      </c>
      <c r="N89" s="13">
        <v>6</v>
      </c>
      <c r="O89" s="32">
        <f t="shared" si="9"/>
        <v>0.53846153846153844</v>
      </c>
      <c r="P89" s="13">
        <v>6</v>
      </c>
      <c r="Q89" s="13">
        <v>7</v>
      </c>
      <c r="R89" s="32">
        <f t="shared" si="10"/>
        <v>0.46153846153846156</v>
      </c>
      <c r="S89" s="13">
        <v>6</v>
      </c>
      <c r="T89" s="13">
        <v>4</v>
      </c>
      <c r="U89" s="32">
        <f t="shared" si="11"/>
        <v>0.6</v>
      </c>
      <c r="V89" s="13"/>
      <c r="W89" s="13"/>
      <c r="X89" s="16" t="e">
        <f t="shared" si="12"/>
        <v>#DIV/0!</v>
      </c>
      <c r="Y89" s="16">
        <f>COUNTA(J89:W89)/2</f>
        <v>6</v>
      </c>
      <c r="Z89" s="16">
        <f>J89+M89+P89+S89+V89</f>
        <v>25</v>
      </c>
      <c r="AA89" s="16">
        <f t="shared" si="13"/>
        <v>19</v>
      </c>
      <c r="AB89" s="16">
        <f t="shared" si="14"/>
        <v>44</v>
      </c>
      <c r="AC89" s="24">
        <f t="shared" si="15"/>
        <v>0.56818181818181823</v>
      </c>
      <c r="AD89" s="11" t="s">
        <v>295</v>
      </c>
      <c r="AE89" s="11" t="s">
        <v>36</v>
      </c>
      <c r="AF89" s="11" t="s">
        <v>37</v>
      </c>
      <c r="AG89" s="13" t="s">
        <v>91</v>
      </c>
    </row>
    <row r="90" spans="1:33">
      <c r="A90" s="9" t="s">
        <v>299</v>
      </c>
      <c r="B90" s="10" t="s">
        <v>34</v>
      </c>
      <c r="C90" s="11" t="s">
        <v>274</v>
      </c>
      <c r="D90" s="11" t="s">
        <v>258</v>
      </c>
      <c r="E90" s="11" t="s">
        <v>100</v>
      </c>
      <c r="F90" s="11" t="s">
        <v>300</v>
      </c>
      <c r="G90" s="10" t="s">
        <v>39</v>
      </c>
      <c r="H90" s="35">
        <v>3</v>
      </c>
      <c r="I90" s="28">
        <v>100</v>
      </c>
      <c r="J90" s="16">
        <v>6</v>
      </c>
      <c r="K90" s="16">
        <v>0</v>
      </c>
      <c r="L90" s="32">
        <f t="shared" si="8"/>
        <v>1</v>
      </c>
      <c r="M90" s="16">
        <v>7</v>
      </c>
      <c r="N90" s="16">
        <v>5</v>
      </c>
      <c r="O90" s="32">
        <f t="shared" si="9"/>
        <v>0.58333333333333337</v>
      </c>
      <c r="P90" s="16"/>
      <c r="Q90" s="16"/>
      <c r="R90" s="32" t="e">
        <f t="shared" si="10"/>
        <v>#DIV/0!</v>
      </c>
      <c r="S90" s="16"/>
      <c r="T90" s="16"/>
      <c r="U90" s="32" t="e">
        <f t="shared" si="11"/>
        <v>#DIV/0!</v>
      </c>
      <c r="V90" s="16"/>
      <c r="W90" s="16"/>
      <c r="X90" s="16" t="e">
        <f t="shared" si="12"/>
        <v>#DIV/0!</v>
      </c>
      <c r="Y90" s="16">
        <f>COUNTA(J90:W90)/2</f>
        <v>4</v>
      </c>
      <c r="Z90" s="16">
        <f>J90+M90+P90+S90+V90</f>
        <v>13</v>
      </c>
      <c r="AA90" s="16">
        <f t="shared" si="13"/>
        <v>5</v>
      </c>
      <c r="AB90" s="16">
        <f t="shared" si="14"/>
        <v>18</v>
      </c>
      <c r="AC90" s="24">
        <f t="shared" si="15"/>
        <v>0.72222222222222221</v>
      </c>
      <c r="AD90" s="11" t="s">
        <v>301</v>
      </c>
      <c r="AE90" s="11" t="s">
        <v>72</v>
      </c>
      <c r="AF90" s="11" t="s">
        <v>73</v>
      </c>
      <c r="AG90" s="13">
        <v>4</v>
      </c>
    </row>
    <row r="91" spans="1:33">
      <c r="A91" s="14" t="s">
        <v>299</v>
      </c>
      <c r="B91" s="10" t="s">
        <v>43</v>
      </c>
      <c r="C91" s="10" t="s">
        <v>302</v>
      </c>
      <c r="D91" s="10" t="s">
        <v>36</v>
      </c>
      <c r="E91" s="18" t="s">
        <v>37</v>
      </c>
      <c r="F91" s="10" t="s">
        <v>303</v>
      </c>
      <c r="G91" s="10" t="s">
        <v>39</v>
      </c>
      <c r="H91" s="34">
        <v>8</v>
      </c>
      <c r="I91" s="28">
        <v>233</v>
      </c>
      <c r="J91" s="16">
        <v>7</v>
      </c>
      <c r="K91" s="16">
        <v>5</v>
      </c>
      <c r="L91" s="32">
        <f t="shared" si="8"/>
        <v>0.58333333333333337</v>
      </c>
      <c r="M91" s="16">
        <v>7</v>
      </c>
      <c r="N91" s="16">
        <v>6</v>
      </c>
      <c r="O91" s="32">
        <f t="shared" si="9"/>
        <v>0.53846153846153844</v>
      </c>
      <c r="P91" s="16">
        <v>6</v>
      </c>
      <c r="Q91" s="16">
        <v>2</v>
      </c>
      <c r="R91" s="32">
        <f t="shared" si="10"/>
        <v>0.75</v>
      </c>
      <c r="S91" s="16"/>
      <c r="T91" s="16"/>
      <c r="U91" s="32" t="e">
        <f t="shared" si="11"/>
        <v>#DIV/0!</v>
      </c>
      <c r="V91" s="16"/>
      <c r="W91" s="16"/>
      <c r="X91" s="16" t="e">
        <f t="shared" si="12"/>
        <v>#DIV/0!</v>
      </c>
      <c r="Y91" s="16">
        <f>COUNTA(J91:W91)/2</f>
        <v>5</v>
      </c>
      <c r="Z91" s="16">
        <f>J91+M91+P91+S91+V91</f>
        <v>20</v>
      </c>
      <c r="AA91" s="16">
        <f t="shared" si="13"/>
        <v>13</v>
      </c>
      <c r="AB91" s="16">
        <f t="shared" si="14"/>
        <v>33</v>
      </c>
      <c r="AC91" s="24">
        <f t="shared" si="15"/>
        <v>0.60606060606060608</v>
      </c>
      <c r="AD91" s="10" t="s">
        <v>304</v>
      </c>
      <c r="AE91" s="10" t="s">
        <v>72</v>
      </c>
      <c r="AF91" s="10" t="s">
        <v>73</v>
      </c>
      <c r="AG91" s="16">
        <v>14</v>
      </c>
    </row>
    <row r="92" spans="1:33">
      <c r="A92" s="14" t="s">
        <v>305</v>
      </c>
      <c r="B92" s="10" t="s">
        <v>34</v>
      </c>
      <c r="C92" s="10" t="s">
        <v>306</v>
      </c>
      <c r="D92" s="10" t="s">
        <v>36</v>
      </c>
      <c r="E92" s="18" t="s">
        <v>37</v>
      </c>
      <c r="F92" s="10" t="s">
        <v>218</v>
      </c>
      <c r="G92" s="10" t="s">
        <v>39</v>
      </c>
      <c r="H92" s="34">
        <v>5</v>
      </c>
      <c r="I92" s="28">
        <v>133</v>
      </c>
      <c r="J92" s="13">
        <v>6</v>
      </c>
      <c r="K92" s="13">
        <v>3</v>
      </c>
      <c r="L92" s="32">
        <f t="shared" si="8"/>
        <v>0.66666666666666663</v>
      </c>
      <c r="M92" s="13">
        <v>6</v>
      </c>
      <c r="N92" s="13">
        <v>3</v>
      </c>
      <c r="O92" s="32">
        <f t="shared" si="9"/>
        <v>0.66666666666666663</v>
      </c>
      <c r="P92" s="13"/>
      <c r="Q92" s="13"/>
      <c r="R92" s="32" t="e">
        <f t="shared" si="10"/>
        <v>#DIV/0!</v>
      </c>
      <c r="S92" s="13"/>
      <c r="T92" s="13"/>
      <c r="U92" s="32" t="e">
        <f t="shared" si="11"/>
        <v>#DIV/0!</v>
      </c>
      <c r="V92" s="13"/>
      <c r="W92" s="13"/>
      <c r="X92" s="16" t="e">
        <f t="shared" si="12"/>
        <v>#DIV/0!</v>
      </c>
      <c r="Y92" s="16">
        <f>COUNTA(J92:W92)/2</f>
        <v>4</v>
      </c>
      <c r="Z92" s="16">
        <f>J92+M92+P92+S92+V92</f>
        <v>12</v>
      </c>
      <c r="AA92" s="16">
        <f t="shared" si="13"/>
        <v>6</v>
      </c>
      <c r="AB92" s="16">
        <f t="shared" si="14"/>
        <v>18</v>
      </c>
      <c r="AC92" s="24">
        <f t="shared" si="15"/>
        <v>0.66666666666666663</v>
      </c>
      <c r="AD92" s="10" t="s">
        <v>307</v>
      </c>
      <c r="AE92" s="10" t="s">
        <v>36</v>
      </c>
      <c r="AF92" s="10" t="s">
        <v>37</v>
      </c>
      <c r="AG92" s="16">
        <v>4</v>
      </c>
    </row>
    <row r="93" spans="1:33">
      <c r="A93" s="9" t="s">
        <v>305</v>
      </c>
      <c r="B93" s="10" t="s">
        <v>43</v>
      </c>
      <c r="C93" s="11" t="s">
        <v>308</v>
      </c>
      <c r="D93" s="11" t="s">
        <v>309</v>
      </c>
      <c r="E93" s="11" t="s">
        <v>310</v>
      </c>
      <c r="F93" s="11" t="s">
        <v>311</v>
      </c>
      <c r="G93" s="10" t="s">
        <v>39</v>
      </c>
      <c r="H93" s="35">
        <v>1</v>
      </c>
      <c r="I93" s="29">
        <v>89</v>
      </c>
      <c r="J93" s="13">
        <v>7</v>
      </c>
      <c r="K93" s="13">
        <v>6</v>
      </c>
      <c r="L93" s="32">
        <f t="shared" si="8"/>
        <v>0.53846153846153844</v>
      </c>
      <c r="M93" s="13">
        <v>6</v>
      </c>
      <c r="N93" s="13">
        <v>3</v>
      </c>
      <c r="O93" s="32">
        <f t="shared" si="9"/>
        <v>0.66666666666666663</v>
      </c>
      <c r="P93" s="13">
        <v>6</v>
      </c>
      <c r="Q93" s="13">
        <v>2</v>
      </c>
      <c r="R93" s="32">
        <f t="shared" si="10"/>
        <v>0.75</v>
      </c>
      <c r="S93" s="13"/>
      <c r="T93" s="13"/>
      <c r="U93" s="32" t="e">
        <f t="shared" si="11"/>
        <v>#DIV/0!</v>
      </c>
      <c r="V93" s="13"/>
      <c r="W93" s="13"/>
      <c r="X93" s="16" t="e">
        <f t="shared" si="12"/>
        <v>#DIV/0!</v>
      </c>
      <c r="Y93" s="16">
        <f>COUNTA(J93:W93)/2</f>
        <v>5</v>
      </c>
      <c r="Z93" s="16">
        <f>J93+M93+P93+S93+V93</f>
        <v>19</v>
      </c>
      <c r="AA93" s="16">
        <f t="shared" si="13"/>
        <v>11</v>
      </c>
      <c r="AB93" s="16">
        <f t="shared" si="14"/>
        <v>30</v>
      </c>
      <c r="AC93" s="24">
        <f t="shared" si="15"/>
        <v>0.6333333333333333</v>
      </c>
      <c r="AD93" s="11" t="s">
        <v>312</v>
      </c>
      <c r="AE93" s="11" t="s">
        <v>36</v>
      </c>
      <c r="AF93" s="11" t="s">
        <v>37</v>
      </c>
      <c r="AG93" s="13">
        <v>6</v>
      </c>
    </row>
    <row r="94" spans="1:33">
      <c r="A94" s="9" t="s">
        <v>313</v>
      </c>
      <c r="B94" s="10" t="s">
        <v>34</v>
      </c>
      <c r="C94" s="11" t="s">
        <v>314</v>
      </c>
      <c r="D94" s="11" t="s">
        <v>72</v>
      </c>
      <c r="E94" s="11" t="s">
        <v>73</v>
      </c>
      <c r="F94" s="11" t="s">
        <v>315</v>
      </c>
      <c r="G94" s="10" t="s">
        <v>39</v>
      </c>
      <c r="H94" s="35" t="s">
        <v>91</v>
      </c>
      <c r="I94" s="29">
        <v>133</v>
      </c>
      <c r="J94" s="16">
        <v>6</v>
      </c>
      <c r="K94" s="16">
        <v>3</v>
      </c>
      <c r="L94" s="32">
        <f t="shared" si="8"/>
        <v>0.66666666666666663</v>
      </c>
      <c r="M94" s="16">
        <v>7</v>
      </c>
      <c r="N94" s="16">
        <v>6</v>
      </c>
      <c r="O94" s="32">
        <f t="shared" si="9"/>
        <v>0.53846153846153844</v>
      </c>
      <c r="P94" s="16"/>
      <c r="Q94" s="16"/>
      <c r="R94" s="32" t="e">
        <f t="shared" si="10"/>
        <v>#DIV/0!</v>
      </c>
      <c r="S94" s="16"/>
      <c r="T94" s="16"/>
      <c r="U94" s="32" t="e">
        <f t="shared" si="11"/>
        <v>#DIV/0!</v>
      </c>
      <c r="V94" s="16"/>
      <c r="W94" s="16"/>
      <c r="X94" s="16" t="e">
        <f t="shared" si="12"/>
        <v>#DIV/0!</v>
      </c>
      <c r="Y94" s="16">
        <f>COUNTA(J94:W94)/2</f>
        <v>4</v>
      </c>
      <c r="Z94" s="16">
        <f>J94+M94+P94+S94+V94</f>
        <v>13</v>
      </c>
      <c r="AA94" s="16">
        <f t="shared" si="13"/>
        <v>9</v>
      </c>
      <c r="AB94" s="16">
        <f t="shared" si="14"/>
        <v>22</v>
      </c>
      <c r="AC94" s="24">
        <f t="shared" si="15"/>
        <v>0.59090909090909094</v>
      </c>
      <c r="AD94" s="11" t="s">
        <v>316</v>
      </c>
      <c r="AE94" s="11" t="s">
        <v>36</v>
      </c>
      <c r="AF94" s="11" t="s">
        <v>37</v>
      </c>
      <c r="AG94" s="13">
        <v>8</v>
      </c>
    </row>
    <row r="95" spans="1:33">
      <c r="A95" s="14" t="s">
        <v>313</v>
      </c>
      <c r="B95" s="10" t="s">
        <v>43</v>
      </c>
      <c r="C95" s="10" t="s">
        <v>308</v>
      </c>
      <c r="D95" s="10" t="s">
        <v>309</v>
      </c>
      <c r="E95" s="10" t="s">
        <v>310</v>
      </c>
      <c r="F95" s="10" t="s">
        <v>317</v>
      </c>
      <c r="G95" s="10" t="s">
        <v>39</v>
      </c>
      <c r="H95" s="34">
        <v>1</v>
      </c>
      <c r="I95" s="28">
        <v>89</v>
      </c>
      <c r="J95" s="16">
        <v>6</v>
      </c>
      <c r="K95" s="16">
        <v>4</v>
      </c>
      <c r="L95" s="32">
        <f t="shared" si="8"/>
        <v>0.6</v>
      </c>
      <c r="M95" s="16">
        <v>6</v>
      </c>
      <c r="N95" s="16">
        <v>4</v>
      </c>
      <c r="O95" s="32">
        <f t="shared" si="9"/>
        <v>0.6</v>
      </c>
      <c r="P95" s="16">
        <v>3</v>
      </c>
      <c r="Q95" s="16">
        <v>6</v>
      </c>
      <c r="R95" s="32">
        <f t="shared" si="10"/>
        <v>0.33333333333333331</v>
      </c>
      <c r="S95" s="16">
        <v>6</v>
      </c>
      <c r="T95" s="16">
        <v>3</v>
      </c>
      <c r="U95" s="32">
        <f t="shared" si="11"/>
        <v>0.66666666666666663</v>
      </c>
      <c r="V95" s="16"/>
      <c r="W95" s="16"/>
      <c r="X95" s="16" t="e">
        <f t="shared" si="12"/>
        <v>#DIV/0!</v>
      </c>
      <c r="Y95" s="16">
        <f>COUNTA(J95:W95)/2</f>
        <v>6</v>
      </c>
      <c r="Z95" s="16">
        <f>J95+M95+P95+S95+V95</f>
        <v>21</v>
      </c>
      <c r="AA95" s="16">
        <f t="shared" si="13"/>
        <v>17</v>
      </c>
      <c r="AB95" s="16">
        <f t="shared" si="14"/>
        <v>38</v>
      </c>
      <c r="AC95" s="24">
        <f t="shared" si="15"/>
        <v>0.55263157894736847</v>
      </c>
      <c r="AD95" s="10" t="s">
        <v>318</v>
      </c>
      <c r="AE95" s="10" t="s">
        <v>72</v>
      </c>
      <c r="AF95" s="10" t="s">
        <v>73</v>
      </c>
      <c r="AG95" s="16" t="s">
        <v>91</v>
      </c>
    </row>
    <row r="96" spans="1:33">
      <c r="A96" s="14" t="s">
        <v>319</v>
      </c>
      <c r="B96" s="10" t="s">
        <v>34</v>
      </c>
      <c r="C96" s="10" t="s">
        <v>320</v>
      </c>
      <c r="D96" s="10" t="s">
        <v>72</v>
      </c>
      <c r="E96" s="10" t="s">
        <v>73</v>
      </c>
      <c r="F96" s="10" t="s">
        <v>146</v>
      </c>
      <c r="G96" s="10" t="s">
        <v>39</v>
      </c>
      <c r="H96" s="34">
        <v>1</v>
      </c>
      <c r="I96" s="28">
        <v>177</v>
      </c>
      <c r="J96" s="13">
        <v>6</v>
      </c>
      <c r="K96" s="13">
        <v>3</v>
      </c>
      <c r="L96" s="32">
        <f t="shared" si="8"/>
        <v>0.66666666666666663</v>
      </c>
      <c r="M96" s="13">
        <v>6</v>
      </c>
      <c r="N96" s="13">
        <v>0</v>
      </c>
      <c r="O96" s="32">
        <f t="shared" si="9"/>
        <v>1</v>
      </c>
      <c r="P96" s="13"/>
      <c r="Q96" s="13"/>
      <c r="R96" s="32" t="e">
        <f t="shared" si="10"/>
        <v>#DIV/0!</v>
      </c>
      <c r="S96" s="13"/>
      <c r="T96" s="13"/>
      <c r="U96" s="32" t="e">
        <f t="shared" si="11"/>
        <v>#DIV/0!</v>
      </c>
      <c r="V96" s="13"/>
      <c r="W96" s="13"/>
      <c r="X96" s="16" t="e">
        <f t="shared" si="12"/>
        <v>#DIV/0!</v>
      </c>
      <c r="Y96" s="16">
        <f>COUNTA(J96:W96)/2</f>
        <v>4</v>
      </c>
      <c r="Z96" s="16">
        <f>J96+M96+P96+S96+V96</f>
        <v>12</v>
      </c>
      <c r="AA96" s="16">
        <f t="shared" si="13"/>
        <v>3</v>
      </c>
      <c r="AB96" s="16">
        <f t="shared" si="14"/>
        <v>15</v>
      </c>
      <c r="AC96" s="24">
        <f t="shared" si="15"/>
        <v>0.8</v>
      </c>
      <c r="AD96" s="10" t="s">
        <v>321</v>
      </c>
      <c r="AE96" s="10" t="s">
        <v>72</v>
      </c>
      <c r="AF96" s="10" t="s">
        <v>73</v>
      </c>
      <c r="AG96" s="16">
        <v>5</v>
      </c>
    </row>
    <row r="97" spans="1:33">
      <c r="A97" s="9" t="s">
        <v>319</v>
      </c>
      <c r="B97" s="10" t="s">
        <v>43</v>
      </c>
      <c r="C97" s="11" t="s">
        <v>322</v>
      </c>
      <c r="D97" s="11" t="s">
        <v>36</v>
      </c>
      <c r="E97" s="11" t="s">
        <v>37</v>
      </c>
      <c r="F97" s="11" t="s">
        <v>323</v>
      </c>
      <c r="G97" s="10" t="s">
        <v>39</v>
      </c>
      <c r="H97" s="35">
        <v>1</v>
      </c>
      <c r="I97" s="29">
        <v>89</v>
      </c>
      <c r="J97" s="13">
        <v>6</v>
      </c>
      <c r="K97" s="13">
        <v>3</v>
      </c>
      <c r="L97" s="32">
        <f t="shared" si="8"/>
        <v>0.66666666666666663</v>
      </c>
      <c r="M97" s="13">
        <v>7</v>
      </c>
      <c r="N97" s="13">
        <v>6</v>
      </c>
      <c r="O97" s="32">
        <f t="shared" si="9"/>
        <v>0.53846153846153844</v>
      </c>
      <c r="P97" s="13">
        <v>5</v>
      </c>
      <c r="Q97" s="13">
        <v>7</v>
      </c>
      <c r="R97" s="32">
        <f t="shared" si="10"/>
        <v>0.41666666666666669</v>
      </c>
      <c r="S97" s="13">
        <v>3</v>
      </c>
      <c r="T97" s="13">
        <v>6</v>
      </c>
      <c r="U97" s="32">
        <f t="shared" si="11"/>
        <v>0.33333333333333331</v>
      </c>
      <c r="V97" s="13">
        <v>6</v>
      </c>
      <c r="W97" s="13">
        <v>2</v>
      </c>
      <c r="X97" s="16">
        <f t="shared" si="12"/>
        <v>0.75</v>
      </c>
      <c r="Y97" s="16">
        <f>COUNTA(J97:W97)/2</f>
        <v>7</v>
      </c>
      <c r="Z97" s="16">
        <f>J97+M97+P97+S97+V97</f>
        <v>27</v>
      </c>
      <c r="AA97" s="16">
        <f t="shared" si="13"/>
        <v>24</v>
      </c>
      <c r="AB97" s="16">
        <f t="shared" si="14"/>
        <v>51</v>
      </c>
      <c r="AC97" s="24">
        <f t="shared" si="15"/>
        <v>0.52941176470588236</v>
      </c>
      <c r="AD97" s="11" t="s">
        <v>324</v>
      </c>
      <c r="AE97" s="11" t="s">
        <v>127</v>
      </c>
      <c r="AF97" s="11" t="s">
        <v>128</v>
      </c>
      <c r="AG97" s="13" t="s">
        <v>91</v>
      </c>
    </row>
    <row r="98" spans="1:33">
      <c r="A98" s="9" t="s">
        <v>325</v>
      </c>
      <c r="B98" s="10" t="s">
        <v>34</v>
      </c>
      <c r="C98" s="11" t="s">
        <v>326</v>
      </c>
      <c r="D98" s="11" t="s">
        <v>72</v>
      </c>
      <c r="E98" s="11" t="s">
        <v>73</v>
      </c>
      <c r="F98" s="11" t="s">
        <v>327</v>
      </c>
      <c r="G98" s="10" t="s">
        <v>39</v>
      </c>
      <c r="H98" s="35">
        <v>2</v>
      </c>
      <c r="I98" s="29">
        <v>222</v>
      </c>
      <c r="J98" s="16">
        <v>7</v>
      </c>
      <c r="K98" s="16">
        <v>5</v>
      </c>
      <c r="L98" s="32">
        <f t="shared" si="8"/>
        <v>0.58333333333333337</v>
      </c>
      <c r="M98" s="16">
        <v>6</v>
      </c>
      <c r="N98" s="16">
        <v>2</v>
      </c>
      <c r="O98" s="32">
        <f t="shared" si="9"/>
        <v>0.75</v>
      </c>
      <c r="P98" s="16"/>
      <c r="Q98" s="16"/>
      <c r="R98" s="32" t="e">
        <f t="shared" si="10"/>
        <v>#DIV/0!</v>
      </c>
      <c r="S98" s="16"/>
      <c r="T98" s="16"/>
      <c r="U98" s="32" t="e">
        <f t="shared" si="11"/>
        <v>#DIV/0!</v>
      </c>
      <c r="V98" s="16"/>
      <c r="W98" s="16"/>
      <c r="X98" s="16" t="e">
        <f t="shared" si="12"/>
        <v>#DIV/0!</v>
      </c>
      <c r="Y98" s="16">
        <f>COUNTA(J98:W98)/2</f>
        <v>4</v>
      </c>
      <c r="Z98" s="16">
        <f>J98+M98+P98+S98+V98</f>
        <v>13</v>
      </c>
      <c r="AA98" s="16">
        <f t="shared" si="13"/>
        <v>7</v>
      </c>
      <c r="AB98" s="16">
        <f t="shared" si="14"/>
        <v>20</v>
      </c>
      <c r="AC98" s="24">
        <f t="shared" si="15"/>
        <v>0.65</v>
      </c>
      <c r="AD98" s="11" t="s">
        <v>328</v>
      </c>
      <c r="AE98" s="11" t="s">
        <v>72</v>
      </c>
      <c r="AF98" s="11" t="s">
        <v>73</v>
      </c>
      <c r="AG98" s="13">
        <v>1</v>
      </c>
    </row>
    <row r="99" spans="1:33">
      <c r="A99" s="14" t="s">
        <v>325</v>
      </c>
      <c r="B99" s="10" t="s">
        <v>43</v>
      </c>
      <c r="C99" s="10" t="s">
        <v>329</v>
      </c>
      <c r="D99" s="10" t="s">
        <v>36</v>
      </c>
      <c r="E99" s="18" t="s">
        <v>37</v>
      </c>
      <c r="F99" s="10" t="s">
        <v>330</v>
      </c>
      <c r="G99" s="10" t="s">
        <v>39</v>
      </c>
      <c r="H99" s="34">
        <v>2</v>
      </c>
      <c r="I99" s="28">
        <v>89</v>
      </c>
      <c r="J99" s="16">
        <v>6</v>
      </c>
      <c r="K99" s="16">
        <v>3</v>
      </c>
      <c r="L99" s="32">
        <f t="shared" si="8"/>
        <v>0.66666666666666663</v>
      </c>
      <c r="M99" s="16">
        <v>6</v>
      </c>
      <c r="N99" s="16">
        <v>3</v>
      </c>
      <c r="O99" s="32">
        <f t="shared" si="9"/>
        <v>0.66666666666666663</v>
      </c>
      <c r="P99" s="16">
        <v>6</v>
      </c>
      <c r="Q99" s="16">
        <v>3</v>
      </c>
      <c r="R99" s="32">
        <f t="shared" si="10"/>
        <v>0.66666666666666663</v>
      </c>
      <c r="S99" s="16"/>
      <c r="T99" s="16"/>
      <c r="U99" s="32" t="e">
        <f t="shared" si="11"/>
        <v>#DIV/0!</v>
      </c>
      <c r="V99" s="16"/>
      <c r="W99" s="16"/>
      <c r="X99" s="16" t="e">
        <f t="shared" si="12"/>
        <v>#DIV/0!</v>
      </c>
      <c r="Y99" s="16">
        <f>COUNTA(J99:W99)/2</f>
        <v>5</v>
      </c>
      <c r="Z99" s="16">
        <f>J99+M99+P99+S99+V99</f>
        <v>18</v>
      </c>
      <c r="AA99" s="16">
        <f t="shared" si="13"/>
        <v>9</v>
      </c>
      <c r="AB99" s="16">
        <f t="shared" si="14"/>
        <v>27</v>
      </c>
      <c r="AC99" s="24">
        <f t="shared" si="15"/>
        <v>0.66666666666666663</v>
      </c>
      <c r="AD99" s="10" t="s">
        <v>308</v>
      </c>
      <c r="AE99" s="10" t="s">
        <v>309</v>
      </c>
      <c r="AF99" s="10" t="s">
        <v>310</v>
      </c>
      <c r="AG99" s="16">
        <v>1</v>
      </c>
    </row>
    <row r="100" spans="1:33">
      <c r="A100" s="14" t="s">
        <v>331</v>
      </c>
      <c r="B100" s="10" t="s">
        <v>34</v>
      </c>
      <c r="C100" s="10" t="s">
        <v>320</v>
      </c>
      <c r="D100" s="10" t="s">
        <v>72</v>
      </c>
      <c r="E100" s="10" t="s">
        <v>73</v>
      </c>
      <c r="F100" s="10" t="s">
        <v>224</v>
      </c>
      <c r="G100" s="10" t="s">
        <v>39</v>
      </c>
      <c r="H100" s="34">
        <v>1</v>
      </c>
      <c r="I100" s="28">
        <v>133</v>
      </c>
      <c r="J100" s="13">
        <v>6</v>
      </c>
      <c r="K100" s="13">
        <v>2</v>
      </c>
      <c r="L100" s="32">
        <f t="shared" si="8"/>
        <v>0.75</v>
      </c>
      <c r="M100" s="13">
        <v>6</v>
      </c>
      <c r="N100" s="13">
        <v>2</v>
      </c>
      <c r="O100" s="32">
        <f t="shared" si="9"/>
        <v>0.75</v>
      </c>
      <c r="P100" s="13"/>
      <c r="Q100" s="13"/>
      <c r="R100" s="32" t="e">
        <f t="shared" si="10"/>
        <v>#DIV/0!</v>
      </c>
      <c r="S100" s="13"/>
      <c r="T100" s="13"/>
      <c r="U100" s="32" t="e">
        <f t="shared" si="11"/>
        <v>#DIV/0!</v>
      </c>
      <c r="V100" s="13"/>
      <c r="W100" s="13"/>
      <c r="X100" s="16" t="e">
        <f t="shared" si="12"/>
        <v>#DIV/0!</v>
      </c>
      <c r="Y100" s="16">
        <f>COUNTA(J100:W100)/2</f>
        <v>4</v>
      </c>
      <c r="Z100" s="16">
        <f>J100+M100+P100+S100+V100</f>
        <v>12</v>
      </c>
      <c r="AA100" s="16">
        <f t="shared" si="13"/>
        <v>4</v>
      </c>
      <c r="AB100" s="16">
        <f t="shared" si="14"/>
        <v>16</v>
      </c>
      <c r="AC100" s="24">
        <f t="shared" si="15"/>
        <v>0.75</v>
      </c>
      <c r="AD100" s="10" t="s">
        <v>332</v>
      </c>
      <c r="AE100" s="10" t="s">
        <v>258</v>
      </c>
      <c r="AF100" s="10" t="s">
        <v>100</v>
      </c>
      <c r="AG100" s="16">
        <v>5</v>
      </c>
    </row>
    <row r="101" spans="1:33">
      <c r="A101" s="9" t="s">
        <v>331</v>
      </c>
      <c r="B101" s="10" t="s">
        <v>43</v>
      </c>
      <c r="C101" s="11" t="s">
        <v>333</v>
      </c>
      <c r="D101" s="11" t="s">
        <v>72</v>
      </c>
      <c r="E101" s="11" t="s">
        <v>73</v>
      </c>
      <c r="F101" s="11" t="s">
        <v>334</v>
      </c>
      <c r="G101" s="10" t="s">
        <v>39</v>
      </c>
      <c r="H101" s="35" t="s">
        <v>91</v>
      </c>
      <c r="I101" s="29">
        <v>89</v>
      </c>
      <c r="J101" s="13">
        <v>6</v>
      </c>
      <c r="K101" s="13">
        <v>7</v>
      </c>
      <c r="L101" s="32">
        <f t="shared" si="8"/>
        <v>0.46153846153846156</v>
      </c>
      <c r="M101" s="13">
        <v>6</v>
      </c>
      <c r="N101" s="13">
        <v>3</v>
      </c>
      <c r="O101" s="32">
        <f t="shared" si="9"/>
        <v>0.66666666666666663</v>
      </c>
      <c r="P101" s="13">
        <v>7</v>
      </c>
      <c r="Q101" s="13">
        <v>6</v>
      </c>
      <c r="R101" s="32">
        <f t="shared" si="10"/>
        <v>0.53846153846153844</v>
      </c>
      <c r="S101" s="13">
        <v>6</v>
      </c>
      <c r="T101" s="13">
        <v>1</v>
      </c>
      <c r="U101" s="32">
        <f t="shared" si="11"/>
        <v>0.8571428571428571</v>
      </c>
      <c r="V101" s="13"/>
      <c r="W101" s="13"/>
      <c r="X101" s="16" t="e">
        <f t="shared" si="12"/>
        <v>#DIV/0!</v>
      </c>
      <c r="Y101" s="16">
        <f>COUNTA(J101:W101)/2</f>
        <v>6</v>
      </c>
      <c r="Z101" s="16">
        <f>J101+M101+P101+S101+V101</f>
        <v>25</v>
      </c>
      <c r="AA101" s="16">
        <f t="shared" si="13"/>
        <v>17</v>
      </c>
      <c r="AB101" s="16">
        <f t="shared" si="14"/>
        <v>42</v>
      </c>
      <c r="AC101" s="24">
        <f t="shared" si="15"/>
        <v>0.59523809523809523</v>
      </c>
      <c r="AD101" s="11" t="s">
        <v>335</v>
      </c>
      <c r="AE101" s="11" t="s">
        <v>72</v>
      </c>
      <c r="AF101" s="11" t="s">
        <v>73</v>
      </c>
      <c r="AG101" s="13">
        <v>2</v>
      </c>
    </row>
    <row r="102" spans="1:33">
      <c r="A102" s="9" t="s">
        <v>336</v>
      </c>
      <c r="B102" s="10" t="s">
        <v>34</v>
      </c>
      <c r="C102" s="11" t="s">
        <v>320</v>
      </c>
      <c r="D102" s="11" t="s">
        <v>72</v>
      </c>
      <c r="E102" s="11" t="s">
        <v>73</v>
      </c>
      <c r="F102" s="11" t="s">
        <v>237</v>
      </c>
      <c r="G102" s="10" t="s">
        <v>39</v>
      </c>
      <c r="H102" s="35">
        <v>3</v>
      </c>
      <c r="I102" s="29">
        <v>177</v>
      </c>
      <c r="J102" s="16">
        <v>6</v>
      </c>
      <c r="K102" s="16">
        <v>3</v>
      </c>
      <c r="L102" s="32">
        <f t="shared" si="8"/>
        <v>0.66666666666666663</v>
      </c>
      <c r="M102" s="16">
        <v>6</v>
      </c>
      <c r="N102" s="16">
        <v>2</v>
      </c>
      <c r="O102" s="32">
        <f t="shared" si="9"/>
        <v>0.75</v>
      </c>
      <c r="P102" s="16"/>
      <c r="Q102" s="16"/>
      <c r="R102" s="32" t="e">
        <f t="shared" si="10"/>
        <v>#DIV/0!</v>
      </c>
      <c r="S102" s="16"/>
      <c r="T102" s="16"/>
      <c r="U102" s="32" t="e">
        <f t="shared" si="11"/>
        <v>#DIV/0!</v>
      </c>
      <c r="V102" s="16"/>
      <c r="W102" s="16"/>
      <c r="X102" s="16" t="e">
        <f t="shared" si="12"/>
        <v>#DIV/0!</v>
      </c>
      <c r="Y102" s="16">
        <f>COUNTA(J102:W102)/2</f>
        <v>4</v>
      </c>
      <c r="Z102" s="16">
        <f>J102+M102+P102+S102+V102</f>
        <v>12</v>
      </c>
      <c r="AA102" s="16">
        <f t="shared" si="13"/>
        <v>5</v>
      </c>
      <c r="AB102" s="16">
        <f t="shared" si="14"/>
        <v>17</v>
      </c>
      <c r="AC102" s="24">
        <f t="shared" si="15"/>
        <v>0.70588235294117652</v>
      </c>
      <c r="AD102" s="11" t="s">
        <v>276</v>
      </c>
      <c r="AE102" s="11" t="s">
        <v>258</v>
      </c>
      <c r="AF102" s="11" t="s">
        <v>100</v>
      </c>
      <c r="AG102" s="13">
        <v>8</v>
      </c>
    </row>
    <row r="103" spans="1:33">
      <c r="A103" s="14" t="s">
        <v>336</v>
      </c>
      <c r="B103" s="10" t="s">
        <v>43</v>
      </c>
      <c r="C103" s="10" t="s">
        <v>335</v>
      </c>
      <c r="D103" s="10" t="s">
        <v>72</v>
      </c>
      <c r="E103" s="10" t="s">
        <v>73</v>
      </c>
      <c r="F103" s="10" t="s">
        <v>337</v>
      </c>
      <c r="G103" s="10" t="s">
        <v>39</v>
      </c>
      <c r="H103" s="34">
        <v>2</v>
      </c>
      <c r="I103" s="28">
        <v>89</v>
      </c>
      <c r="J103" s="16">
        <v>7</v>
      </c>
      <c r="K103" s="16">
        <v>5</v>
      </c>
      <c r="L103" s="32">
        <f t="shared" si="8"/>
        <v>0.58333333333333337</v>
      </c>
      <c r="M103" s="16">
        <v>3</v>
      </c>
      <c r="N103" s="16">
        <v>6</v>
      </c>
      <c r="O103" s="32">
        <f t="shared" si="9"/>
        <v>0.33333333333333331</v>
      </c>
      <c r="P103" s="16">
        <v>6</v>
      </c>
      <c r="Q103" s="16">
        <v>4</v>
      </c>
      <c r="R103" s="32">
        <f t="shared" si="10"/>
        <v>0.6</v>
      </c>
      <c r="S103" s="16">
        <v>7</v>
      </c>
      <c r="T103" s="16">
        <v>6</v>
      </c>
      <c r="U103" s="32">
        <f t="shared" si="11"/>
        <v>0.53846153846153844</v>
      </c>
      <c r="V103" s="16"/>
      <c r="W103" s="16"/>
      <c r="X103" s="16" t="e">
        <f t="shared" si="12"/>
        <v>#DIV/0!</v>
      </c>
      <c r="Y103" s="16">
        <f>COUNTA(J103:W103)/2</f>
        <v>6</v>
      </c>
      <c r="Z103" s="16">
        <f>J103+M103+P103+S103+V103</f>
        <v>23</v>
      </c>
      <c r="AA103" s="16">
        <f t="shared" si="13"/>
        <v>21</v>
      </c>
      <c r="AB103" s="16">
        <f t="shared" si="14"/>
        <v>44</v>
      </c>
      <c r="AC103" s="24">
        <f t="shared" si="15"/>
        <v>0.52272727272727271</v>
      </c>
      <c r="AD103" s="10" t="s">
        <v>338</v>
      </c>
      <c r="AE103" s="10" t="s">
        <v>36</v>
      </c>
      <c r="AF103" s="10" t="s">
        <v>37</v>
      </c>
      <c r="AG103" s="16">
        <v>1</v>
      </c>
    </row>
    <row r="104" spans="1:33">
      <c r="A104" s="14" t="s">
        <v>339</v>
      </c>
      <c r="B104" s="10" t="s">
        <v>34</v>
      </c>
      <c r="C104" s="10" t="s">
        <v>320</v>
      </c>
      <c r="D104" s="10" t="s">
        <v>72</v>
      </c>
      <c r="E104" s="10" t="s">
        <v>73</v>
      </c>
      <c r="F104" s="10" t="s">
        <v>340</v>
      </c>
      <c r="G104" s="10" t="s">
        <v>39</v>
      </c>
      <c r="H104" s="34">
        <v>2</v>
      </c>
      <c r="I104" s="28">
        <v>177</v>
      </c>
      <c r="J104" s="13">
        <v>7</v>
      </c>
      <c r="K104" s="13">
        <v>6</v>
      </c>
      <c r="L104" s="32">
        <f t="shared" si="8"/>
        <v>0.53846153846153844</v>
      </c>
      <c r="M104" s="13">
        <v>4</v>
      </c>
      <c r="N104" s="13">
        <v>6</v>
      </c>
      <c r="O104" s="32">
        <f t="shared" si="9"/>
        <v>0.4</v>
      </c>
      <c r="P104" s="13">
        <v>6</v>
      </c>
      <c r="Q104" s="13">
        <v>0</v>
      </c>
      <c r="R104" s="32">
        <f t="shared" si="10"/>
        <v>1</v>
      </c>
      <c r="S104" s="13"/>
      <c r="T104" s="13"/>
      <c r="U104" s="32" t="e">
        <f t="shared" si="11"/>
        <v>#DIV/0!</v>
      </c>
      <c r="V104" s="13"/>
      <c r="W104" s="13"/>
      <c r="X104" s="16" t="e">
        <f t="shared" si="12"/>
        <v>#DIV/0!</v>
      </c>
      <c r="Y104" s="16">
        <f>COUNTA(J104:W104)/2</f>
        <v>5</v>
      </c>
      <c r="Z104" s="16">
        <f>J104+M104+P104+S104+V104</f>
        <v>17</v>
      </c>
      <c r="AA104" s="16">
        <f t="shared" si="13"/>
        <v>12</v>
      </c>
      <c r="AB104" s="16">
        <f t="shared" si="14"/>
        <v>29</v>
      </c>
      <c r="AC104" s="24">
        <f t="shared" si="15"/>
        <v>0.58620689655172409</v>
      </c>
      <c r="AD104" s="10" t="s">
        <v>269</v>
      </c>
      <c r="AE104" s="10" t="s">
        <v>36</v>
      </c>
      <c r="AF104" s="10" t="s">
        <v>37</v>
      </c>
      <c r="AG104" s="16">
        <v>1</v>
      </c>
    </row>
    <row r="105" spans="1:33">
      <c r="A105" s="9" t="s">
        <v>339</v>
      </c>
      <c r="B105" s="10" t="s">
        <v>43</v>
      </c>
      <c r="C105" s="11" t="s">
        <v>338</v>
      </c>
      <c r="D105" s="11" t="s">
        <v>36</v>
      </c>
      <c r="E105" s="11" t="s">
        <v>37</v>
      </c>
      <c r="F105" s="11" t="s">
        <v>341</v>
      </c>
      <c r="G105" s="10" t="s">
        <v>39</v>
      </c>
      <c r="H105" s="35">
        <v>2</v>
      </c>
      <c r="I105" s="29">
        <v>133</v>
      </c>
      <c r="J105" s="13">
        <v>7</v>
      </c>
      <c r="K105" s="13">
        <v>6</v>
      </c>
      <c r="L105" s="32">
        <f t="shared" si="8"/>
        <v>0.53846153846153844</v>
      </c>
      <c r="M105" s="13">
        <v>6</v>
      </c>
      <c r="N105" s="13">
        <v>4</v>
      </c>
      <c r="O105" s="32">
        <f t="shared" si="9"/>
        <v>0.6</v>
      </c>
      <c r="P105" s="13">
        <v>4</v>
      </c>
      <c r="Q105" s="13">
        <v>6</v>
      </c>
      <c r="R105" s="32">
        <f t="shared" si="10"/>
        <v>0.4</v>
      </c>
      <c r="S105" s="13">
        <v>6</v>
      </c>
      <c r="T105" s="13">
        <v>3</v>
      </c>
      <c r="U105" s="32">
        <f t="shared" si="11"/>
        <v>0.66666666666666663</v>
      </c>
      <c r="V105" s="13"/>
      <c r="W105" s="13"/>
      <c r="X105" s="16" t="e">
        <f t="shared" si="12"/>
        <v>#DIV/0!</v>
      </c>
      <c r="Y105" s="16">
        <f>COUNTA(J105:W105)/2</f>
        <v>6</v>
      </c>
      <c r="Z105" s="16">
        <f>J105+M105+P105+S105+V105</f>
        <v>23</v>
      </c>
      <c r="AA105" s="16">
        <f t="shared" si="13"/>
        <v>19</v>
      </c>
      <c r="AB105" s="16">
        <f t="shared" si="14"/>
        <v>42</v>
      </c>
      <c r="AC105" s="24">
        <f t="shared" si="15"/>
        <v>0.54761904761904767</v>
      </c>
      <c r="AD105" s="11" t="s">
        <v>342</v>
      </c>
      <c r="AE105" s="11" t="s">
        <v>72</v>
      </c>
      <c r="AF105" s="11" t="s">
        <v>73</v>
      </c>
      <c r="AG105" s="13">
        <v>9</v>
      </c>
    </row>
    <row r="106" spans="1:33">
      <c r="A106" s="9" t="s">
        <v>343</v>
      </c>
      <c r="B106" s="10" t="s">
        <v>34</v>
      </c>
      <c r="C106" s="11" t="s">
        <v>344</v>
      </c>
      <c r="D106" s="11" t="s">
        <v>72</v>
      </c>
      <c r="E106" s="11" t="s">
        <v>73</v>
      </c>
      <c r="F106" s="11" t="s">
        <v>345</v>
      </c>
      <c r="G106" s="10" t="s">
        <v>39</v>
      </c>
      <c r="H106" s="35">
        <v>1</v>
      </c>
      <c r="I106" s="29">
        <v>177</v>
      </c>
      <c r="J106" s="16">
        <v>6</v>
      </c>
      <c r="K106" s="16">
        <v>4</v>
      </c>
      <c r="L106" s="32">
        <f t="shared" si="8"/>
        <v>0.6</v>
      </c>
      <c r="M106" s="16">
        <v>7</v>
      </c>
      <c r="N106" s="16">
        <v>5</v>
      </c>
      <c r="O106" s="32">
        <f t="shared" si="9"/>
        <v>0.58333333333333337</v>
      </c>
      <c r="P106" s="16"/>
      <c r="Q106" s="16"/>
      <c r="R106" s="32" t="e">
        <f t="shared" si="10"/>
        <v>#DIV/0!</v>
      </c>
      <c r="S106" s="16"/>
      <c r="T106" s="16"/>
      <c r="U106" s="32" t="e">
        <f t="shared" si="11"/>
        <v>#DIV/0!</v>
      </c>
      <c r="V106" s="16"/>
      <c r="W106" s="16"/>
      <c r="X106" s="16" t="e">
        <f t="shared" si="12"/>
        <v>#DIV/0!</v>
      </c>
      <c r="Y106" s="16">
        <f>COUNTA(J106:W106)/2</f>
        <v>4</v>
      </c>
      <c r="Z106" s="16">
        <f>J106+M106+P106+S106+V106</f>
        <v>13</v>
      </c>
      <c r="AA106" s="16">
        <f t="shared" si="13"/>
        <v>9</v>
      </c>
      <c r="AB106" s="16">
        <f t="shared" si="14"/>
        <v>22</v>
      </c>
      <c r="AC106" s="24">
        <f t="shared" si="15"/>
        <v>0.59090909090909094</v>
      </c>
      <c r="AD106" s="11" t="s">
        <v>320</v>
      </c>
      <c r="AE106" s="11" t="s">
        <v>72</v>
      </c>
      <c r="AF106" s="11" t="s">
        <v>73</v>
      </c>
      <c r="AG106" s="13">
        <v>2</v>
      </c>
    </row>
    <row r="107" spans="1:33">
      <c r="A107" s="14" t="s">
        <v>343</v>
      </c>
      <c r="B107" s="10" t="s">
        <v>43</v>
      </c>
      <c r="C107" s="10" t="s">
        <v>335</v>
      </c>
      <c r="D107" s="10" t="s">
        <v>72</v>
      </c>
      <c r="E107" s="10" t="s">
        <v>73</v>
      </c>
      <c r="F107" s="10" t="s">
        <v>346</v>
      </c>
      <c r="G107" s="10" t="s">
        <v>39</v>
      </c>
      <c r="H107" s="34">
        <v>2</v>
      </c>
      <c r="I107" s="28">
        <v>89</v>
      </c>
      <c r="J107" s="16">
        <v>6</v>
      </c>
      <c r="K107" s="16">
        <v>3</v>
      </c>
      <c r="L107" s="32">
        <f t="shared" si="8"/>
        <v>0.66666666666666663</v>
      </c>
      <c r="M107" s="16">
        <v>6</v>
      </c>
      <c r="N107" s="16">
        <v>7</v>
      </c>
      <c r="O107" s="32">
        <f t="shared" si="9"/>
        <v>0.46153846153846156</v>
      </c>
      <c r="P107" s="16">
        <v>7</v>
      </c>
      <c r="Q107" s="16">
        <v>5</v>
      </c>
      <c r="R107" s="32">
        <f t="shared" si="10"/>
        <v>0.58333333333333337</v>
      </c>
      <c r="S107" s="16">
        <v>6</v>
      </c>
      <c r="T107" s="16">
        <v>1</v>
      </c>
      <c r="U107" s="32">
        <f t="shared" si="11"/>
        <v>0.8571428571428571</v>
      </c>
      <c r="V107" s="16"/>
      <c r="W107" s="16"/>
      <c r="X107" s="16" t="e">
        <f t="shared" si="12"/>
        <v>#DIV/0!</v>
      </c>
      <c r="Y107" s="16">
        <f>COUNTA(J107:W107)/2</f>
        <v>6</v>
      </c>
      <c r="Z107" s="16">
        <f>J107+M107+P107+S107+V107</f>
        <v>25</v>
      </c>
      <c r="AA107" s="16">
        <f t="shared" si="13"/>
        <v>16</v>
      </c>
      <c r="AB107" s="16">
        <f t="shared" si="14"/>
        <v>41</v>
      </c>
      <c r="AC107" s="24">
        <f t="shared" si="15"/>
        <v>0.6097560975609756</v>
      </c>
      <c r="AD107" s="10" t="s">
        <v>347</v>
      </c>
      <c r="AE107" s="10" t="s">
        <v>348</v>
      </c>
      <c r="AF107" s="10" t="s">
        <v>349</v>
      </c>
      <c r="AG107" s="16">
        <v>12</v>
      </c>
    </row>
    <row r="108" spans="1:33">
      <c r="A108" s="14" t="s">
        <v>350</v>
      </c>
      <c r="B108" s="10" t="s">
        <v>34</v>
      </c>
      <c r="C108" s="10" t="s">
        <v>351</v>
      </c>
      <c r="D108" s="10" t="s">
        <v>127</v>
      </c>
      <c r="E108" s="10" t="s">
        <v>128</v>
      </c>
      <c r="F108" s="10" t="s">
        <v>119</v>
      </c>
      <c r="G108" s="10" t="s">
        <v>39</v>
      </c>
      <c r="H108" s="34">
        <v>2</v>
      </c>
      <c r="I108" s="28">
        <v>177</v>
      </c>
      <c r="J108" s="13">
        <v>6</v>
      </c>
      <c r="K108" s="13">
        <v>4</v>
      </c>
      <c r="L108" s="32">
        <f t="shared" si="8"/>
        <v>0.6</v>
      </c>
      <c r="M108" s="13">
        <v>6</v>
      </c>
      <c r="N108" s="13">
        <v>4</v>
      </c>
      <c r="O108" s="32">
        <f t="shared" si="9"/>
        <v>0.6</v>
      </c>
      <c r="P108" s="13"/>
      <c r="Q108" s="13"/>
      <c r="R108" s="32" t="e">
        <f t="shared" si="10"/>
        <v>#DIV/0!</v>
      </c>
      <c r="S108" s="13"/>
      <c r="T108" s="13"/>
      <c r="U108" s="32" t="e">
        <f t="shared" si="11"/>
        <v>#DIV/0!</v>
      </c>
      <c r="V108" s="13"/>
      <c r="W108" s="13"/>
      <c r="X108" s="16" t="e">
        <f t="shared" si="12"/>
        <v>#DIV/0!</v>
      </c>
      <c r="Y108" s="16">
        <f>COUNTA(J108:W108)/2</f>
        <v>4</v>
      </c>
      <c r="Z108" s="16">
        <f>J108+M108+P108+S108+V108</f>
        <v>12</v>
      </c>
      <c r="AA108" s="16">
        <f t="shared" si="13"/>
        <v>8</v>
      </c>
      <c r="AB108" s="16">
        <f t="shared" si="14"/>
        <v>20</v>
      </c>
      <c r="AC108" s="24">
        <f t="shared" si="15"/>
        <v>0.6</v>
      </c>
      <c r="AD108" s="10" t="s">
        <v>320</v>
      </c>
      <c r="AE108" s="10" t="s">
        <v>72</v>
      </c>
      <c r="AF108" s="10" t="s">
        <v>73</v>
      </c>
      <c r="AG108" s="16">
        <v>1</v>
      </c>
    </row>
    <row r="109" spans="1:33">
      <c r="A109" s="9" t="s">
        <v>350</v>
      </c>
      <c r="B109" s="10" t="s">
        <v>43</v>
      </c>
      <c r="C109" s="11" t="s">
        <v>352</v>
      </c>
      <c r="D109" s="11" t="s">
        <v>72</v>
      </c>
      <c r="E109" s="11" t="s">
        <v>73</v>
      </c>
      <c r="F109" s="11" t="s">
        <v>353</v>
      </c>
      <c r="G109" s="10" t="s">
        <v>39</v>
      </c>
      <c r="H109" s="35">
        <v>2</v>
      </c>
      <c r="I109" s="29">
        <v>89</v>
      </c>
      <c r="J109" s="13">
        <v>7</v>
      </c>
      <c r="K109" s="13">
        <v>6</v>
      </c>
      <c r="L109" s="32">
        <f t="shared" si="8"/>
        <v>0.53846153846153844</v>
      </c>
      <c r="M109" s="13">
        <v>6</v>
      </c>
      <c r="N109" s="13">
        <v>3</v>
      </c>
      <c r="O109" s="32">
        <f t="shared" si="9"/>
        <v>0.66666666666666663</v>
      </c>
      <c r="P109" s="13">
        <v>7</v>
      </c>
      <c r="Q109" s="13">
        <v>5</v>
      </c>
      <c r="R109" s="32">
        <f t="shared" si="10"/>
        <v>0.58333333333333337</v>
      </c>
      <c r="S109" s="13"/>
      <c r="T109" s="13"/>
      <c r="U109" s="32" t="e">
        <f t="shared" si="11"/>
        <v>#DIV/0!</v>
      </c>
      <c r="V109" s="13"/>
      <c r="W109" s="13"/>
      <c r="X109" s="16" t="e">
        <f t="shared" si="12"/>
        <v>#DIV/0!</v>
      </c>
      <c r="Y109" s="16">
        <f>COUNTA(J109:W109)/2</f>
        <v>5</v>
      </c>
      <c r="Z109" s="16">
        <f>J109+M109+P109+S109+V109</f>
        <v>20</v>
      </c>
      <c r="AA109" s="16">
        <f t="shared" si="13"/>
        <v>14</v>
      </c>
      <c r="AB109" s="16">
        <f t="shared" si="14"/>
        <v>34</v>
      </c>
      <c r="AC109" s="24">
        <f t="shared" si="15"/>
        <v>0.58823529411764708</v>
      </c>
      <c r="AD109" s="11" t="s">
        <v>354</v>
      </c>
      <c r="AE109" s="11" t="s">
        <v>72</v>
      </c>
      <c r="AF109" s="11" t="s">
        <v>73</v>
      </c>
      <c r="AG109" s="13">
        <v>8</v>
      </c>
    </row>
    <row r="110" spans="1:33">
      <c r="A110" s="9" t="s">
        <v>355</v>
      </c>
      <c r="B110" s="10" t="s">
        <v>34</v>
      </c>
      <c r="C110" s="11" t="s">
        <v>344</v>
      </c>
      <c r="D110" s="11" t="s">
        <v>72</v>
      </c>
      <c r="E110" s="11" t="s">
        <v>73</v>
      </c>
      <c r="F110" s="11" t="s">
        <v>356</v>
      </c>
      <c r="G110" s="10" t="s">
        <v>39</v>
      </c>
      <c r="H110" s="35">
        <v>1</v>
      </c>
      <c r="I110" s="29">
        <v>133</v>
      </c>
      <c r="J110" s="16">
        <v>2</v>
      </c>
      <c r="K110" s="16">
        <v>6</v>
      </c>
      <c r="L110" s="32">
        <f t="shared" si="8"/>
        <v>0.25</v>
      </c>
      <c r="M110" s="16">
        <v>7</v>
      </c>
      <c r="N110" s="16">
        <v>6</v>
      </c>
      <c r="O110" s="32">
        <f t="shared" si="9"/>
        <v>0.53846153846153844</v>
      </c>
      <c r="P110" s="16">
        <v>7</v>
      </c>
      <c r="Q110" s="16">
        <v>5</v>
      </c>
      <c r="R110" s="32">
        <f t="shared" si="10"/>
        <v>0.58333333333333337</v>
      </c>
      <c r="S110" s="16"/>
      <c r="T110" s="16"/>
      <c r="U110" s="32" t="e">
        <f t="shared" si="11"/>
        <v>#DIV/0!</v>
      </c>
      <c r="V110" s="16"/>
      <c r="W110" s="16"/>
      <c r="X110" s="16" t="e">
        <f t="shared" si="12"/>
        <v>#DIV/0!</v>
      </c>
      <c r="Y110" s="16">
        <f>COUNTA(J110:W110)/2</f>
        <v>5</v>
      </c>
      <c r="Z110" s="16">
        <f>J110+M110+P110+S110+V110</f>
        <v>16</v>
      </c>
      <c r="AA110" s="16">
        <f t="shared" si="13"/>
        <v>17</v>
      </c>
      <c r="AB110" s="16">
        <f t="shared" si="14"/>
        <v>33</v>
      </c>
      <c r="AC110" s="24">
        <f t="shared" si="15"/>
        <v>0.48484848484848486</v>
      </c>
      <c r="AD110" s="11" t="s">
        <v>320</v>
      </c>
      <c r="AE110" s="11" t="s">
        <v>72</v>
      </c>
      <c r="AF110" s="11" t="s">
        <v>73</v>
      </c>
      <c r="AG110" s="13">
        <v>2</v>
      </c>
    </row>
    <row r="111" spans="1:33">
      <c r="A111" s="14" t="s">
        <v>355</v>
      </c>
      <c r="B111" s="10" t="s">
        <v>43</v>
      </c>
      <c r="C111" s="10" t="s">
        <v>352</v>
      </c>
      <c r="D111" s="10" t="s">
        <v>72</v>
      </c>
      <c r="E111" s="10" t="s">
        <v>73</v>
      </c>
      <c r="F111" s="10" t="s">
        <v>357</v>
      </c>
      <c r="G111" s="10" t="s">
        <v>39</v>
      </c>
      <c r="H111" s="34">
        <v>2</v>
      </c>
      <c r="I111" s="28">
        <v>133</v>
      </c>
      <c r="J111" s="16">
        <v>6</v>
      </c>
      <c r="K111" s="16">
        <v>1</v>
      </c>
      <c r="L111" s="32">
        <f t="shared" si="8"/>
        <v>0.8571428571428571</v>
      </c>
      <c r="M111" s="16">
        <v>7</v>
      </c>
      <c r="N111" s="16">
        <v>5</v>
      </c>
      <c r="O111" s="32">
        <f t="shared" si="9"/>
        <v>0.58333333333333337</v>
      </c>
      <c r="P111" s="16">
        <v>6</v>
      </c>
      <c r="Q111" s="16">
        <v>3</v>
      </c>
      <c r="R111" s="32">
        <f t="shared" si="10"/>
        <v>0.66666666666666663</v>
      </c>
      <c r="S111" s="16"/>
      <c r="T111" s="16"/>
      <c r="U111" s="32" t="e">
        <f t="shared" si="11"/>
        <v>#DIV/0!</v>
      </c>
      <c r="V111" s="16"/>
      <c r="W111" s="16"/>
      <c r="X111" s="16" t="e">
        <f t="shared" si="12"/>
        <v>#DIV/0!</v>
      </c>
      <c r="Y111" s="16">
        <f>COUNTA(J111:W111)/2</f>
        <v>5</v>
      </c>
      <c r="Z111" s="16">
        <f>J111+M111+P111+S111+V111</f>
        <v>19</v>
      </c>
      <c r="AA111" s="16">
        <f t="shared" si="13"/>
        <v>9</v>
      </c>
      <c r="AB111" s="16">
        <f t="shared" si="14"/>
        <v>28</v>
      </c>
      <c r="AC111" s="24">
        <f t="shared" si="15"/>
        <v>0.6785714285714286</v>
      </c>
      <c r="AD111" s="10" t="s">
        <v>358</v>
      </c>
      <c r="AE111" s="10" t="s">
        <v>36</v>
      </c>
      <c r="AF111" s="10" t="s">
        <v>37</v>
      </c>
      <c r="AG111" s="16">
        <v>3</v>
      </c>
    </row>
    <row r="112" spans="1:33">
      <c r="A112" s="14" t="s">
        <v>359</v>
      </c>
      <c r="B112" s="10" t="s">
        <v>34</v>
      </c>
      <c r="C112" s="10" t="s">
        <v>344</v>
      </c>
      <c r="D112" s="10" t="s">
        <v>72</v>
      </c>
      <c r="E112" s="10" t="s">
        <v>73</v>
      </c>
      <c r="F112" s="10" t="s">
        <v>360</v>
      </c>
      <c r="G112" s="10" t="s">
        <v>39</v>
      </c>
      <c r="H112" s="34">
        <v>1</v>
      </c>
      <c r="I112" s="28">
        <v>133</v>
      </c>
      <c r="J112" s="13">
        <v>6</v>
      </c>
      <c r="K112" s="13">
        <v>1</v>
      </c>
      <c r="L112" s="32">
        <f t="shared" si="8"/>
        <v>0.8571428571428571</v>
      </c>
      <c r="M112" s="13">
        <v>6</v>
      </c>
      <c r="N112" s="13">
        <v>3</v>
      </c>
      <c r="O112" s="32">
        <f t="shared" si="9"/>
        <v>0.66666666666666663</v>
      </c>
      <c r="P112" s="13"/>
      <c r="Q112" s="13"/>
      <c r="R112" s="32" t="e">
        <f t="shared" si="10"/>
        <v>#DIV/0!</v>
      </c>
      <c r="S112" s="13"/>
      <c r="T112" s="13"/>
      <c r="U112" s="32" t="e">
        <f t="shared" si="11"/>
        <v>#DIV/0!</v>
      </c>
      <c r="V112" s="13"/>
      <c r="W112" s="13"/>
      <c r="X112" s="16" t="e">
        <f t="shared" si="12"/>
        <v>#DIV/0!</v>
      </c>
      <c r="Y112" s="16">
        <f>COUNTA(J112:W112)/2</f>
        <v>4</v>
      </c>
      <c r="Z112" s="16">
        <f>J112+M112+P112+S112+V112</f>
        <v>12</v>
      </c>
      <c r="AA112" s="16">
        <f t="shared" si="13"/>
        <v>4</v>
      </c>
      <c r="AB112" s="16">
        <f t="shared" si="14"/>
        <v>16</v>
      </c>
      <c r="AC112" s="24">
        <f t="shared" si="15"/>
        <v>0.75</v>
      </c>
      <c r="AD112" s="10" t="s">
        <v>326</v>
      </c>
      <c r="AE112" s="10" t="s">
        <v>72</v>
      </c>
      <c r="AF112" s="10" t="s">
        <v>73</v>
      </c>
      <c r="AG112" s="16">
        <v>2</v>
      </c>
    </row>
    <row r="113" spans="1:33">
      <c r="A113" s="9" t="s">
        <v>359</v>
      </c>
      <c r="B113" s="10" t="s">
        <v>43</v>
      </c>
      <c r="C113" s="11" t="s">
        <v>358</v>
      </c>
      <c r="D113" s="11" t="s">
        <v>36</v>
      </c>
      <c r="E113" s="11" t="s">
        <v>37</v>
      </c>
      <c r="F113" s="11" t="s">
        <v>361</v>
      </c>
      <c r="G113" s="10" t="s">
        <v>39</v>
      </c>
      <c r="H113" s="35">
        <v>4</v>
      </c>
      <c r="I113" s="29">
        <v>89</v>
      </c>
      <c r="J113" s="13">
        <v>6</v>
      </c>
      <c r="K113" s="13">
        <v>4</v>
      </c>
      <c r="L113" s="32">
        <f t="shared" si="8"/>
        <v>0.6</v>
      </c>
      <c r="M113" s="13">
        <v>9</v>
      </c>
      <c r="N113" s="13">
        <v>7</v>
      </c>
      <c r="O113" s="32">
        <f t="shared" si="9"/>
        <v>0.5625</v>
      </c>
      <c r="P113" s="13">
        <v>6</v>
      </c>
      <c r="Q113" s="13">
        <v>2</v>
      </c>
      <c r="R113" s="32">
        <f t="shared" si="10"/>
        <v>0.75</v>
      </c>
      <c r="S113" s="13"/>
      <c r="T113" s="13"/>
      <c r="U113" s="32" t="e">
        <f t="shared" si="11"/>
        <v>#DIV/0!</v>
      </c>
      <c r="V113" s="13"/>
      <c r="W113" s="13"/>
      <c r="X113" s="16" t="e">
        <f t="shared" si="12"/>
        <v>#DIV/0!</v>
      </c>
      <c r="Y113" s="16">
        <f>COUNTA(J113:W113)/2</f>
        <v>5</v>
      </c>
      <c r="Z113" s="16">
        <f>J113+M113+P113+S113+V113</f>
        <v>21</v>
      </c>
      <c r="AA113" s="16">
        <f t="shared" si="13"/>
        <v>13</v>
      </c>
      <c r="AB113" s="16">
        <f t="shared" si="14"/>
        <v>34</v>
      </c>
      <c r="AC113" s="24">
        <f t="shared" si="15"/>
        <v>0.61764705882352944</v>
      </c>
      <c r="AD113" s="11" t="s">
        <v>362</v>
      </c>
      <c r="AE113" s="11" t="s">
        <v>72</v>
      </c>
      <c r="AF113" s="11" t="s">
        <v>73</v>
      </c>
      <c r="AG113" s="13">
        <v>12</v>
      </c>
    </row>
    <row r="114" spans="1:33">
      <c r="A114" s="9" t="s">
        <v>363</v>
      </c>
      <c r="B114" s="10" t="s">
        <v>34</v>
      </c>
      <c r="C114" s="11" t="s">
        <v>344</v>
      </c>
      <c r="D114" s="11" t="s">
        <v>72</v>
      </c>
      <c r="E114" s="11" t="s">
        <v>73</v>
      </c>
      <c r="F114" s="11" t="s">
        <v>231</v>
      </c>
      <c r="G114" s="10" t="s">
        <v>39</v>
      </c>
      <c r="H114" s="35">
        <v>2</v>
      </c>
      <c r="I114" s="29">
        <v>133</v>
      </c>
      <c r="J114" s="16">
        <v>6</v>
      </c>
      <c r="K114" s="16">
        <v>4</v>
      </c>
      <c r="L114" s="32">
        <f t="shared" si="8"/>
        <v>0.6</v>
      </c>
      <c r="M114" s="16">
        <v>6</v>
      </c>
      <c r="N114" s="16">
        <v>1</v>
      </c>
      <c r="O114" s="32">
        <f t="shared" si="9"/>
        <v>0.8571428571428571</v>
      </c>
      <c r="P114" s="16"/>
      <c r="Q114" s="16"/>
      <c r="R114" s="32" t="e">
        <f t="shared" si="10"/>
        <v>#DIV/0!</v>
      </c>
      <c r="S114" s="16"/>
      <c r="T114" s="16"/>
      <c r="U114" s="32" t="e">
        <f t="shared" si="11"/>
        <v>#DIV/0!</v>
      </c>
      <c r="V114" s="16"/>
      <c r="W114" s="16"/>
      <c r="X114" s="16" t="e">
        <f t="shared" si="12"/>
        <v>#DIV/0!</v>
      </c>
      <c r="Y114" s="16">
        <f>COUNTA(J114:W114)/2</f>
        <v>4</v>
      </c>
      <c r="Z114" s="16">
        <f>J114+M114+P114+S114+V114</f>
        <v>12</v>
      </c>
      <c r="AA114" s="16">
        <f t="shared" si="13"/>
        <v>5</v>
      </c>
      <c r="AB114" s="16">
        <f t="shared" si="14"/>
        <v>17</v>
      </c>
      <c r="AC114" s="24">
        <f t="shared" si="15"/>
        <v>0.70588235294117652</v>
      </c>
      <c r="AD114" s="11" t="s">
        <v>364</v>
      </c>
      <c r="AE114" s="11" t="s">
        <v>36</v>
      </c>
      <c r="AF114" s="11" t="s">
        <v>37</v>
      </c>
      <c r="AG114" s="13">
        <v>1</v>
      </c>
    </row>
    <row r="115" spans="1:33">
      <c r="A115" s="14" t="s">
        <v>363</v>
      </c>
      <c r="B115" s="10" t="s">
        <v>43</v>
      </c>
      <c r="C115" s="10" t="s">
        <v>365</v>
      </c>
      <c r="D115" s="10" t="s">
        <v>72</v>
      </c>
      <c r="E115" s="10" t="s">
        <v>73</v>
      </c>
      <c r="F115" s="10" t="s">
        <v>366</v>
      </c>
      <c r="G115" s="10" t="s">
        <v>39</v>
      </c>
      <c r="H115" s="34">
        <v>1</v>
      </c>
      <c r="I115" s="28">
        <v>89</v>
      </c>
      <c r="J115" s="16">
        <v>6</v>
      </c>
      <c r="K115" s="16">
        <v>3</v>
      </c>
      <c r="L115" s="32">
        <f t="shared" si="8"/>
        <v>0.66666666666666663</v>
      </c>
      <c r="M115" s="16">
        <v>6</v>
      </c>
      <c r="N115" s="16">
        <v>4</v>
      </c>
      <c r="O115" s="32">
        <f t="shared" si="9"/>
        <v>0.6</v>
      </c>
      <c r="P115" s="16">
        <v>7</v>
      </c>
      <c r="Q115" s="16">
        <v>5</v>
      </c>
      <c r="R115" s="32">
        <f t="shared" si="10"/>
        <v>0.58333333333333337</v>
      </c>
      <c r="S115" s="16"/>
      <c r="T115" s="16"/>
      <c r="U115" s="32" t="e">
        <f t="shared" si="11"/>
        <v>#DIV/0!</v>
      </c>
      <c r="V115" s="16"/>
      <c r="W115" s="16"/>
      <c r="X115" s="16" t="e">
        <f t="shared" si="12"/>
        <v>#DIV/0!</v>
      </c>
      <c r="Y115" s="16">
        <f>COUNTA(J115:W115)/2</f>
        <v>5</v>
      </c>
      <c r="Z115" s="16">
        <f>J115+M115+P115+S115+V115</f>
        <v>19</v>
      </c>
      <c r="AA115" s="16">
        <f t="shared" si="13"/>
        <v>12</v>
      </c>
      <c r="AB115" s="16">
        <f t="shared" si="14"/>
        <v>31</v>
      </c>
      <c r="AC115" s="24">
        <f t="shared" si="15"/>
        <v>0.61290322580645162</v>
      </c>
      <c r="AD115" s="10" t="s">
        <v>367</v>
      </c>
      <c r="AE115" s="10" t="s">
        <v>77</v>
      </c>
      <c r="AF115" s="10" t="s">
        <v>78</v>
      </c>
      <c r="AG115" s="16">
        <v>9</v>
      </c>
    </row>
    <row r="116" spans="1:33">
      <c r="A116" s="14" t="s">
        <v>368</v>
      </c>
      <c r="B116" s="10" t="s">
        <v>34</v>
      </c>
      <c r="C116" s="10" t="s">
        <v>364</v>
      </c>
      <c r="D116" s="10" t="s">
        <v>36</v>
      </c>
      <c r="E116" s="18" t="s">
        <v>37</v>
      </c>
      <c r="F116" s="10" t="s">
        <v>170</v>
      </c>
      <c r="G116" s="10" t="s">
        <v>39</v>
      </c>
      <c r="H116" s="34">
        <v>1</v>
      </c>
      <c r="I116" s="28">
        <v>133</v>
      </c>
      <c r="J116" s="13">
        <v>6</v>
      </c>
      <c r="K116" s="13">
        <v>1</v>
      </c>
      <c r="L116" s="32">
        <f t="shared" si="8"/>
        <v>0.8571428571428571</v>
      </c>
      <c r="M116" s="13">
        <v>6</v>
      </c>
      <c r="N116" s="13">
        <v>2</v>
      </c>
      <c r="O116" s="32">
        <f t="shared" si="9"/>
        <v>0.75</v>
      </c>
      <c r="P116" s="13"/>
      <c r="Q116" s="13"/>
      <c r="R116" s="32" t="e">
        <f t="shared" si="10"/>
        <v>#DIV/0!</v>
      </c>
      <c r="S116" s="13"/>
      <c r="T116" s="13"/>
      <c r="U116" s="32" t="e">
        <f t="shared" si="11"/>
        <v>#DIV/0!</v>
      </c>
      <c r="V116" s="13"/>
      <c r="W116" s="13"/>
      <c r="X116" s="16" t="e">
        <f t="shared" si="12"/>
        <v>#DIV/0!</v>
      </c>
      <c r="Y116" s="16">
        <f>COUNTA(J116:W116)/2</f>
        <v>4</v>
      </c>
      <c r="Z116" s="16">
        <f>J116+M116+P116+S116+V116</f>
        <v>12</v>
      </c>
      <c r="AA116" s="16">
        <f t="shared" si="13"/>
        <v>3</v>
      </c>
      <c r="AB116" s="16">
        <f t="shared" si="14"/>
        <v>15</v>
      </c>
      <c r="AC116" s="24">
        <f t="shared" si="15"/>
        <v>0.8</v>
      </c>
      <c r="AD116" s="10" t="s">
        <v>344</v>
      </c>
      <c r="AE116" s="10" t="s">
        <v>72</v>
      </c>
      <c r="AF116" s="10" t="s">
        <v>73</v>
      </c>
      <c r="AG116" s="16">
        <v>7</v>
      </c>
    </row>
    <row r="117" spans="1:33">
      <c r="A117" s="9" t="s">
        <v>368</v>
      </c>
      <c r="B117" s="10" t="s">
        <v>43</v>
      </c>
      <c r="C117" s="11" t="s">
        <v>369</v>
      </c>
      <c r="D117" s="11" t="s">
        <v>72</v>
      </c>
      <c r="E117" s="11" t="s">
        <v>73</v>
      </c>
      <c r="F117" s="11" t="s">
        <v>370</v>
      </c>
      <c r="G117" s="10" t="s">
        <v>39</v>
      </c>
      <c r="H117" s="35">
        <v>1</v>
      </c>
      <c r="I117" s="29">
        <v>89</v>
      </c>
      <c r="J117" s="13">
        <v>7</v>
      </c>
      <c r="K117" s="13">
        <v>5</v>
      </c>
      <c r="L117" s="32">
        <f t="shared" si="8"/>
        <v>0.58333333333333337</v>
      </c>
      <c r="M117" s="13">
        <v>2</v>
      </c>
      <c r="N117" s="13">
        <v>6</v>
      </c>
      <c r="O117" s="32">
        <f t="shared" si="9"/>
        <v>0.25</v>
      </c>
      <c r="P117" s="13">
        <v>9</v>
      </c>
      <c r="Q117" s="13">
        <v>7</v>
      </c>
      <c r="R117" s="32">
        <f t="shared" si="10"/>
        <v>0.5625</v>
      </c>
      <c r="S117" s="13">
        <v>6</v>
      </c>
      <c r="T117" s="13">
        <v>4</v>
      </c>
      <c r="U117" s="32">
        <f t="shared" si="11"/>
        <v>0.6</v>
      </c>
      <c r="V117" s="13"/>
      <c r="W117" s="13"/>
      <c r="X117" s="16" t="e">
        <f t="shared" si="12"/>
        <v>#DIV/0!</v>
      </c>
      <c r="Y117" s="16">
        <f>COUNTA(J117:W117)/2</f>
        <v>6</v>
      </c>
      <c r="Z117" s="16">
        <f>J117+M117+P117+S117+V117</f>
        <v>24</v>
      </c>
      <c r="AA117" s="16">
        <f t="shared" si="13"/>
        <v>22</v>
      </c>
      <c r="AB117" s="16">
        <f t="shared" si="14"/>
        <v>46</v>
      </c>
      <c r="AC117" s="24">
        <f t="shared" si="15"/>
        <v>0.52173913043478259</v>
      </c>
      <c r="AD117" s="11" t="s">
        <v>371</v>
      </c>
      <c r="AE117" s="11" t="s">
        <v>77</v>
      </c>
      <c r="AF117" s="11" t="s">
        <v>78</v>
      </c>
      <c r="AG117" s="13">
        <v>2</v>
      </c>
    </row>
    <row r="118" spans="1:33">
      <c r="A118" s="9" t="s">
        <v>372</v>
      </c>
      <c r="B118" s="10" t="s">
        <v>34</v>
      </c>
      <c r="C118" s="11" t="s">
        <v>373</v>
      </c>
      <c r="D118" s="11" t="s">
        <v>36</v>
      </c>
      <c r="E118" s="11" t="s">
        <v>37</v>
      </c>
      <c r="F118" s="11" t="s">
        <v>374</v>
      </c>
      <c r="G118" s="10" t="s">
        <v>39</v>
      </c>
      <c r="H118" s="35">
        <v>1</v>
      </c>
      <c r="I118" s="29">
        <v>177</v>
      </c>
      <c r="J118" s="16">
        <v>6</v>
      </c>
      <c r="K118" s="16">
        <v>1</v>
      </c>
      <c r="L118" s="32">
        <f t="shared" si="8"/>
        <v>0.8571428571428571</v>
      </c>
      <c r="M118" s="16">
        <v>6</v>
      </c>
      <c r="N118" s="16">
        <v>4</v>
      </c>
      <c r="O118" s="32">
        <f t="shared" si="9"/>
        <v>0.6</v>
      </c>
      <c r="P118" s="16"/>
      <c r="Q118" s="16"/>
      <c r="R118" s="32" t="e">
        <f t="shared" si="10"/>
        <v>#DIV/0!</v>
      </c>
      <c r="S118" s="16"/>
      <c r="T118" s="16"/>
      <c r="U118" s="32" t="e">
        <f t="shared" si="11"/>
        <v>#DIV/0!</v>
      </c>
      <c r="V118" s="16"/>
      <c r="W118" s="16"/>
      <c r="X118" s="16" t="e">
        <f t="shared" si="12"/>
        <v>#DIV/0!</v>
      </c>
      <c r="Y118" s="16">
        <f>COUNTA(J118:W118)/2</f>
        <v>4</v>
      </c>
      <c r="Z118" s="16">
        <f>J118+M118+P118+S118+V118</f>
        <v>12</v>
      </c>
      <c r="AA118" s="16">
        <f t="shared" si="13"/>
        <v>5</v>
      </c>
      <c r="AB118" s="16">
        <f t="shared" si="14"/>
        <v>17</v>
      </c>
      <c r="AC118" s="24">
        <f t="shared" si="15"/>
        <v>0.70588235294117652</v>
      </c>
      <c r="AD118" s="11" t="s">
        <v>375</v>
      </c>
      <c r="AE118" s="11" t="s">
        <v>72</v>
      </c>
      <c r="AF118" s="11" t="s">
        <v>73</v>
      </c>
      <c r="AG118" s="13">
        <v>2</v>
      </c>
    </row>
    <row r="119" spans="1:33">
      <c r="A119" s="14" t="s">
        <v>372</v>
      </c>
      <c r="B119" s="10" t="s">
        <v>43</v>
      </c>
      <c r="C119" s="10" t="s">
        <v>376</v>
      </c>
      <c r="D119" s="10" t="s">
        <v>72</v>
      </c>
      <c r="E119" s="10" t="s">
        <v>73</v>
      </c>
      <c r="F119" s="10" t="s">
        <v>377</v>
      </c>
      <c r="G119" s="10" t="s">
        <v>39</v>
      </c>
      <c r="H119" s="34">
        <v>1</v>
      </c>
      <c r="I119" s="28">
        <v>89</v>
      </c>
      <c r="J119" s="16">
        <v>6</v>
      </c>
      <c r="K119" s="16">
        <v>4</v>
      </c>
      <c r="L119" s="32">
        <f t="shared" si="8"/>
        <v>0.6</v>
      </c>
      <c r="M119" s="16">
        <v>6</v>
      </c>
      <c r="N119" s="16">
        <v>1</v>
      </c>
      <c r="O119" s="32">
        <f t="shared" si="9"/>
        <v>0.8571428571428571</v>
      </c>
      <c r="P119" s="16">
        <v>6</v>
      </c>
      <c r="Q119" s="16">
        <v>4</v>
      </c>
      <c r="R119" s="32">
        <f t="shared" si="10"/>
        <v>0.6</v>
      </c>
      <c r="S119" s="16"/>
      <c r="T119" s="16"/>
      <c r="U119" s="32" t="e">
        <f t="shared" si="11"/>
        <v>#DIV/0!</v>
      </c>
      <c r="V119" s="16"/>
      <c r="W119" s="16"/>
      <c r="X119" s="16" t="e">
        <f t="shared" si="12"/>
        <v>#DIV/0!</v>
      </c>
      <c r="Y119" s="16">
        <f>COUNTA(J119:W119)/2</f>
        <v>5</v>
      </c>
      <c r="Z119" s="16">
        <f>J119+M119+P119+S119+V119</f>
        <v>18</v>
      </c>
      <c r="AA119" s="16">
        <f t="shared" si="13"/>
        <v>9</v>
      </c>
      <c r="AB119" s="16">
        <f t="shared" si="14"/>
        <v>27</v>
      </c>
      <c r="AC119" s="24">
        <f t="shared" si="15"/>
        <v>0.66666666666666663</v>
      </c>
      <c r="AD119" s="10" t="s">
        <v>358</v>
      </c>
      <c r="AE119" s="10" t="s">
        <v>36</v>
      </c>
      <c r="AF119" s="10" t="s">
        <v>37</v>
      </c>
      <c r="AG119" s="16">
        <v>2</v>
      </c>
    </row>
    <row r="120" spans="1:33">
      <c r="A120" s="14" t="s">
        <v>378</v>
      </c>
      <c r="B120" s="10" t="s">
        <v>34</v>
      </c>
      <c r="C120" s="10" t="s">
        <v>344</v>
      </c>
      <c r="D120" s="10" t="s">
        <v>72</v>
      </c>
      <c r="E120" s="10" t="s">
        <v>73</v>
      </c>
      <c r="F120" s="10" t="s">
        <v>379</v>
      </c>
      <c r="G120" s="10" t="s">
        <v>178</v>
      </c>
      <c r="H120" s="34">
        <v>1</v>
      </c>
      <c r="I120" s="28" t="s">
        <v>179</v>
      </c>
      <c r="J120" s="13"/>
      <c r="K120" s="13"/>
      <c r="L120" s="32" t="e">
        <f t="shared" si="8"/>
        <v>#DIV/0!</v>
      </c>
      <c r="M120" s="13"/>
      <c r="N120" s="13"/>
      <c r="O120" s="32" t="e">
        <f t="shared" si="9"/>
        <v>#DIV/0!</v>
      </c>
      <c r="P120" s="13"/>
      <c r="Q120" s="13"/>
      <c r="R120" s="32" t="e">
        <f t="shared" si="10"/>
        <v>#DIV/0!</v>
      </c>
      <c r="S120" s="13"/>
      <c r="T120" s="13"/>
      <c r="U120" s="32" t="e">
        <f t="shared" si="11"/>
        <v>#DIV/0!</v>
      </c>
      <c r="V120" s="13"/>
      <c r="W120" s="13"/>
      <c r="X120" s="16" t="e">
        <f t="shared" si="12"/>
        <v>#DIV/0!</v>
      </c>
      <c r="Y120" s="16">
        <f>COUNTA(J120:W120)/2</f>
        <v>2</v>
      </c>
      <c r="Z120" s="16">
        <f>J120+M120+P120+S120+V120</f>
        <v>0</v>
      </c>
      <c r="AA120" s="16">
        <f t="shared" si="13"/>
        <v>0</v>
      </c>
      <c r="AB120" s="16">
        <f t="shared" si="14"/>
        <v>0</v>
      </c>
      <c r="AC120" s="24" t="s">
        <v>179</v>
      </c>
      <c r="AD120" s="10" t="s">
        <v>373</v>
      </c>
      <c r="AE120" s="10" t="s">
        <v>36</v>
      </c>
      <c r="AF120" s="10" t="s">
        <v>37</v>
      </c>
      <c r="AG120" s="16">
        <v>2</v>
      </c>
    </row>
    <row r="121" spans="1:33">
      <c r="A121" s="9" t="s">
        <v>378</v>
      </c>
      <c r="B121" s="10" t="s">
        <v>43</v>
      </c>
      <c r="C121" s="11" t="s">
        <v>376</v>
      </c>
      <c r="D121" s="11" t="s">
        <v>72</v>
      </c>
      <c r="E121" s="11" t="s">
        <v>73</v>
      </c>
      <c r="F121" s="11" t="s">
        <v>380</v>
      </c>
      <c r="G121" s="11" t="s">
        <v>39</v>
      </c>
      <c r="H121" s="35">
        <v>1</v>
      </c>
      <c r="I121" s="29">
        <v>44</v>
      </c>
      <c r="J121" s="13">
        <v>6</v>
      </c>
      <c r="K121" s="13">
        <v>4</v>
      </c>
      <c r="L121" s="32">
        <f t="shared" si="8"/>
        <v>0.6</v>
      </c>
      <c r="M121" s="13">
        <v>6</v>
      </c>
      <c r="N121" s="13">
        <v>8</v>
      </c>
      <c r="O121" s="32">
        <f t="shared" si="9"/>
        <v>0.42857142857142855</v>
      </c>
      <c r="P121" s="13">
        <v>6</v>
      </c>
      <c r="Q121" s="13">
        <v>2</v>
      </c>
      <c r="R121" s="32">
        <f t="shared" si="10"/>
        <v>0.75</v>
      </c>
      <c r="S121" s="13">
        <v>6</v>
      </c>
      <c r="T121" s="13">
        <v>3</v>
      </c>
      <c r="U121" s="32">
        <f t="shared" si="11"/>
        <v>0.66666666666666663</v>
      </c>
      <c r="V121" s="13"/>
      <c r="W121" s="13"/>
      <c r="X121" s="16" t="e">
        <f t="shared" si="12"/>
        <v>#DIV/0!</v>
      </c>
      <c r="Y121" s="16">
        <f>COUNTA(J121:W121)/2</f>
        <v>6</v>
      </c>
      <c r="Z121" s="16">
        <f>J121+M121+P121+S121+V121</f>
        <v>24</v>
      </c>
      <c r="AA121" s="16">
        <f t="shared" si="13"/>
        <v>17</v>
      </c>
      <c r="AB121" s="16">
        <f t="shared" si="14"/>
        <v>41</v>
      </c>
      <c r="AC121" s="24">
        <f t="shared" si="15"/>
        <v>0.58536585365853655</v>
      </c>
      <c r="AD121" s="11" t="s">
        <v>358</v>
      </c>
      <c r="AE121" s="11" t="s">
        <v>36</v>
      </c>
      <c r="AF121" s="11" t="s">
        <v>37</v>
      </c>
      <c r="AG121" s="13">
        <v>2</v>
      </c>
    </row>
    <row r="122" spans="1:33">
      <c r="A122" s="9" t="s">
        <v>381</v>
      </c>
      <c r="B122" s="10" t="s">
        <v>34</v>
      </c>
      <c r="C122" s="11" t="s">
        <v>344</v>
      </c>
      <c r="D122" s="11" t="s">
        <v>72</v>
      </c>
      <c r="E122" s="11" t="s">
        <v>73</v>
      </c>
      <c r="F122" s="11" t="s">
        <v>382</v>
      </c>
      <c r="G122" s="11" t="s">
        <v>178</v>
      </c>
      <c r="H122" s="35">
        <v>1</v>
      </c>
      <c r="I122" s="29" t="s">
        <v>179</v>
      </c>
      <c r="J122" s="16">
        <v>5</v>
      </c>
      <c r="K122" s="16">
        <v>7</v>
      </c>
      <c r="L122" s="32">
        <f t="shared" si="8"/>
        <v>0.41666666666666669</v>
      </c>
      <c r="M122" s="16">
        <v>6</v>
      </c>
      <c r="N122" s="16">
        <v>4</v>
      </c>
      <c r="O122" s="32">
        <f t="shared" si="9"/>
        <v>0.6</v>
      </c>
      <c r="P122" s="16">
        <v>5</v>
      </c>
      <c r="Q122" s="16">
        <v>2</v>
      </c>
      <c r="R122" s="32">
        <f t="shared" si="10"/>
        <v>0.7142857142857143</v>
      </c>
      <c r="S122" s="16"/>
      <c r="T122" s="16"/>
      <c r="U122" s="32" t="e">
        <f t="shared" si="11"/>
        <v>#DIV/0!</v>
      </c>
      <c r="V122" s="16"/>
      <c r="W122" s="16"/>
      <c r="X122" s="16" t="e">
        <f t="shared" si="12"/>
        <v>#DIV/0!</v>
      </c>
      <c r="Y122" s="16">
        <f>COUNTA(J122:W122)/2</f>
        <v>5</v>
      </c>
      <c r="Z122" s="16">
        <f>J122+M122+P122+S122+V122</f>
        <v>16</v>
      </c>
      <c r="AA122" s="16">
        <f t="shared" si="13"/>
        <v>13</v>
      </c>
      <c r="AB122" s="16">
        <f t="shared" si="14"/>
        <v>29</v>
      </c>
      <c r="AC122" s="24">
        <f t="shared" si="15"/>
        <v>0.55172413793103448</v>
      </c>
      <c r="AD122" s="11" t="s">
        <v>383</v>
      </c>
      <c r="AE122" s="11" t="s">
        <v>384</v>
      </c>
      <c r="AF122" s="11" t="s">
        <v>385</v>
      </c>
      <c r="AG122" s="13">
        <v>2</v>
      </c>
    </row>
    <row r="123" spans="1:33">
      <c r="A123" s="14" t="s">
        <v>381</v>
      </c>
      <c r="B123" s="10" t="s">
        <v>43</v>
      </c>
      <c r="C123" s="10" t="s">
        <v>376</v>
      </c>
      <c r="D123" s="10" t="s">
        <v>72</v>
      </c>
      <c r="E123" s="10" t="s">
        <v>73</v>
      </c>
      <c r="F123" s="10" t="s">
        <v>386</v>
      </c>
      <c r="G123" s="10" t="s">
        <v>39</v>
      </c>
      <c r="H123" s="34">
        <v>1</v>
      </c>
      <c r="I123" s="28">
        <v>177</v>
      </c>
      <c r="J123" s="16">
        <v>7</v>
      </c>
      <c r="K123" s="16">
        <v>9</v>
      </c>
      <c r="L123" s="32">
        <f t="shared" si="8"/>
        <v>0.4375</v>
      </c>
      <c r="M123" s="16">
        <v>2</v>
      </c>
      <c r="N123" s="16">
        <v>6</v>
      </c>
      <c r="O123" s="32">
        <f t="shared" si="9"/>
        <v>0.25</v>
      </c>
      <c r="P123" s="16">
        <v>6</v>
      </c>
      <c r="Q123" s="16">
        <v>4</v>
      </c>
      <c r="R123" s="32">
        <f t="shared" si="10"/>
        <v>0.6</v>
      </c>
      <c r="S123" s="16">
        <v>7</v>
      </c>
      <c r="T123" s="16">
        <v>5</v>
      </c>
      <c r="U123" s="32">
        <f t="shared" si="11"/>
        <v>0.58333333333333337</v>
      </c>
      <c r="V123" s="16">
        <v>6</v>
      </c>
      <c r="W123" s="16">
        <v>1</v>
      </c>
      <c r="X123" s="16">
        <f t="shared" si="12"/>
        <v>0.8571428571428571</v>
      </c>
      <c r="Y123" s="16">
        <f>COUNTA(J123:W123)/2</f>
        <v>7</v>
      </c>
      <c r="Z123" s="16">
        <f>J123+M123+P123+S123+V123</f>
        <v>28</v>
      </c>
      <c r="AA123" s="16">
        <f t="shared" si="13"/>
        <v>25</v>
      </c>
      <c r="AB123" s="16">
        <f t="shared" si="14"/>
        <v>53</v>
      </c>
      <c r="AC123" s="24">
        <f t="shared" si="15"/>
        <v>0.52830188679245282</v>
      </c>
      <c r="AD123" s="10" t="s">
        <v>387</v>
      </c>
      <c r="AE123" s="10" t="s">
        <v>72</v>
      </c>
      <c r="AF123" s="10" t="s">
        <v>73</v>
      </c>
      <c r="AG123" s="16">
        <v>2</v>
      </c>
    </row>
    <row r="124" spans="1:33">
      <c r="A124" s="14" t="s">
        <v>388</v>
      </c>
      <c r="B124" s="10" t="s">
        <v>34</v>
      </c>
      <c r="C124" s="10" t="s">
        <v>344</v>
      </c>
      <c r="D124" s="10" t="s">
        <v>72</v>
      </c>
      <c r="E124" s="10" t="s">
        <v>73</v>
      </c>
      <c r="F124" s="10" t="s">
        <v>237</v>
      </c>
      <c r="G124" s="10" t="s">
        <v>39</v>
      </c>
      <c r="H124" s="34">
        <v>1</v>
      </c>
      <c r="I124" s="28">
        <v>222</v>
      </c>
      <c r="J124" s="13">
        <v>6</v>
      </c>
      <c r="K124" s="13">
        <v>3</v>
      </c>
      <c r="L124" s="32">
        <f t="shared" si="8"/>
        <v>0.66666666666666663</v>
      </c>
      <c r="M124" s="13">
        <v>6</v>
      </c>
      <c r="N124" s="13">
        <v>2</v>
      </c>
      <c r="O124" s="32">
        <f t="shared" si="9"/>
        <v>0.75</v>
      </c>
      <c r="P124" s="13"/>
      <c r="Q124" s="13"/>
      <c r="R124" s="32" t="e">
        <f t="shared" si="10"/>
        <v>#DIV/0!</v>
      </c>
      <c r="S124" s="13"/>
      <c r="T124" s="13"/>
      <c r="U124" s="32" t="e">
        <f t="shared" si="11"/>
        <v>#DIV/0!</v>
      </c>
      <c r="V124" s="13"/>
      <c r="W124" s="13"/>
      <c r="X124" s="16" t="e">
        <f t="shared" si="12"/>
        <v>#DIV/0!</v>
      </c>
      <c r="Y124" s="16">
        <f>COUNTA(J124:W124)/2</f>
        <v>4</v>
      </c>
      <c r="Z124" s="16">
        <f>J124+M124+P124+S124+V124</f>
        <v>12</v>
      </c>
      <c r="AA124" s="16">
        <f t="shared" si="13"/>
        <v>5</v>
      </c>
      <c r="AB124" s="16">
        <f t="shared" si="14"/>
        <v>17</v>
      </c>
      <c r="AC124" s="24">
        <f t="shared" si="15"/>
        <v>0.70588235294117652</v>
      </c>
      <c r="AD124" s="10" t="s">
        <v>375</v>
      </c>
      <c r="AE124" s="10" t="s">
        <v>72</v>
      </c>
      <c r="AF124" s="10" t="s">
        <v>73</v>
      </c>
      <c r="AG124" s="16">
        <v>2</v>
      </c>
    </row>
    <row r="125" spans="1:33">
      <c r="A125" s="9" t="s">
        <v>388</v>
      </c>
      <c r="B125" s="10" t="s">
        <v>43</v>
      </c>
      <c r="C125" s="11" t="s">
        <v>376</v>
      </c>
      <c r="D125" s="11" t="s">
        <v>72</v>
      </c>
      <c r="E125" s="11" t="s">
        <v>73</v>
      </c>
      <c r="F125" s="11" t="s">
        <v>389</v>
      </c>
      <c r="G125" s="10" t="s">
        <v>39</v>
      </c>
      <c r="H125" s="35">
        <v>1</v>
      </c>
      <c r="I125" s="29">
        <v>89</v>
      </c>
      <c r="J125" s="13">
        <v>6</v>
      </c>
      <c r="K125" s="13">
        <v>3</v>
      </c>
      <c r="L125" s="32">
        <f t="shared" si="8"/>
        <v>0.66666666666666663</v>
      </c>
      <c r="M125" s="13">
        <v>6</v>
      </c>
      <c r="N125" s="13">
        <v>4</v>
      </c>
      <c r="O125" s="32">
        <f t="shared" si="9"/>
        <v>0.6</v>
      </c>
      <c r="P125" s="13">
        <v>6</v>
      </c>
      <c r="Q125" s="13">
        <v>2</v>
      </c>
      <c r="R125" s="32">
        <f t="shared" si="10"/>
        <v>0.75</v>
      </c>
      <c r="S125" s="13"/>
      <c r="T125" s="13"/>
      <c r="U125" s="32" t="e">
        <f t="shared" si="11"/>
        <v>#DIV/0!</v>
      </c>
      <c r="V125" s="13"/>
      <c r="W125" s="13"/>
      <c r="X125" s="16" t="e">
        <f t="shared" si="12"/>
        <v>#DIV/0!</v>
      </c>
      <c r="Y125" s="16">
        <f>COUNTA(J125:W125)/2</f>
        <v>5</v>
      </c>
      <c r="Z125" s="16">
        <f>J125+M125+P125+S125+V125</f>
        <v>18</v>
      </c>
      <c r="AA125" s="16">
        <f t="shared" si="13"/>
        <v>9</v>
      </c>
      <c r="AB125" s="16">
        <f t="shared" si="14"/>
        <v>27</v>
      </c>
      <c r="AC125" s="24">
        <f t="shared" si="15"/>
        <v>0.66666666666666663</v>
      </c>
      <c r="AD125" s="11" t="s">
        <v>387</v>
      </c>
      <c r="AE125" s="11" t="s">
        <v>72</v>
      </c>
      <c r="AF125" s="11" t="s">
        <v>73</v>
      </c>
      <c r="AG125" s="13">
        <v>2</v>
      </c>
    </row>
    <row r="126" spans="1:33">
      <c r="A126" s="9" t="s">
        <v>390</v>
      </c>
      <c r="B126" s="10" t="s">
        <v>34</v>
      </c>
      <c r="C126" s="11" t="s">
        <v>344</v>
      </c>
      <c r="D126" s="11" t="s">
        <v>72</v>
      </c>
      <c r="E126" s="11" t="s">
        <v>73</v>
      </c>
      <c r="F126" s="11" t="s">
        <v>224</v>
      </c>
      <c r="G126" s="10" t="s">
        <v>39</v>
      </c>
      <c r="H126" s="35">
        <v>1</v>
      </c>
      <c r="I126" s="29">
        <v>133</v>
      </c>
      <c r="J126" s="16">
        <v>6</v>
      </c>
      <c r="K126" s="16">
        <v>2</v>
      </c>
      <c r="L126" s="32">
        <f t="shared" si="8"/>
        <v>0.75</v>
      </c>
      <c r="M126" s="16">
        <v>6</v>
      </c>
      <c r="N126" s="16">
        <v>2</v>
      </c>
      <c r="O126" s="32">
        <f t="shared" si="9"/>
        <v>0.75</v>
      </c>
      <c r="P126" s="16"/>
      <c r="Q126" s="16"/>
      <c r="R126" s="32" t="e">
        <f t="shared" si="10"/>
        <v>#DIV/0!</v>
      </c>
      <c r="S126" s="16"/>
      <c r="T126" s="16"/>
      <c r="U126" s="32" t="e">
        <f t="shared" si="11"/>
        <v>#DIV/0!</v>
      </c>
      <c r="V126" s="16"/>
      <c r="W126" s="16"/>
      <c r="X126" s="16" t="e">
        <f t="shared" si="12"/>
        <v>#DIV/0!</v>
      </c>
      <c r="Y126" s="16">
        <f>COUNTA(J126:W126)/2</f>
        <v>4</v>
      </c>
      <c r="Z126" s="16">
        <f>J126+M126+P126+S126+V126</f>
        <v>12</v>
      </c>
      <c r="AA126" s="16">
        <f t="shared" si="13"/>
        <v>4</v>
      </c>
      <c r="AB126" s="16">
        <f t="shared" si="14"/>
        <v>16</v>
      </c>
      <c r="AC126" s="24">
        <f t="shared" si="15"/>
        <v>0.75</v>
      </c>
      <c r="AD126" s="11" t="s">
        <v>391</v>
      </c>
      <c r="AE126" s="11" t="s">
        <v>72</v>
      </c>
      <c r="AF126" s="11" t="s">
        <v>73</v>
      </c>
      <c r="AG126" s="13">
        <v>3</v>
      </c>
    </row>
    <row r="127" spans="1:33">
      <c r="A127" s="14" t="s">
        <v>390</v>
      </c>
      <c r="B127" s="10" t="s">
        <v>43</v>
      </c>
      <c r="C127" s="10" t="s">
        <v>376</v>
      </c>
      <c r="D127" s="10" t="s">
        <v>72</v>
      </c>
      <c r="E127" s="10" t="s">
        <v>73</v>
      </c>
      <c r="F127" s="10" t="s">
        <v>392</v>
      </c>
      <c r="G127" s="10" t="s">
        <v>39</v>
      </c>
      <c r="H127" s="34">
        <v>1</v>
      </c>
      <c r="I127" s="28">
        <v>89</v>
      </c>
      <c r="J127" s="16">
        <v>6</v>
      </c>
      <c r="K127" s="16">
        <v>3</v>
      </c>
      <c r="L127" s="32">
        <f t="shared" si="8"/>
        <v>0.66666666666666663</v>
      </c>
      <c r="M127" s="16">
        <v>6</v>
      </c>
      <c r="N127" s="16">
        <v>3</v>
      </c>
      <c r="O127" s="32">
        <f t="shared" si="9"/>
        <v>0.66666666666666663</v>
      </c>
      <c r="P127" s="16">
        <v>6</v>
      </c>
      <c r="Q127" s="16">
        <v>1</v>
      </c>
      <c r="R127" s="32">
        <f t="shared" si="10"/>
        <v>0.8571428571428571</v>
      </c>
      <c r="S127" s="16"/>
      <c r="T127" s="16"/>
      <c r="U127" s="32" t="e">
        <f t="shared" si="11"/>
        <v>#DIV/0!</v>
      </c>
      <c r="V127" s="16"/>
      <c r="W127" s="16"/>
      <c r="X127" s="16" t="e">
        <f t="shared" si="12"/>
        <v>#DIV/0!</v>
      </c>
      <c r="Y127" s="16">
        <f>COUNTA(J127:W127)/2</f>
        <v>5</v>
      </c>
      <c r="Z127" s="16">
        <f>J127+M127+P127+S127+V127</f>
        <v>18</v>
      </c>
      <c r="AA127" s="16">
        <f t="shared" si="13"/>
        <v>7</v>
      </c>
      <c r="AB127" s="16">
        <f t="shared" si="14"/>
        <v>25</v>
      </c>
      <c r="AC127" s="24">
        <f t="shared" si="15"/>
        <v>0.72</v>
      </c>
      <c r="AD127" s="10" t="s">
        <v>393</v>
      </c>
      <c r="AE127" s="10" t="s">
        <v>72</v>
      </c>
      <c r="AF127" s="10" t="s">
        <v>73</v>
      </c>
      <c r="AG127" s="16">
        <v>2</v>
      </c>
    </row>
    <row r="128" spans="1:33">
      <c r="A128" s="14" t="s">
        <v>394</v>
      </c>
      <c r="B128" s="10" t="s">
        <v>34</v>
      </c>
      <c r="C128" s="10" t="s">
        <v>344</v>
      </c>
      <c r="D128" s="10" t="s">
        <v>72</v>
      </c>
      <c r="E128" s="10" t="s">
        <v>73</v>
      </c>
      <c r="F128" s="10" t="s">
        <v>242</v>
      </c>
      <c r="G128" s="10" t="s">
        <v>39</v>
      </c>
      <c r="H128" s="34">
        <v>1</v>
      </c>
      <c r="I128" s="28">
        <v>133</v>
      </c>
      <c r="J128" s="13">
        <v>6</v>
      </c>
      <c r="K128" s="13">
        <v>0</v>
      </c>
      <c r="L128" s="32">
        <f t="shared" si="8"/>
        <v>1</v>
      </c>
      <c r="M128" s="13">
        <v>6</v>
      </c>
      <c r="N128" s="13">
        <v>2</v>
      </c>
      <c r="O128" s="32">
        <f t="shared" si="9"/>
        <v>0.75</v>
      </c>
      <c r="P128" s="13"/>
      <c r="Q128" s="13"/>
      <c r="R128" s="32" t="e">
        <f t="shared" si="10"/>
        <v>#DIV/0!</v>
      </c>
      <c r="S128" s="13"/>
      <c r="T128" s="13"/>
      <c r="U128" s="32" t="e">
        <f t="shared" si="11"/>
        <v>#DIV/0!</v>
      </c>
      <c r="V128" s="13"/>
      <c r="W128" s="13"/>
      <c r="X128" s="16" t="e">
        <f t="shared" si="12"/>
        <v>#DIV/0!</v>
      </c>
      <c r="Y128" s="16">
        <f>COUNTA(J128:W128)/2</f>
        <v>4</v>
      </c>
      <c r="Z128" s="16">
        <f>J128+M128+P128+S128+V128</f>
        <v>12</v>
      </c>
      <c r="AA128" s="16">
        <f t="shared" si="13"/>
        <v>2</v>
      </c>
      <c r="AB128" s="16">
        <f t="shared" si="14"/>
        <v>14</v>
      </c>
      <c r="AC128" s="24">
        <f t="shared" si="15"/>
        <v>0.8571428571428571</v>
      </c>
      <c r="AD128" s="10" t="s">
        <v>391</v>
      </c>
      <c r="AE128" s="10" t="s">
        <v>72</v>
      </c>
      <c r="AF128" s="10" t="s">
        <v>73</v>
      </c>
      <c r="AG128" s="16">
        <v>5</v>
      </c>
    </row>
    <row r="129" spans="1:33">
      <c r="A129" s="9" t="s">
        <v>394</v>
      </c>
      <c r="B129" s="10" t="s">
        <v>43</v>
      </c>
      <c r="C129" s="11" t="s">
        <v>365</v>
      </c>
      <c r="D129" s="11" t="s">
        <v>72</v>
      </c>
      <c r="E129" s="11" t="s">
        <v>73</v>
      </c>
      <c r="F129" s="11" t="s">
        <v>395</v>
      </c>
      <c r="G129" s="10" t="s">
        <v>39</v>
      </c>
      <c r="H129" s="35">
        <v>1</v>
      </c>
      <c r="I129" s="29">
        <v>89</v>
      </c>
      <c r="J129" s="13">
        <v>8</v>
      </c>
      <c r="K129" s="13">
        <v>6</v>
      </c>
      <c r="L129" s="32">
        <f t="shared" si="8"/>
        <v>0.5714285714285714</v>
      </c>
      <c r="M129" s="13">
        <v>0</v>
      </c>
      <c r="N129" s="13">
        <v>6</v>
      </c>
      <c r="O129" s="32">
        <f t="shared" si="9"/>
        <v>0</v>
      </c>
      <c r="P129" s="13">
        <v>6</v>
      </c>
      <c r="Q129" s="13">
        <v>4</v>
      </c>
      <c r="R129" s="32">
        <f t="shared" si="10"/>
        <v>0.6</v>
      </c>
      <c r="S129" s="13">
        <v>6</v>
      </c>
      <c r="T129" s="13">
        <v>4</v>
      </c>
      <c r="U129" s="32">
        <f t="shared" si="11"/>
        <v>0.6</v>
      </c>
      <c r="V129" s="13"/>
      <c r="W129" s="13"/>
      <c r="X129" s="16" t="e">
        <f t="shared" si="12"/>
        <v>#DIV/0!</v>
      </c>
      <c r="Y129" s="16">
        <f>COUNTA(J129:W129)/2</f>
        <v>6</v>
      </c>
      <c r="Z129" s="16">
        <f>J129+M129+P129+S129+V129</f>
        <v>20</v>
      </c>
      <c r="AA129" s="16">
        <f t="shared" si="13"/>
        <v>20</v>
      </c>
      <c r="AB129" s="16">
        <f t="shared" si="14"/>
        <v>40</v>
      </c>
      <c r="AC129" s="24">
        <f t="shared" si="15"/>
        <v>0.5</v>
      </c>
      <c r="AD129" s="11" t="s">
        <v>376</v>
      </c>
      <c r="AE129" s="11" t="s">
        <v>72</v>
      </c>
      <c r="AF129" s="11" t="s">
        <v>73</v>
      </c>
      <c r="AG129" s="13">
        <v>2</v>
      </c>
    </row>
    <row r="130" spans="1:33">
      <c r="A130" s="9" t="s">
        <v>396</v>
      </c>
      <c r="B130" s="10" t="s">
        <v>34</v>
      </c>
      <c r="C130" s="11" t="s">
        <v>344</v>
      </c>
      <c r="D130" s="11" t="s">
        <v>72</v>
      </c>
      <c r="E130" s="11" t="s">
        <v>73</v>
      </c>
      <c r="F130" s="11" t="s">
        <v>374</v>
      </c>
      <c r="G130" s="10" t="s">
        <v>39</v>
      </c>
      <c r="H130" s="35">
        <v>1</v>
      </c>
      <c r="I130" s="29">
        <v>177</v>
      </c>
      <c r="J130" s="16">
        <v>6</v>
      </c>
      <c r="K130" s="16">
        <v>1</v>
      </c>
      <c r="L130" s="32">
        <f t="shared" si="8"/>
        <v>0.8571428571428571</v>
      </c>
      <c r="M130" s="16">
        <v>6</v>
      </c>
      <c r="N130" s="16">
        <v>4</v>
      </c>
      <c r="O130" s="32">
        <f t="shared" si="9"/>
        <v>0.6</v>
      </c>
      <c r="P130" s="16"/>
      <c r="Q130" s="16"/>
      <c r="R130" s="32" t="e">
        <f t="shared" si="10"/>
        <v>#DIV/0!</v>
      </c>
      <c r="S130" s="16"/>
      <c r="T130" s="16"/>
      <c r="U130" s="32" t="e">
        <f t="shared" si="11"/>
        <v>#DIV/0!</v>
      </c>
      <c r="V130" s="16"/>
      <c r="W130" s="16"/>
      <c r="X130" s="16" t="e">
        <f t="shared" si="12"/>
        <v>#DIV/0!</v>
      </c>
      <c r="Y130" s="16">
        <f>COUNTA(J130:W130)/2</f>
        <v>4</v>
      </c>
      <c r="Z130" s="16">
        <f>J130+M130+P130+S130+V130</f>
        <v>12</v>
      </c>
      <c r="AA130" s="16">
        <f t="shared" si="13"/>
        <v>5</v>
      </c>
      <c r="AB130" s="16">
        <f t="shared" si="14"/>
        <v>17</v>
      </c>
      <c r="AC130" s="24">
        <f t="shared" si="15"/>
        <v>0.70588235294117652</v>
      </c>
      <c r="AD130" s="11" t="s">
        <v>391</v>
      </c>
      <c r="AE130" s="11" t="s">
        <v>72</v>
      </c>
      <c r="AF130" s="11" t="s">
        <v>73</v>
      </c>
      <c r="AG130" s="13">
        <v>2</v>
      </c>
    </row>
    <row r="131" spans="1:33">
      <c r="A131" s="14" t="s">
        <v>396</v>
      </c>
      <c r="B131" s="10" t="s">
        <v>43</v>
      </c>
      <c r="C131" s="10" t="s">
        <v>376</v>
      </c>
      <c r="D131" s="10" t="s">
        <v>72</v>
      </c>
      <c r="E131" s="10" t="s">
        <v>73</v>
      </c>
      <c r="F131" s="10" t="s">
        <v>397</v>
      </c>
      <c r="G131" s="10" t="s">
        <v>39</v>
      </c>
      <c r="H131" s="34">
        <v>2</v>
      </c>
      <c r="I131" s="28">
        <v>89</v>
      </c>
      <c r="J131" s="16">
        <v>1</v>
      </c>
      <c r="K131" s="16">
        <v>6</v>
      </c>
      <c r="L131" s="32">
        <f t="shared" ref="L131:L194" si="16">J131/(J131+K131)</f>
        <v>0.14285714285714285</v>
      </c>
      <c r="M131" s="16">
        <v>6</v>
      </c>
      <c r="N131" s="16">
        <v>3</v>
      </c>
      <c r="O131" s="32">
        <f t="shared" ref="O131:O194" si="17">M131/(M131+N131)</f>
        <v>0.66666666666666663</v>
      </c>
      <c r="P131" s="16">
        <v>7</v>
      </c>
      <c r="Q131" s="16">
        <v>5</v>
      </c>
      <c r="R131" s="32">
        <f t="shared" ref="R131:R194" si="18">P131/(P131+Q131)</f>
        <v>0.58333333333333337</v>
      </c>
      <c r="S131" s="16">
        <v>6</v>
      </c>
      <c r="T131" s="16">
        <v>4</v>
      </c>
      <c r="U131" s="32">
        <f t="shared" ref="U131:U194" si="19">S131/(S131+T131)</f>
        <v>0.6</v>
      </c>
      <c r="V131" s="16"/>
      <c r="W131" s="16"/>
      <c r="X131" s="16" t="e">
        <f t="shared" ref="X131:X194" si="20">V131/(V131+W131)</f>
        <v>#DIV/0!</v>
      </c>
      <c r="Y131" s="16">
        <f>COUNTA(J131:W131)/2</f>
        <v>6</v>
      </c>
      <c r="Z131" s="16">
        <f>J131+M131+P131+S131+V131</f>
        <v>20</v>
      </c>
      <c r="AA131" s="16">
        <f t="shared" ref="AA131:AA194" si="21">K131+N131+Q131+T131+W131</f>
        <v>18</v>
      </c>
      <c r="AB131" s="16">
        <f t="shared" ref="AB131:AB194" si="22">Z131+AA131</f>
        <v>38</v>
      </c>
      <c r="AC131" s="24">
        <f t="shared" ref="AC131:AC194" si="23">Z131/SUM(Z131,AA131)</f>
        <v>0.52631578947368418</v>
      </c>
      <c r="AD131" s="10" t="s">
        <v>365</v>
      </c>
      <c r="AE131" s="10" t="s">
        <v>72</v>
      </c>
      <c r="AF131" s="10" t="s">
        <v>73</v>
      </c>
      <c r="AG131" s="16">
        <v>1</v>
      </c>
    </row>
    <row r="132" spans="1:33">
      <c r="A132" s="14" t="s">
        <v>398</v>
      </c>
      <c r="B132" s="10" t="s">
        <v>34</v>
      </c>
      <c r="C132" s="10" t="s">
        <v>344</v>
      </c>
      <c r="D132" s="10" t="s">
        <v>72</v>
      </c>
      <c r="E132" s="10" t="s">
        <v>73</v>
      </c>
      <c r="F132" s="10" t="s">
        <v>327</v>
      </c>
      <c r="G132" s="10" t="s">
        <v>39</v>
      </c>
      <c r="H132" s="34">
        <v>7</v>
      </c>
      <c r="I132" s="28">
        <v>177</v>
      </c>
      <c r="J132" s="13">
        <v>7</v>
      </c>
      <c r="K132" s="13">
        <v>5</v>
      </c>
      <c r="L132" s="32">
        <f t="shared" si="16"/>
        <v>0.58333333333333337</v>
      </c>
      <c r="M132" s="13">
        <v>6</v>
      </c>
      <c r="N132" s="13">
        <v>2</v>
      </c>
      <c r="O132" s="32">
        <f t="shared" si="17"/>
        <v>0.75</v>
      </c>
      <c r="P132" s="13"/>
      <c r="Q132" s="13"/>
      <c r="R132" s="32" t="e">
        <f t="shared" si="18"/>
        <v>#DIV/0!</v>
      </c>
      <c r="S132" s="13"/>
      <c r="T132" s="13"/>
      <c r="U132" s="32" t="e">
        <f t="shared" si="19"/>
        <v>#DIV/0!</v>
      </c>
      <c r="V132" s="13"/>
      <c r="W132" s="13"/>
      <c r="X132" s="16" t="e">
        <f t="shared" si="20"/>
        <v>#DIV/0!</v>
      </c>
      <c r="Y132" s="16">
        <f>COUNTA(J132:W132)/2</f>
        <v>4</v>
      </c>
      <c r="Z132" s="16">
        <f>J132+M132+P132+S132+V132</f>
        <v>13</v>
      </c>
      <c r="AA132" s="16">
        <f t="shared" si="21"/>
        <v>7</v>
      </c>
      <c r="AB132" s="16">
        <f t="shared" si="22"/>
        <v>20</v>
      </c>
      <c r="AC132" s="24">
        <f t="shared" si="23"/>
        <v>0.65</v>
      </c>
      <c r="AD132" s="10" t="s">
        <v>391</v>
      </c>
      <c r="AE132" s="10" t="s">
        <v>72</v>
      </c>
      <c r="AF132" s="10" t="s">
        <v>73</v>
      </c>
      <c r="AG132" s="16">
        <v>3</v>
      </c>
    </row>
    <row r="133" spans="1:33">
      <c r="A133" s="9" t="s">
        <v>398</v>
      </c>
      <c r="B133" s="10" t="s">
        <v>43</v>
      </c>
      <c r="C133" s="11" t="s">
        <v>365</v>
      </c>
      <c r="D133" s="11" t="s">
        <v>72</v>
      </c>
      <c r="E133" s="11" t="s">
        <v>73</v>
      </c>
      <c r="F133" s="11" t="s">
        <v>399</v>
      </c>
      <c r="G133" s="10" t="s">
        <v>39</v>
      </c>
      <c r="H133" s="35">
        <v>3</v>
      </c>
      <c r="I133" s="29">
        <v>89</v>
      </c>
      <c r="J133" s="13">
        <v>5</v>
      </c>
      <c r="K133" s="13">
        <v>7</v>
      </c>
      <c r="L133" s="32">
        <f t="shared" si="16"/>
        <v>0.41666666666666669</v>
      </c>
      <c r="M133" s="13">
        <v>3</v>
      </c>
      <c r="N133" s="13">
        <v>6</v>
      </c>
      <c r="O133" s="32">
        <f t="shared" si="17"/>
        <v>0.33333333333333331</v>
      </c>
      <c r="P133" s="13">
        <v>6</v>
      </c>
      <c r="Q133" s="13">
        <v>3</v>
      </c>
      <c r="R133" s="32">
        <f t="shared" si="18"/>
        <v>0.66666666666666663</v>
      </c>
      <c r="S133" s="13">
        <v>8</v>
      </c>
      <c r="T133" s="13">
        <v>6</v>
      </c>
      <c r="U133" s="32">
        <f t="shared" si="19"/>
        <v>0.5714285714285714</v>
      </c>
      <c r="V133" s="13">
        <v>8</v>
      </c>
      <c r="W133" s="13">
        <v>6</v>
      </c>
      <c r="X133" s="16">
        <f t="shared" si="20"/>
        <v>0.5714285714285714</v>
      </c>
      <c r="Y133" s="16">
        <f>COUNTA(J133:W133)/2</f>
        <v>7</v>
      </c>
      <c r="Z133" s="16">
        <f>J133+M133+P133+S133+V133</f>
        <v>30</v>
      </c>
      <c r="AA133" s="16">
        <f t="shared" si="21"/>
        <v>28</v>
      </c>
      <c r="AB133" s="16">
        <f t="shared" si="22"/>
        <v>58</v>
      </c>
      <c r="AC133" s="24">
        <f t="shared" si="23"/>
        <v>0.51724137931034486</v>
      </c>
      <c r="AD133" s="11" t="s">
        <v>400</v>
      </c>
      <c r="AE133" s="11" t="s">
        <v>72</v>
      </c>
      <c r="AF133" s="11" t="s">
        <v>73</v>
      </c>
      <c r="AG133" s="13">
        <v>1</v>
      </c>
    </row>
    <row r="134" spans="1:33">
      <c r="A134" s="9" t="s">
        <v>401</v>
      </c>
      <c r="B134" s="10" t="s">
        <v>34</v>
      </c>
      <c r="C134" s="11" t="s">
        <v>402</v>
      </c>
      <c r="D134" s="11" t="s">
        <v>72</v>
      </c>
      <c r="E134" s="11" t="s">
        <v>73</v>
      </c>
      <c r="F134" s="11" t="s">
        <v>214</v>
      </c>
      <c r="G134" s="10" t="s">
        <v>39</v>
      </c>
      <c r="H134" s="35">
        <v>4</v>
      </c>
      <c r="I134" s="29">
        <v>222</v>
      </c>
      <c r="J134" s="16">
        <v>6</v>
      </c>
      <c r="K134" s="16">
        <v>2</v>
      </c>
      <c r="L134" s="32">
        <f t="shared" si="16"/>
        <v>0.75</v>
      </c>
      <c r="M134" s="16">
        <v>6</v>
      </c>
      <c r="N134" s="16">
        <v>3</v>
      </c>
      <c r="O134" s="32">
        <f t="shared" si="17"/>
        <v>0.66666666666666663</v>
      </c>
      <c r="P134" s="16"/>
      <c r="Q134" s="16"/>
      <c r="R134" s="32" t="e">
        <f t="shared" si="18"/>
        <v>#DIV/0!</v>
      </c>
      <c r="S134" s="16"/>
      <c r="T134" s="16"/>
      <c r="U134" s="32" t="e">
        <f t="shared" si="19"/>
        <v>#DIV/0!</v>
      </c>
      <c r="V134" s="16"/>
      <c r="W134" s="16"/>
      <c r="X134" s="16" t="e">
        <f t="shared" si="20"/>
        <v>#DIV/0!</v>
      </c>
      <c r="Y134" s="16">
        <f>COUNTA(J134:W134)/2</f>
        <v>4</v>
      </c>
      <c r="Z134" s="16">
        <f>J134+M134+P134+S134+V134</f>
        <v>12</v>
      </c>
      <c r="AA134" s="16">
        <f t="shared" si="21"/>
        <v>5</v>
      </c>
      <c r="AB134" s="16">
        <f t="shared" si="22"/>
        <v>17</v>
      </c>
      <c r="AC134" s="24">
        <f t="shared" si="23"/>
        <v>0.70588235294117652</v>
      </c>
      <c r="AD134" s="11" t="s">
        <v>403</v>
      </c>
      <c r="AE134" s="11" t="s">
        <v>285</v>
      </c>
      <c r="AF134" s="11" t="s">
        <v>286</v>
      </c>
      <c r="AG134" s="13">
        <v>2</v>
      </c>
    </row>
    <row r="135" spans="1:33">
      <c r="A135" s="14" t="s">
        <v>401</v>
      </c>
      <c r="B135" s="10" t="s">
        <v>43</v>
      </c>
      <c r="C135" s="10" t="s">
        <v>404</v>
      </c>
      <c r="D135" s="10" t="s">
        <v>36</v>
      </c>
      <c r="E135" s="18" t="s">
        <v>37</v>
      </c>
      <c r="F135" s="10" t="s">
        <v>405</v>
      </c>
      <c r="G135" s="10" t="s">
        <v>39</v>
      </c>
      <c r="H135" s="34">
        <v>2</v>
      </c>
      <c r="I135" s="28">
        <v>89</v>
      </c>
      <c r="J135" s="16">
        <v>6</v>
      </c>
      <c r="K135" s="16">
        <v>1</v>
      </c>
      <c r="L135" s="32">
        <f t="shared" si="16"/>
        <v>0.8571428571428571</v>
      </c>
      <c r="M135" s="16">
        <v>6</v>
      </c>
      <c r="N135" s="16">
        <v>2</v>
      </c>
      <c r="O135" s="32">
        <f t="shared" si="17"/>
        <v>0.75</v>
      </c>
      <c r="P135" s="16">
        <v>3</v>
      </c>
      <c r="Q135" s="16">
        <v>6</v>
      </c>
      <c r="R135" s="32">
        <f t="shared" si="18"/>
        <v>0.33333333333333331</v>
      </c>
      <c r="S135" s="16">
        <v>6</v>
      </c>
      <c r="T135" s="16">
        <v>3</v>
      </c>
      <c r="U135" s="32">
        <f t="shared" si="19"/>
        <v>0.66666666666666663</v>
      </c>
      <c r="V135" s="16"/>
      <c r="W135" s="16"/>
      <c r="X135" s="16" t="e">
        <f t="shared" si="20"/>
        <v>#DIV/0!</v>
      </c>
      <c r="Y135" s="16">
        <f>COUNTA(J135:W135)/2</f>
        <v>6</v>
      </c>
      <c r="Z135" s="16">
        <f>J135+M135+P135+S135+V135</f>
        <v>21</v>
      </c>
      <c r="AA135" s="16">
        <f t="shared" si="21"/>
        <v>12</v>
      </c>
      <c r="AB135" s="16">
        <f t="shared" si="22"/>
        <v>33</v>
      </c>
      <c r="AC135" s="24">
        <f t="shared" si="23"/>
        <v>0.63636363636363635</v>
      </c>
      <c r="AD135" s="10" t="s">
        <v>400</v>
      </c>
      <c r="AE135" s="10" t="s">
        <v>72</v>
      </c>
      <c r="AF135" s="10" t="s">
        <v>73</v>
      </c>
      <c r="AG135" s="16">
        <v>1</v>
      </c>
    </row>
    <row r="136" spans="1:33">
      <c r="A136" s="14" t="s">
        <v>406</v>
      </c>
      <c r="B136" s="10" t="s">
        <v>34</v>
      </c>
      <c r="C136" s="10" t="s">
        <v>407</v>
      </c>
      <c r="D136" s="10" t="s">
        <v>127</v>
      </c>
      <c r="E136" s="10" t="s">
        <v>128</v>
      </c>
      <c r="F136" s="10" t="s">
        <v>262</v>
      </c>
      <c r="G136" s="10" t="s">
        <v>39</v>
      </c>
      <c r="H136" s="34">
        <v>1</v>
      </c>
      <c r="I136" s="28">
        <v>177</v>
      </c>
      <c r="J136" s="13">
        <v>6</v>
      </c>
      <c r="K136" s="13">
        <v>3</v>
      </c>
      <c r="L136" s="32">
        <f t="shared" si="16"/>
        <v>0.66666666666666663</v>
      </c>
      <c r="M136" s="13">
        <v>6</v>
      </c>
      <c r="N136" s="13">
        <v>4</v>
      </c>
      <c r="O136" s="32">
        <f t="shared" si="17"/>
        <v>0.6</v>
      </c>
      <c r="P136" s="13"/>
      <c r="Q136" s="13"/>
      <c r="R136" s="32" t="e">
        <f t="shared" si="18"/>
        <v>#DIV/0!</v>
      </c>
      <c r="S136" s="13"/>
      <c r="T136" s="13"/>
      <c r="U136" s="32" t="e">
        <f t="shared" si="19"/>
        <v>#DIV/0!</v>
      </c>
      <c r="V136" s="13"/>
      <c r="W136" s="13"/>
      <c r="X136" s="16" t="e">
        <f t="shared" si="20"/>
        <v>#DIV/0!</v>
      </c>
      <c r="Y136" s="16">
        <f>COUNTA(J136:W136)/2</f>
        <v>4</v>
      </c>
      <c r="Z136" s="16">
        <f>J136+M136+P136+S136+V136</f>
        <v>12</v>
      </c>
      <c r="AA136" s="16">
        <f t="shared" si="21"/>
        <v>7</v>
      </c>
      <c r="AB136" s="16">
        <f t="shared" si="22"/>
        <v>19</v>
      </c>
      <c r="AC136" s="24">
        <f t="shared" si="23"/>
        <v>0.63157894736842102</v>
      </c>
      <c r="AD136" s="10" t="s">
        <v>408</v>
      </c>
      <c r="AE136" s="10" t="s">
        <v>72</v>
      </c>
      <c r="AF136" s="10" t="s">
        <v>73</v>
      </c>
      <c r="AG136" s="16">
        <v>2</v>
      </c>
    </row>
    <row r="137" spans="1:33">
      <c r="A137" s="9" t="s">
        <v>406</v>
      </c>
      <c r="B137" s="10" t="s">
        <v>43</v>
      </c>
      <c r="C137" s="11" t="s">
        <v>409</v>
      </c>
      <c r="D137" s="11" t="s">
        <v>72</v>
      </c>
      <c r="E137" s="11" t="s">
        <v>73</v>
      </c>
      <c r="F137" s="11" t="s">
        <v>410</v>
      </c>
      <c r="G137" s="10" t="s">
        <v>39</v>
      </c>
      <c r="H137" s="35">
        <v>3</v>
      </c>
      <c r="I137" s="29">
        <v>175</v>
      </c>
      <c r="J137" s="13">
        <v>7</v>
      </c>
      <c r="K137" s="13">
        <v>5</v>
      </c>
      <c r="L137" s="32">
        <f t="shared" si="16"/>
        <v>0.58333333333333337</v>
      </c>
      <c r="M137" s="13">
        <v>6</v>
      </c>
      <c r="N137" s="13">
        <v>3</v>
      </c>
      <c r="O137" s="32">
        <f t="shared" si="17"/>
        <v>0.66666666666666663</v>
      </c>
      <c r="P137" s="13">
        <v>6</v>
      </c>
      <c r="Q137" s="13">
        <v>4</v>
      </c>
      <c r="R137" s="32">
        <f t="shared" si="18"/>
        <v>0.6</v>
      </c>
      <c r="S137" s="13"/>
      <c r="T137" s="13"/>
      <c r="U137" s="32" t="e">
        <f t="shared" si="19"/>
        <v>#DIV/0!</v>
      </c>
      <c r="V137" s="13"/>
      <c r="W137" s="13"/>
      <c r="X137" s="16" t="e">
        <f t="shared" si="20"/>
        <v>#DIV/0!</v>
      </c>
      <c r="Y137" s="16">
        <f>COUNTA(J137:W137)/2</f>
        <v>5</v>
      </c>
      <c r="Z137" s="16">
        <f>J137+M137+P137+S137+V137</f>
        <v>19</v>
      </c>
      <c r="AA137" s="16">
        <f t="shared" si="21"/>
        <v>12</v>
      </c>
      <c r="AB137" s="16">
        <f t="shared" si="22"/>
        <v>31</v>
      </c>
      <c r="AC137" s="24">
        <f t="shared" si="23"/>
        <v>0.61290322580645162</v>
      </c>
      <c r="AD137" s="11" t="s">
        <v>354</v>
      </c>
      <c r="AE137" s="11" t="s">
        <v>72</v>
      </c>
      <c r="AF137" s="11" t="s">
        <v>73</v>
      </c>
      <c r="AG137" s="13">
        <v>1</v>
      </c>
    </row>
    <row r="138" spans="1:33">
      <c r="A138" s="9" t="s">
        <v>411</v>
      </c>
      <c r="B138" s="10" t="s">
        <v>34</v>
      </c>
      <c r="C138" s="11" t="s">
        <v>412</v>
      </c>
      <c r="D138" s="11" t="s">
        <v>36</v>
      </c>
      <c r="E138" s="11" t="s">
        <v>37</v>
      </c>
      <c r="F138" s="11" t="s">
        <v>262</v>
      </c>
      <c r="G138" s="10" t="s">
        <v>39</v>
      </c>
      <c r="H138" s="35">
        <v>1</v>
      </c>
      <c r="I138" s="29">
        <v>115</v>
      </c>
      <c r="J138" s="16">
        <v>6</v>
      </c>
      <c r="K138" s="16">
        <v>3</v>
      </c>
      <c r="L138" s="32">
        <f t="shared" si="16"/>
        <v>0.66666666666666663</v>
      </c>
      <c r="M138" s="16">
        <v>6</v>
      </c>
      <c r="N138" s="16">
        <v>4</v>
      </c>
      <c r="O138" s="32">
        <f t="shared" si="17"/>
        <v>0.6</v>
      </c>
      <c r="P138" s="16"/>
      <c r="Q138" s="16"/>
      <c r="R138" s="32" t="e">
        <f t="shared" si="18"/>
        <v>#DIV/0!</v>
      </c>
      <c r="S138" s="16"/>
      <c r="T138" s="16"/>
      <c r="U138" s="32" t="e">
        <f t="shared" si="19"/>
        <v>#DIV/0!</v>
      </c>
      <c r="V138" s="16"/>
      <c r="W138" s="16"/>
      <c r="X138" s="16" t="e">
        <f t="shared" si="20"/>
        <v>#DIV/0!</v>
      </c>
      <c r="Y138" s="16">
        <f>COUNTA(J138:W138)/2</f>
        <v>4</v>
      </c>
      <c r="Z138" s="16">
        <f>J138+M138+P138+S138+V138</f>
        <v>12</v>
      </c>
      <c r="AA138" s="16">
        <f t="shared" si="21"/>
        <v>7</v>
      </c>
      <c r="AB138" s="16">
        <f t="shared" si="22"/>
        <v>19</v>
      </c>
      <c r="AC138" s="24">
        <f t="shared" si="23"/>
        <v>0.63157894736842102</v>
      </c>
      <c r="AD138" s="11" t="s">
        <v>413</v>
      </c>
      <c r="AE138" s="11" t="s">
        <v>36</v>
      </c>
      <c r="AF138" s="11" t="s">
        <v>37</v>
      </c>
      <c r="AG138" s="13">
        <v>2</v>
      </c>
    </row>
    <row r="139" spans="1:33">
      <c r="A139" s="14" t="s">
        <v>411</v>
      </c>
      <c r="B139" s="10" t="s">
        <v>43</v>
      </c>
      <c r="C139" s="10" t="s">
        <v>409</v>
      </c>
      <c r="D139" s="10" t="s">
        <v>72</v>
      </c>
      <c r="E139" s="10" t="s">
        <v>73</v>
      </c>
      <c r="F139" s="10" t="s">
        <v>414</v>
      </c>
      <c r="G139" s="10" t="s">
        <v>39</v>
      </c>
      <c r="H139" s="34">
        <v>2</v>
      </c>
      <c r="I139" s="28">
        <v>255</v>
      </c>
      <c r="J139" s="16">
        <v>6</v>
      </c>
      <c r="K139" s="16">
        <v>3</v>
      </c>
      <c r="L139" s="32">
        <f t="shared" si="16"/>
        <v>0.66666666666666663</v>
      </c>
      <c r="M139" s="16">
        <v>9</v>
      </c>
      <c r="N139" s="16">
        <v>11</v>
      </c>
      <c r="O139" s="32">
        <f t="shared" si="17"/>
        <v>0.45</v>
      </c>
      <c r="P139" s="16">
        <v>6</v>
      </c>
      <c r="Q139" s="16">
        <v>4</v>
      </c>
      <c r="R139" s="32">
        <f t="shared" si="18"/>
        <v>0.6</v>
      </c>
      <c r="S139" s="16">
        <v>6</v>
      </c>
      <c r="T139" s="16">
        <v>2</v>
      </c>
      <c r="U139" s="32">
        <f t="shared" si="19"/>
        <v>0.75</v>
      </c>
      <c r="V139" s="16"/>
      <c r="W139" s="16"/>
      <c r="X139" s="16" t="e">
        <f t="shared" si="20"/>
        <v>#DIV/0!</v>
      </c>
      <c r="Y139" s="16">
        <f>COUNTA(J139:W139)/2</f>
        <v>6</v>
      </c>
      <c r="Z139" s="16">
        <f>J139+M139+P139+S139+V139</f>
        <v>27</v>
      </c>
      <c r="AA139" s="16">
        <f t="shared" si="21"/>
        <v>20</v>
      </c>
      <c r="AB139" s="16">
        <f t="shared" si="22"/>
        <v>47</v>
      </c>
      <c r="AC139" s="24">
        <f t="shared" si="23"/>
        <v>0.57446808510638303</v>
      </c>
      <c r="AD139" s="10" t="s">
        <v>400</v>
      </c>
      <c r="AE139" s="10" t="s">
        <v>72</v>
      </c>
      <c r="AF139" s="10" t="s">
        <v>73</v>
      </c>
      <c r="AG139" s="16">
        <v>3</v>
      </c>
    </row>
    <row r="140" spans="1:33">
      <c r="A140" s="14" t="s">
        <v>415</v>
      </c>
      <c r="B140" s="10" t="s">
        <v>34</v>
      </c>
      <c r="C140" s="10" t="s">
        <v>402</v>
      </c>
      <c r="D140" s="10" t="s">
        <v>72</v>
      </c>
      <c r="E140" s="10" t="s">
        <v>73</v>
      </c>
      <c r="F140" s="10" t="s">
        <v>416</v>
      </c>
      <c r="G140" s="10" t="s">
        <v>39</v>
      </c>
      <c r="H140" s="34">
        <v>2</v>
      </c>
      <c r="I140" s="28">
        <v>185</v>
      </c>
      <c r="J140" s="13">
        <v>3</v>
      </c>
      <c r="K140" s="13">
        <v>6</v>
      </c>
      <c r="L140" s="32">
        <f t="shared" si="16"/>
        <v>0.33333333333333331</v>
      </c>
      <c r="M140" s="13">
        <v>6</v>
      </c>
      <c r="N140" s="13">
        <v>2</v>
      </c>
      <c r="O140" s="32">
        <f t="shared" si="17"/>
        <v>0.75</v>
      </c>
      <c r="P140" s="13">
        <v>9</v>
      </c>
      <c r="Q140" s="13">
        <v>7</v>
      </c>
      <c r="R140" s="32">
        <f t="shared" si="18"/>
        <v>0.5625</v>
      </c>
      <c r="S140" s="13"/>
      <c r="T140" s="13"/>
      <c r="U140" s="32" t="e">
        <f t="shared" si="19"/>
        <v>#DIV/0!</v>
      </c>
      <c r="V140" s="13"/>
      <c r="W140" s="13"/>
      <c r="X140" s="16" t="e">
        <f t="shared" si="20"/>
        <v>#DIV/0!</v>
      </c>
      <c r="Y140" s="16">
        <f>COUNTA(J140:W140)/2</f>
        <v>5</v>
      </c>
      <c r="Z140" s="16">
        <f>J140+M140+P140+S140+V140</f>
        <v>18</v>
      </c>
      <c r="AA140" s="16">
        <f t="shared" si="21"/>
        <v>15</v>
      </c>
      <c r="AB140" s="16">
        <f t="shared" si="22"/>
        <v>33</v>
      </c>
      <c r="AC140" s="24">
        <f t="shared" si="23"/>
        <v>0.54545454545454541</v>
      </c>
      <c r="AD140" s="10" t="s">
        <v>417</v>
      </c>
      <c r="AE140" s="10" t="s">
        <v>72</v>
      </c>
      <c r="AF140" s="10" t="s">
        <v>73</v>
      </c>
      <c r="AG140" s="16">
        <v>5</v>
      </c>
    </row>
    <row r="141" spans="1:33">
      <c r="A141" s="9" t="s">
        <v>415</v>
      </c>
      <c r="B141" s="10" t="s">
        <v>43</v>
      </c>
      <c r="C141" s="11" t="s">
        <v>418</v>
      </c>
      <c r="D141" s="11" t="s">
        <v>72</v>
      </c>
      <c r="E141" s="11" t="s">
        <v>73</v>
      </c>
      <c r="F141" s="11" t="s">
        <v>419</v>
      </c>
      <c r="G141" s="10" t="s">
        <v>39</v>
      </c>
      <c r="H141" s="35">
        <v>1</v>
      </c>
      <c r="I141" s="29">
        <v>225</v>
      </c>
      <c r="J141" s="13">
        <v>6</v>
      </c>
      <c r="K141" s="13">
        <v>4</v>
      </c>
      <c r="L141" s="32">
        <f t="shared" si="16"/>
        <v>0.6</v>
      </c>
      <c r="M141" s="13">
        <v>3</v>
      </c>
      <c r="N141" s="13">
        <v>6</v>
      </c>
      <c r="O141" s="32">
        <f t="shared" si="17"/>
        <v>0.33333333333333331</v>
      </c>
      <c r="P141" s="13">
        <v>6</v>
      </c>
      <c r="Q141" s="13">
        <v>4</v>
      </c>
      <c r="R141" s="32">
        <f t="shared" si="18"/>
        <v>0.6</v>
      </c>
      <c r="S141" s="13">
        <v>7</v>
      </c>
      <c r="T141" s="13">
        <v>5</v>
      </c>
      <c r="U141" s="32">
        <f t="shared" si="19"/>
        <v>0.58333333333333337</v>
      </c>
      <c r="V141" s="13"/>
      <c r="W141" s="13"/>
      <c r="X141" s="16" t="e">
        <f t="shared" si="20"/>
        <v>#DIV/0!</v>
      </c>
      <c r="Y141" s="16">
        <f>COUNTA(J141:W141)/2</f>
        <v>6</v>
      </c>
      <c r="Z141" s="16">
        <f>J141+M141+P141+S141+V141</f>
        <v>22</v>
      </c>
      <c r="AA141" s="16">
        <f t="shared" si="21"/>
        <v>19</v>
      </c>
      <c r="AB141" s="16">
        <f t="shared" si="22"/>
        <v>41</v>
      </c>
      <c r="AC141" s="24">
        <f t="shared" si="23"/>
        <v>0.53658536585365857</v>
      </c>
      <c r="AD141" s="11" t="s">
        <v>352</v>
      </c>
      <c r="AE141" s="11" t="s">
        <v>72</v>
      </c>
      <c r="AF141" s="11" t="s">
        <v>73</v>
      </c>
      <c r="AG141" s="13">
        <v>2</v>
      </c>
    </row>
    <row r="142" spans="1:33">
      <c r="A142" s="9" t="s">
        <v>420</v>
      </c>
      <c r="B142" s="10" t="s">
        <v>34</v>
      </c>
      <c r="C142" s="11" t="s">
        <v>421</v>
      </c>
      <c r="D142" s="11" t="s">
        <v>72</v>
      </c>
      <c r="E142" s="11" t="s">
        <v>73</v>
      </c>
      <c r="F142" s="11" t="s">
        <v>84</v>
      </c>
      <c r="G142" s="10" t="s">
        <v>39</v>
      </c>
      <c r="H142" s="35">
        <v>2</v>
      </c>
      <c r="I142" s="29">
        <v>115</v>
      </c>
      <c r="J142" s="16">
        <v>6</v>
      </c>
      <c r="K142" s="16">
        <v>4</v>
      </c>
      <c r="L142" s="32">
        <f t="shared" si="16"/>
        <v>0.6</v>
      </c>
      <c r="M142" s="16">
        <v>6</v>
      </c>
      <c r="N142" s="16">
        <v>3</v>
      </c>
      <c r="O142" s="32">
        <f t="shared" si="17"/>
        <v>0.66666666666666663</v>
      </c>
      <c r="P142" s="16"/>
      <c r="Q142" s="16"/>
      <c r="R142" s="32" t="e">
        <f t="shared" si="18"/>
        <v>#DIV/0!</v>
      </c>
      <c r="S142" s="16"/>
      <c r="T142" s="16"/>
      <c r="U142" s="32" t="e">
        <f t="shared" si="19"/>
        <v>#DIV/0!</v>
      </c>
      <c r="V142" s="16"/>
      <c r="W142" s="16"/>
      <c r="X142" s="16" t="e">
        <f t="shared" si="20"/>
        <v>#DIV/0!</v>
      </c>
      <c r="Y142" s="16">
        <f>COUNTA(J142:W142)/2</f>
        <v>4</v>
      </c>
      <c r="Z142" s="16">
        <f>J142+M142+P142+S142+V142</f>
        <v>12</v>
      </c>
      <c r="AA142" s="16">
        <f t="shared" si="21"/>
        <v>7</v>
      </c>
      <c r="AB142" s="16">
        <f t="shared" si="22"/>
        <v>19</v>
      </c>
      <c r="AC142" s="24">
        <f t="shared" si="23"/>
        <v>0.63157894736842102</v>
      </c>
      <c r="AD142" s="11" t="s">
        <v>417</v>
      </c>
      <c r="AE142" s="11" t="s">
        <v>72</v>
      </c>
      <c r="AF142" s="11" t="s">
        <v>73</v>
      </c>
      <c r="AG142" s="13">
        <v>1</v>
      </c>
    </row>
    <row r="143" spans="1:33">
      <c r="A143" s="14" t="s">
        <v>420</v>
      </c>
      <c r="B143" s="10" t="s">
        <v>43</v>
      </c>
      <c r="C143" s="10" t="s">
        <v>352</v>
      </c>
      <c r="D143" s="10" t="s">
        <v>72</v>
      </c>
      <c r="E143" s="10" t="s">
        <v>73</v>
      </c>
      <c r="F143" s="10" t="s">
        <v>422</v>
      </c>
      <c r="G143" s="10" t="s">
        <v>39</v>
      </c>
      <c r="H143" s="34">
        <v>1</v>
      </c>
      <c r="I143" s="28">
        <v>200</v>
      </c>
      <c r="J143" s="16">
        <v>9</v>
      </c>
      <c r="K143" s="16">
        <v>7</v>
      </c>
      <c r="L143" s="32">
        <f t="shared" si="16"/>
        <v>0.5625</v>
      </c>
      <c r="M143" s="16">
        <v>6</v>
      </c>
      <c r="N143" s="16">
        <v>4</v>
      </c>
      <c r="O143" s="32">
        <f t="shared" si="17"/>
        <v>0.6</v>
      </c>
      <c r="P143" s="16">
        <v>6</v>
      </c>
      <c r="Q143" s="16">
        <v>4</v>
      </c>
      <c r="R143" s="32">
        <f t="shared" si="18"/>
        <v>0.6</v>
      </c>
      <c r="S143" s="16"/>
      <c r="T143" s="16"/>
      <c r="U143" s="32" t="e">
        <f t="shared" si="19"/>
        <v>#DIV/0!</v>
      </c>
      <c r="V143" s="16"/>
      <c r="W143" s="16"/>
      <c r="X143" s="16" t="e">
        <f t="shared" si="20"/>
        <v>#DIV/0!</v>
      </c>
      <c r="Y143" s="16">
        <f>COUNTA(J143:W143)/2</f>
        <v>5</v>
      </c>
      <c r="Z143" s="16">
        <f>J143+M143+P143+S143+V143</f>
        <v>21</v>
      </c>
      <c r="AA143" s="16">
        <f t="shared" si="21"/>
        <v>15</v>
      </c>
      <c r="AB143" s="16">
        <f t="shared" si="22"/>
        <v>36</v>
      </c>
      <c r="AC143" s="24">
        <f t="shared" si="23"/>
        <v>0.58333333333333337</v>
      </c>
      <c r="AD143" s="10" t="s">
        <v>418</v>
      </c>
      <c r="AE143" s="10" t="s">
        <v>72</v>
      </c>
      <c r="AF143" s="10" t="s">
        <v>73</v>
      </c>
      <c r="AG143" s="16">
        <v>5</v>
      </c>
    </row>
    <row r="144" spans="1:33">
      <c r="A144" s="14" t="s">
        <v>423</v>
      </c>
      <c r="B144" s="10" t="s">
        <v>34</v>
      </c>
      <c r="C144" s="10" t="s">
        <v>417</v>
      </c>
      <c r="D144" s="10" t="s">
        <v>72</v>
      </c>
      <c r="E144" s="10" t="s">
        <v>73</v>
      </c>
      <c r="F144" s="10" t="s">
        <v>262</v>
      </c>
      <c r="G144" s="10" t="s">
        <v>39</v>
      </c>
      <c r="H144" s="34">
        <v>1</v>
      </c>
      <c r="I144" s="28">
        <v>115</v>
      </c>
      <c r="J144" s="13">
        <v>6</v>
      </c>
      <c r="K144" s="13">
        <v>3</v>
      </c>
      <c r="L144" s="32">
        <f t="shared" si="16"/>
        <v>0.66666666666666663</v>
      </c>
      <c r="M144" s="13">
        <v>6</v>
      </c>
      <c r="N144" s="13">
        <v>4</v>
      </c>
      <c r="O144" s="32">
        <f t="shared" si="17"/>
        <v>0.6</v>
      </c>
      <c r="P144" s="13"/>
      <c r="Q144" s="13"/>
      <c r="R144" s="32" t="e">
        <f t="shared" si="18"/>
        <v>#DIV/0!</v>
      </c>
      <c r="S144" s="13"/>
      <c r="T144" s="13"/>
      <c r="U144" s="32" t="e">
        <f t="shared" si="19"/>
        <v>#DIV/0!</v>
      </c>
      <c r="V144" s="13"/>
      <c r="W144" s="13"/>
      <c r="X144" s="16" t="e">
        <f t="shared" si="20"/>
        <v>#DIV/0!</v>
      </c>
      <c r="Y144" s="16">
        <f>COUNTA(J144:W144)/2</f>
        <v>4</v>
      </c>
      <c r="Z144" s="16">
        <f>J144+M144+P144+S144+V144</f>
        <v>12</v>
      </c>
      <c r="AA144" s="16">
        <f t="shared" si="21"/>
        <v>7</v>
      </c>
      <c r="AB144" s="16">
        <f t="shared" si="22"/>
        <v>19</v>
      </c>
      <c r="AC144" s="24">
        <f t="shared" si="23"/>
        <v>0.63157894736842102</v>
      </c>
      <c r="AD144" s="10" t="s">
        <v>424</v>
      </c>
      <c r="AE144" s="10" t="s">
        <v>72</v>
      </c>
      <c r="AF144" s="10" t="s">
        <v>73</v>
      </c>
      <c r="AG144" s="16">
        <v>3</v>
      </c>
    </row>
    <row r="145" spans="1:33">
      <c r="A145" s="9" t="s">
        <v>423</v>
      </c>
      <c r="B145" s="10" t="s">
        <v>43</v>
      </c>
      <c r="C145" s="11" t="s">
        <v>425</v>
      </c>
      <c r="D145" s="11" t="s">
        <v>72</v>
      </c>
      <c r="E145" s="11" t="s">
        <v>73</v>
      </c>
      <c r="F145" s="11" t="s">
        <v>426</v>
      </c>
      <c r="G145" s="10" t="s">
        <v>39</v>
      </c>
      <c r="H145" s="35">
        <v>5</v>
      </c>
      <c r="I145" s="29">
        <v>180</v>
      </c>
      <c r="J145" s="13">
        <v>6</v>
      </c>
      <c r="K145" s="13">
        <v>2</v>
      </c>
      <c r="L145" s="32">
        <f t="shared" si="16"/>
        <v>0.75</v>
      </c>
      <c r="M145" s="13">
        <v>0</v>
      </c>
      <c r="N145" s="13">
        <v>6</v>
      </c>
      <c r="O145" s="32">
        <f t="shared" si="17"/>
        <v>0</v>
      </c>
      <c r="P145" s="13">
        <v>6</v>
      </c>
      <c r="Q145" s="13">
        <v>4</v>
      </c>
      <c r="R145" s="32">
        <f t="shared" si="18"/>
        <v>0.6</v>
      </c>
      <c r="S145" s="13">
        <v>6</v>
      </c>
      <c r="T145" s="13">
        <v>2</v>
      </c>
      <c r="U145" s="32">
        <f t="shared" si="19"/>
        <v>0.75</v>
      </c>
      <c r="V145" s="13"/>
      <c r="W145" s="13"/>
      <c r="X145" s="16" t="e">
        <f t="shared" si="20"/>
        <v>#DIV/0!</v>
      </c>
      <c r="Y145" s="16">
        <f>COUNTA(J145:W145)/2</f>
        <v>6</v>
      </c>
      <c r="Z145" s="16">
        <f>J145+M145+P145+S145+V145</f>
        <v>18</v>
      </c>
      <c r="AA145" s="16">
        <f t="shared" si="21"/>
        <v>14</v>
      </c>
      <c r="AB145" s="16">
        <f t="shared" si="22"/>
        <v>32</v>
      </c>
      <c r="AC145" s="24">
        <f t="shared" si="23"/>
        <v>0.5625</v>
      </c>
      <c r="AD145" s="11" t="s">
        <v>427</v>
      </c>
      <c r="AE145" s="11" t="s">
        <v>72</v>
      </c>
      <c r="AF145" s="11" t="s">
        <v>73</v>
      </c>
      <c r="AG145" s="13">
        <v>3</v>
      </c>
    </row>
    <row r="146" spans="1:33">
      <c r="A146" s="9" t="s">
        <v>428</v>
      </c>
      <c r="B146" s="10" t="s">
        <v>34</v>
      </c>
      <c r="C146" s="11" t="s">
        <v>429</v>
      </c>
      <c r="D146" s="11" t="s">
        <v>36</v>
      </c>
      <c r="E146" s="11" t="s">
        <v>37</v>
      </c>
      <c r="F146" s="11" t="s">
        <v>237</v>
      </c>
      <c r="G146" s="10" t="s">
        <v>39</v>
      </c>
      <c r="H146" s="35">
        <v>1</v>
      </c>
      <c r="I146" s="29">
        <v>105</v>
      </c>
      <c r="J146" s="16">
        <v>6</v>
      </c>
      <c r="K146" s="16">
        <v>3</v>
      </c>
      <c r="L146" s="32">
        <f t="shared" si="16"/>
        <v>0.66666666666666663</v>
      </c>
      <c r="M146" s="16">
        <v>6</v>
      </c>
      <c r="N146" s="16">
        <v>2</v>
      </c>
      <c r="O146" s="32">
        <f t="shared" si="17"/>
        <v>0.75</v>
      </c>
      <c r="P146" s="16"/>
      <c r="Q146" s="16"/>
      <c r="R146" s="32" t="e">
        <f t="shared" si="18"/>
        <v>#DIV/0!</v>
      </c>
      <c r="S146" s="16"/>
      <c r="T146" s="16"/>
      <c r="U146" s="32" t="e">
        <f t="shared" si="19"/>
        <v>#DIV/0!</v>
      </c>
      <c r="V146" s="16"/>
      <c r="W146" s="16"/>
      <c r="X146" s="16" t="e">
        <f t="shared" si="20"/>
        <v>#DIV/0!</v>
      </c>
      <c r="Y146" s="16">
        <f>COUNTA(J146:W146)/2</f>
        <v>4</v>
      </c>
      <c r="Z146" s="16">
        <f>J146+M146+P146+S146+V146</f>
        <v>12</v>
      </c>
      <c r="AA146" s="16">
        <f t="shared" si="21"/>
        <v>5</v>
      </c>
      <c r="AB146" s="16">
        <f t="shared" si="22"/>
        <v>17</v>
      </c>
      <c r="AC146" s="24">
        <f t="shared" si="23"/>
        <v>0.70588235294117652</v>
      </c>
      <c r="AD146" s="11" t="s">
        <v>430</v>
      </c>
      <c r="AE146" s="11" t="s">
        <v>36</v>
      </c>
      <c r="AF146" s="11" t="s">
        <v>37</v>
      </c>
      <c r="AG146" s="13">
        <v>2</v>
      </c>
    </row>
    <row r="147" spans="1:33">
      <c r="A147" s="14" t="s">
        <v>428</v>
      </c>
      <c r="B147" s="10" t="s">
        <v>43</v>
      </c>
      <c r="C147" s="10" t="s">
        <v>352</v>
      </c>
      <c r="D147" s="10" t="s">
        <v>72</v>
      </c>
      <c r="E147" s="10" t="s">
        <v>73</v>
      </c>
      <c r="F147" s="10" t="s">
        <v>431</v>
      </c>
      <c r="G147" s="10" t="s">
        <v>39</v>
      </c>
      <c r="H147" s="34">
        <v>3</v>
      </c>
      <c r="I147" s="28">
        <v>145</v>
      </c>
      <c r="J147" s="16">
        <v>6</v>
      </c>
      <c r="K147" s="16">
        <v>0</v>
      </c>
      <c r="L147" s="32">
        <f t="shared" si="16"/>
        <v>1</v>
      </c>
      <c r="M147" s="16">
        <v>6</v>
      </c>
      <c r="N147" s="16">
        <v>3</v>
      </c>
      <c r="O147" s="32">
        <f t="shared" si="17"/>
        <v>0.66666666666666663</v>
      </c>
      <c r="P147" s="16">
        <v>6</v>
      </c>
      <c r="Q147" s="16">
        <v>4</v>
      </c>
      <c r="R147" s="32">
        <f t="shared" si="18"/>
        <v>0.6</v>
      </c>
      <c r="S147" s="16"/>
      <c r="T147" s="16"/>
      <c r="U147" s="32" t="e">
        <f t="shared" si="19"/>
        <v>#DIV/0!</v>
      </c>
      <c r="V147" s="16"/>
      <c r="W147" s="16"/>
      <c r="X147" s="16" t="e">
        <f t="shared" si="20"/>
        <v>#DIV/0!</v>
      </c>
      <c r="Y147" s="16">
        <f>COUNTA(J147:W147)/2</f>
        <v>5</v>
      </c>
      <c r="Z147" s="16">
        <f>J147+M147+P147+S147+V147</f>
        <v>18</v>
      </c>
      <c r="AA147" s="16">
        <f t="shared" si="21"/>
        <v>7</v>
      </c>
      <c r="AB147" s="16">
        <f t="shared" si="22"/>
        <v>25</v>
      </c>
      <c r="AC147" s="24">
        <f t="shared" si="23"/>
        <v>0.72</v>
      </c>
      <c r="AD147" s="10" t="s">
        <v>425</v>
      </c>
      <c r="AE147" s="10" t="s">
        <v>72</v>
      </c>
      <c r="AF147" s="10" t="s">
        <v>73</v>
      </c>
      <c r="AG147" s="16">
        <v>1</v>
      </c>
    </row>
    <row r="148" spans="1:33">
      <c r="A148" s="14" t="s">
        <v>432</v>
      </c>
      <c r="B148" s="10" t="s">
        <v>34</v>
      </c>
      <c r="C148" s="10" t="s">
        <v>417</v>
      </c>
      <c r="D148" s="10" t="s">
        <v>72</v>
      </c>
      <c r="E148" s="10" t="s">
        <v>73</v>
      </c>
      <c r="F148" s="10" t="s">
        <v>214</v>
      </c>
      <c r="G148" s="10" t="s">
        <v>39</v>
      </c>
      <c r="H148" s="34">
        <v>2</v>
      </c>
      <c r="I148" s="28">
        <v>105</v>
      </c>
      <c r="J148" s="13">
        <v>6</v>
      </c>
      <c r="K148" s="13">
        <v>2</v>
      </c>
      <c r="L148" s="32">
        <f t="shared" si="16"/>
        <v>0.75</v>
      </c>
      <c r="M148" s="13">
        <v>6</v>
      </c>
      <c r="N148" s="13">
        <v>3</v>
      </c>
      <c r="O148" s="32">
        <f t="shared" si="17"/>
        <v>0.66666666666666663</v>
      </c>
      <c r="P148" s="13"/>
      <c r="Q148" s="13"/>
      <c r="R148" s="32" t="e">
        <f t="shared" si="18"/>
        <v>#DIV/0!</v>
      </c>
      <c r="S148" s="13"/>
      <c r="T148" s="13"/>
      <c r="U148" s="32" t="e">
        <f t="shared" si="19"/>
        <v>#DIV/0!</v>
      </c>
      <c r="V148" s="13"/>
      <c r="W148" s="13"/>
      <c r="X148" s="16" t="e">
        <f t="shared" si="20"/>
        <v>#DIV/0!</v>
      </c>
      <c r="Y148" s="16">
        <f>COUNTA(J148:W148)/2</f>
        <v>4</v>
      </c>
      <c r="Z148" s="16">
        <f>J148+M148+P148+S148+V148</f>
        <v>12</v>
      </c>
      <c r="AA148" s="16">
        <f t="shared" si="21"/>
        <v>5</v>
      </c>
      <c r="AB148" s="16">
        <f t="shared" si="22"/>
        <v>17</v>
      </c>
      <c r="AC148" s="24">
        <f t="shared" si="23"/>
        <v>0.70588235294117652</v>
      </c>
      <c r="AD148" s="10" t="s">
        <v>433</v>
      </c>
      <c r="AE148" s="10" t="s">
        <v>72</v>
      </c>
      <c r="AF148" s="10" t="s">
        <v>73</v>
      </c>
      <c r="AG148" s="16">
        <v>8</v>
      </c>
    </row>
    <row r="149" spans="1:33">
      <c r="A149" s="9" t="s">
        <v>432</v>
      </c>
      <c r="B149" s="10" t="s">
        <v>43</v>
      </c>
      <c r="C149" s="11" t="s">
        <v>434</v>
      </c>
      <c r="D149" s="11" t="s">
        <v>72</v>
      </c>
      <c r="E149" s="11" t="s">
        <v>73</v>
      </c>
      <c r="F149" s="11" t="s">
        <v>435</v>
      </c>
      <c r="G149" s="10" t="s">
        <v>39</v>
      </c>
      <c r="H149" s="35">
        <v>4</v>
      </c>
      <c r="I149" s="29">
        <v>270</v>
      </c>
      <c r="J149" s="13">
        <v>7</v>
      </c>
      <c r="K149" s="13">
        <v>5</v>
      </c>
      <c r="L149" s="32">
        <f t="shared" si="16"/>
        <v>0.58333333333333337</v>
      </c>
      <c r="M149" s="13">
        <v>12</v>
      </c>
      <c r="N149" s="13">
        <v>10</v>
      </c>
      <c r="O149" s="32">
        <f t="shared" si="17"/>
        <v>0.54545454545454541</v>
      </c>
      <c r="P149" s="13">
        <v>2</v>
      </c>
      <c r="Q149" s="13">
        <v>6</v>
      </c>
      <c r="R149" s="32">
        <f t="shared" si="18"/>
        <v>0.25</v>
      </c>
      <c r="S149" s="13">
        <v>6</v>
      </c>
      <c r="T149" s="13">
        <v>2</v>
      </c>
      <c r="U149" s="32">
        <f t="shared" si="19"/>
        <v>0.75</v>
      </c>
      <c r="V149" s="13"/>
      <c r="W149" s="13"/>
      <c r="X149" s="16" t="e">
        <f t="shared" si="20"/>
        <v>#DIV/0!</v>
      </c>
      <c r="Y149" s="16">
        <f>COUNTA(J149:W149)/2</f>
        <v>6</v>
      </c>
      <c r="Z149" s="16">
        <f>J149+M149+P149+S149+V149</f>
        <v>27</v>
      </c>
      <c r="AA149" s="16">
        <f t="shared" si="21"/>
        <v>23</v>
      </c>
      <c r="AB149" s="16">
        <f t="shared" si="22"/>
        <v>50</v>
      </c>
      <c r="AC149" s="24">
        <f t="shared" si="23"/>
        <v>0.54</v>
      </c>
      <c r="AD149" s="11" t="s">
        <v>436</v>
      </c>
      <c r="AE149" s="11" t="s">
        <v>72</v>
      </c>
      <c r="AF149" s="11" t="s">
        <v>73</v>
      </c>
      <c r="AG149" s="13">
        <v>1</v>
      </c>
    </row>
    <row r="150" spans="1:33">
      <c r="A150" s="9" t="s">
        <v>437</v>
      </c>
      <c r="B150" s="10" t="s">
        <v>34</v>
      </c>
      <c r="C150" s="11" t="s">
        <v>438</v>
      </c>
      <c r="D150" s="11" t="s">
        <v>72</v>
      </c>
      <c r="E150" s="11" t="s">
        <v>73</v>
      </c>
      <c r="F150" s="11" t="s">
        <v>210</v>
      </c>
      <c r="G150" s="10" t="s">
        <v>39</v>
      </c>
      <c r="H150" s="35">
        <v>1</v>
      </c>
      <c r="I150" s="29">
        <v>115</v>
      </c>
      <c r="J150" s="16">
        <v>6</v>
      </c>
      <c r="K150" s="16">
        <v>1</v>
      </c>
      <c r="L150" s="32">
        <f t="shared" si="16"/>
        <v>0.8571428571428571</v>
      </c>
      <c r="M150" s="16">
        <v>7</v>
      </c>
      <c r="N150" s="16">
        <v>5</v>
      </c>
      <c r="O150" s="32">
        <f t="shared" si="17"/>
        <v>0.58333333333333337</v>
      </c>
      <c r="P150" s="16"/>
      <c r="Q150" s="16"/>
      <c r="R150" s="32" t="e">
        <f t="shared" si="18"/>
        <v>#DIV/0!</v>
      </c>
      <c r="S150" s="16"/>
      <c r="T150" s="16"/>
      <c r="U150" s="32" t="e">
        <f t="shared" si="19"/>
        <v>#DIV/0!</v>
      </c>
      <c r="V150" s="16"/>
      <c r="W150" s="16"/>
      <c r="X150" s="16" t="e">
        <f t="shared" si="20"/>
        <v>#DIV/0!</v>
      </c>
      <c r="Y150" s="16">
        <f>COUNTA(J150:W150)/2</f>
        <v>4</v>
      </c>
      <c r="Z150" s="16">
        <f>J150+M150+P150+S150+V150</f>
        <v>13</v>
      </c>
      <c r="AA150" s="16">
        <f t="shared" si="21"/>
        <v>6</v>
      </c>
      <c r="AB150" s="16">
        <f t="shared" si="22"/>
        <v>19</v>
      </c>
      <c r="AC150" s="24">
        <f t="shared" si="23"/>
        <v>0.68421052631578949</v>
      </c>
      <c r="AD150" s="11" t="s">
        <v>417</v>
      </c>
      <c r="AE150" s="11" t="s">
        <v>72</v>
      </c>
      <c r="AF150" s="11" t="s">
        <v>73</v>
      </c>
      <c r="AG150" s="13">
        <v>3</v>
      </c>
    </row>
    <row r="151" spans="1:33">
      <c r="A151" s="14" t="s">
        <v>437</v>
      </c>
      <c r="B151" s="10" t="s">
        <v>43</v>
      </c>
      <c r="C151" s="10" t="s">
        <v>439</v>
      </c>
      <c r="D151" s="10" t="s">
        <v>36</v>
      </c>
      <c r="E151" s="18" t="s">
        <v>37</v>
      </c>
      <c r="F151" s="10" t="s">
        <v>440</v>
      </c>
      <c r="G151" s="10" t="s">
        <v>39</v>
      </c>
      <c r="H151" s="34">
        <v>4</v>
      </c>
      <c r="I151" s="28">
        <v>185</v>
      </c>
      <c r="J151" s="16">
        <v>6</v>
      </c>
      <c r="K151" s="16">
        <v>3</v>
      </c>
      <c r="L151" s="32">
        <f t="shared" si="16"/>
        <v>0.66666666666666663</v>
      </c>
      <c r="M151" s="16">
        <v>2</v>
      </c>
      <c r="N151" s="16">
        <v>6</v>
      </c>
      <c r="O151" s="32">
        <f t="shared" si="17"/>
        <v>0.25</v>
      </c>
      <c r="P151" s="16">
        <v>6</v>
      </c>
      <c r="Q151" s="16">
        <v>3</v>
      </c>
      <c r="R151" s="32">
        <f t="shared" si="18"/>
        <v>0.66666666666666663</v>
      </c>
      <c r="S151" s="16">
        <v>6</v>
      </c>
      <c r="T151" s="16">
        <v>1</v>
      </c>
      <c r="U151" s="32">
        <f t="shared" si="19"/>
        <v>0.8571428571428571</v>
      </c>
      <c r="V151" s="16"/>
      <c r="W151" s="16"/>
      <c r="X151" s="16" t="e">
        <f t="shared" si="20"/>
        <v>#DIV/0!</v>
      </c>
      <c r="Y151" s="16">
        <f>COUNTA(J151:W151)/2</f>
        <v>6</v>
      </c>
      <c r="Z151" s="16">
        <f>J151+M151+P151+S151+V151</f>
        <v>20</v>
      </c>
      <c r="AA151" s="16">
        <f t="shared" si="21"/>
        <v>13</v>
      </c>
      <c r="AB151" s="16">
        <f t="shared" si="22"/>
        <v>33</v>
      </c>
      <c r="AC151" s="24">
        <f t="shared" si="23"/>
        <v>0.60606060606060608</v>
      </c>
      <c r="AD151" s="10" t="s">
        <v>434</v>
      </c>
      <c r="AE151" s="10" t="s">
        <v>72</v>
      </c>
      <c r="AF151" s="10" t="s">
        <v>73</v>
      </c>
      <c r="AG151" s="16">
        <v>3</v>
      </c>
    </row>
    <row r="152" spans="1:33">
      <c r="A152" s="14" t="s">
        <v>441</v>
      </c>
      <c r="B152" s="10" t="s">
        <v>34</v>
      </c>
      <c r="C152" s="10" t="s">
        <v>442</v>
      </c>
      <c r="D152" s="10" t="s">
        <v>36</v>
      </c>
      <c r="E152" s="18" t="s">
        <v>37</v>
      </c>
      <c r="F152" s="10" t="s">
        <v>124</v>
      </c>
      <c r="G152" s="10" t="s">
        <v>39</v>
      </c>
      <c r="H152" s="34">
        <v>1</v>
      </c>
      <c r="I152" s="28">
        <v>165</v>
      </c>
      <c r="J152" s="13">
        <v>6</v>
      </c>
      <c r="K152" s="13">
        <v>4</v>
      </c>
      <c r="L152" s="32">
        <f t="shared" si="16"/>
        <v>0.6</v>
      </c>
      <c r="M152" s="13">
        <v>3</v>
      </c>
      <c r="N152" s="13">
        <v>6</v>
      </c>
      <c r="O152" s="32">
        <f t="shared" si="17"/>
        <v>0.33333333333333331</v>
      </c>
      <c r="P152" s="13">
        <v>6</v>
      </c>
      <c r="Q152" s="13">
        <v>4</v>
      </c>
      <c r="R152" s="32">
        <f t="shared" si="18"/>
        <v>0.6</v>
      </c>
      <c r="S152" s="13"/>
      <c r="T152" s="13"/>
      <c r="U152" s="32" t="e">
        <f t="shared" si="19"/>
        <v>#DIV/0!</v>
      </c>
      <c r="V152" s="13"/>
      <c r="W152" s="13"/>
      <c r="X152" s="16" t="e">
        <f t="shared" si="20"/>
        <v>#DIV/0!</v>
      </c>
      <c r="Y152" s="16">
        <f>COUNTA(J152:W152)/2</f>
        <v>5</v>
      </c>
      <c r="Z152" s="16">
        <f>J152+M152+P152+S152+V152</f>
        <v>15</v>
      </c>
      <c r="AA152" s="16">
        <f t="shared" si="21"/>
        <v>14</v>
      </c>
      <c r="AB152" s="16">
        <f t="shared" si="22"/>
        <v>29</v>
      </c>
      <c r="AC152" s="24">
        <f t="shared" si="23"/>
        <v>0.51724137931034486</v>
      </c>
      <c r="AD152" s="10" t="s">
        <v>443</v>
      </c>
      <c r="AE152" s="10" t="s">
        <v>36</v>
      </c>
      <c r="AF152" s="10" t="s">
        <v>37</v>
      </c>
      <c r="AG152" s="16">
        <v>2</v>
      </c>
    </row>
    <row r="153" spans="1:33">
      <c r="A153" s="9" t="s">
        <v>441</v>
      </c>
      <c r="B153" s="10" t="s">
        <v>43</v>
      </c>
      <c r="C153" s="11" t="s">
        <v>436</v>
      </c>
      <c r="D153" s="11" t="s">
        <v>72</v>
      </c>
      <c r="E153" s="11" t="s">
        <v>73</v>
      </c>
      <c r="F153" s="11" t="s">
        <v>444</v>
      </c>
      <c r="G153" s="10" t="s">
        <v>39</v>
      </c>
      <c r="H153" s="35">
        <v>5</v>
      </c>
      <c r="I153" s="29">
        <v>200</v>
      </c>
      <c r="J153" s="13">
        <v>6</v>
      </c>
      <c r="K153" s="13">
        <v>3</v>
      </c>
      <c r="L153" s="32">
        <f t="shared" si="16"/>
        <v>0.66666666666666663</v>
      </c>
      <c r="M153" s="13">
        <v>6</v>
      </c>
      <c r="N153" s="13">
        <v>4</v>
      </c>
      <c r="O153" s="32">
        <f t="shared" si="17"/>
        <v>0.6</v>
      </c>
      <c r="P153" s="13">
        <v>4</v>
      </c>
      <c r="Q153" s="13">
        <v>6</v>
      </c>
      <c r="R153" s="32">
        <f t="shared" si="18"/>
        <v>0.4</v>
      </c>
      <c r="S153" s="13">
        <v>6</v>
      </c>
      <c r="T153" s="13">
        <v>1</v>
      </c>
      <c r="U153" s="32">
        <f t="shared" si="19"/>
        <v>0.8571428571428571</v>
      </c>
      <c r="V153" s="13"/>
      <c r="W153" s="13"/>
      <c r="X153" s="16" t="e">
        <f t="shared" si="20"/>
        <v>#DIV/0!</v>
      </c>
      <c r="Y153" s="16">
        <f>COUNTA(J153:W153)/2</f>
        <v>6</v>
      </c>
      <c r="Z153" s="16">
        <f>J153+M153+P153+S153+V153</f>
        <v>22</v>
      </c>
      <c r="AA153" s="16">
        <f t="shared" si="21"/>
        <v>14</v>
      </c>
      <c r="AB153" s="16">
        <f t="shared" si="22"/>
        <v>36</v>
      </c>
      <c r="AC153" s="24">
        <f t="shared" si="23"/>
        <v>0.61111111111111116</v>
      </c>
      <c r="AD153" s="11" t="s">
        <v>434</v>
      </c>
      <c r="AE153" s="11" t="s">
        <v>72</v>
      </c>
      <c r="AF153" s="11" t="s">
        <v>73</v>
      </c>
      <c r="AG153" s="13" t="s">
        <v>91</v>
      </c>
    </row>
    <row r="154" spans="1:33">
      <c r="A154" s="9" t="s">
        <v>445</v>
      </c>
      <c r="B154" s="10" t="s">
        <v>34</v>
      </c>
      <c r="C154" s="11" t="s">
        <v>443</v>
      </c>
      <c r="D154" s="11" t="s">
        <v>36</v>
      </c>
      <c r="E154" s="11" t="s">
        <v>37</v>
      </c>
      <c r="F154" s="11" t="s">
        <v>262</v>
      </c>
      <c r="G154" s="10" t="s">
        <v>39</v>
      </c>
      <c r="H154" s="35">
        <v>1</v>
      </c>
      <c r="I154" s="29">
        <v>115</v>
      </c>
      <c r="J154" s="16">
        <v>6</v>
      </c>
      <c r="K154" s="16">
        <v>3</v>
      </c>
      <c r="L154" s="32">
        <f t="shared" si="16"/>
        <v>0.66666666666666663</v>
      </c>
      <c r="M154" s="16">
        <v>6</v>
      </c>
      <c r="N154" s="16">
        <v>4</v>
      </c>
      <c r="O154" s="32">
        <f t="shared" si="17"/>
        <v>0.6</v>
      </c>
      <c r="P154" s="16"/>
      <c r="Q154" s="16"/>
      <c r="R154" s="32" t="e">
        <f t="shared" si="18"/>
        <v>#DIV/0!</v>
      </c>
      <c r="S154" s="16"/>
      <c r="T154" s="16"/>
      <c r="U154" s="32" t="e">
        <f t="shared" si="19"/>
        <v>#DIV/0!</v>
      </c>
      <c r="V154" s="16"/>
      <c r="W154" s="16"/>
      <c r="X154" s="16" t="e">
        <f t="shared" si="20"/>
        <v>#DIV/0!</v>
      </c>
      <c r="Y154" s="16">
        <f>COUNTA(J154:W154)/2</f>
        <v>4</v>
      </c>
      <c r="Z154" s="16">
        <f>J154+M154+P154+S154+V154</f>
        <v>12</v>
      </c>
      <c r="AA154" s="16">
        <f t="shared" si="21"/>
        <v>7</v>
      </c>
      <c r="AB154" s="16">
        <f t="shared" si="22"/>
        <v>19</v>
      </c>
      <c r="AC154" s="24">
        <f t="shared" si="23"/>
        <v>0.63157894736842102</v>
      </c>
      <c r="AD154" s="11" t="s">
        <v>438</v>
      </c>
      <c r="AE154" s="11" t="s">
        <v>72</v>
      </c>
      <c r="AF154" s="11" t="s">
        <v>73</v>
      </c>
      <c r="AG154" s="13">
        <v>2</v>
      </c>
    </row>
    <row r="155" spans="1:33">
      <c r="A155" s="14" t="s">
        <v>445</v>
      </c>
      <c r="B155" s="10" t="s">
        <v>43</v>
      </c>
      <c r="C155" s="10" t="s">
        <v>436</v>
      </c>
      <c r="D155" s="10" t="s">
        <v>72</v>
      </c>
      <c r="E155" s="10" t="s">
        <v>73</v>
      </c>
      <c r="F155" s="10" t="s">
        <v>446</v>
      </c>
      <c r="G155" s="10" t="s">
        <v>39</v>
      </c>
      <c r="H155" s="34">
        <v>4</v>
      </c>
      <c r="I155" s="28">
        <v>145</v>
      </c>
      <c r="J155" s="16">
        <v>6</v>
      </c>
      <c r="K155" s="16">
        <v>3</v>
      </c>
      <c r="L155" s="32">
        <f t="shared" si="16"/>
        <v>0.66666666666666663</v>
      </c>
      <c r="M155" s="16">
        <v>6</v>
      </c>
      <c r="N155" s="16">
        <v>2</v>
      </c>
      <c r="O155" s="32">
        <f t="shared" si="17"/>
        <v>0.75</v>
      </c>
      <c r="P155" s="16">
        <v>6</v>
      </c>
      <c r="Q155" s="16">
        <v>2</v>
      </c>
      <c r="R155" s="32">
        <f t="shared" si="18"/>
        <v>0.75</v>
      </c>
      <c r="S155" s="16"/>
      <c r="T155" s="16"/>
      <c r="U155" s="32" t="e">
        <f t="shared" si="19"/>
        <v>#DIV/0!</v>
      </c>
      <c r="V155" s="16"/>
      <c r="W155" s="16"/>
      <c r="X155" s="16" t="e">
        <f t="shared" si="20"/>
        <v>#DIV/0!</v>
      </c>
      <c r="Y155" s="16">
        <f>COUNTA(J155:W155)/2</f>
        <v>5</v>
      </c>
      <c r="Z155" s="16">
        <f>J155+M155+P155+S155+V155</f>
        <v>18</v>
      </c>
      <c r="AA155" s="16">
        <f t="shared" si="21"/>
        <v>7</v>
      </c>
      <c r="AB155" s="16">
        <f t="shared" si="22"/>
        <v>25</v>
      </c>
      <c r="AC155" s="24">
        <f t="shared" si="23"/>
        <v>0.72</v>
      </c>
      <c r="AD155" s="10" t="s">
        <v>447</v>
      </c>
      <c r="AE155" s="10" t="s">
        <v>72</v>
      </c>
      <c r="AF155" s="10" t="s">
        <v>73</v>
      </c>
      <c r="AG155" s="16">
        <v>1</v>
      </c>
    </row>
    <row r="156" spans="1:33">
      <c r="A156" s="14" t="s">
        <v>448</v>
      </c>
      <c r="B156" s="10" t="s">
        <v>34</v>
      </c>
      <c r="C156" s="10" t="s">
        <v>438</v>
      </c>
      <c r="D156" s="10" t="s">
        <v>72</v>
      </c>
      <c r="E156" s="10" t="s">
        <v>73</v>
      </c>
      <c r="F156" s="10" t="s">
        <v>449</v>
      </c>
      <c r="G156" s="10" t="s">
        <v>39</v>
      </c>
      <c r="H156" s="34">
        <v>1</v>
      </c>
      <c r="I156" s="28">
        <v>100</v>
      </c>
      <c r="J156" s="13">
        <v>6</v>
      </c>
      <c r="K156" s="13">
        <v>3</v>
      </c>
      <c r="L156" s="32">
        <f t="shared" si="16"/>
        <v>0.66666666666666663</v>
      </c>
      <c r="M156" s="13">
        <v>6</v>
      </c>
      <c r="N156" s="13">
        <v>1</v>
      </c>
      <c r="O156" s="32">
        <f t="shared" si="17"/>
        <v>0.8571428571428571</v>
      </c>
      <c r="P156" s="13"/>
      <c r="Q156" s="13"/>
      <c r="R156" s="32" t="e">
        <f t="shared" si="18"/>
        <v>#DIV/0!</v>
      </c>
      <c r="S156" s="13"/>
      <c r="T156" s="13"/>
      <c r="U156" s="32" t="e">
        <f t="shared" si="19"/>
        <v>#DIV/0!</v>
      </c>
      <c r="V156" s="13"/>
      <c r="W156" s="13"/>
      <c r="X156" s="16" t="e">
        <f t="shared" si="20"/>
        <v>#DIV/0!</v>
      </c>
      <c r="Y156" s="16">
        <f>COUNTA(J156:W156)/2</f>
        <v>4</v>
      </c>
      <c r="Z156" s="16">
        <f>J156+M156+P156+S156+V156</f>
        <v>12</v>
      </c>
      <c r="AA156" s="16">
        <f t="shared" si="21"/>
        <v>4</v>
      </c>
      <c r="AB156" s="16">
        <f t="shared" si="22"/>
        <v>16</v>
      </c>
      <c r="AC156" s="24">
        <f t="shared" si="23"/>
        <v>0.75</v>
      </c>
      <c r="AD156" s="10" t="s">
        <v>450</v>
      </c>
      <c r="AE156" s="10" t="s">
        <v>72</v>
      </c>
      <c r="AF156" s="10" t="s">
        <v>73</v>
      </c>
      <c r="AG156" s="16">
        <v>4</v>
      </c>
    </row>
    <row r="157" spans="1:33">
      <c r="A157" s="9" t="s">
        <v>448</v>
      </c>
      <c r="B157" s="10" t="s">
        <v>43</v>
      </c>
      <c r="C157" s="11" t="s">
        <v>451</v>
      </c>
      <c r="D157" s="11" t="s">
        <v>72</v>
      </c>
      <c r="E157" s="11" t="s">
        <v>73</v>
      </c>
      <c r="F157" s="11" t="s">
        <v>452</v>
      </c>
      <c r="G157" s="10" t="s">
        <v>39</v>
      </c>
      <c r="H157" s="35">
        <v>2</v>
      </c>
      <c r="I157" s="29">
        <v>245</v>
      </c>
      <c r="J157" s="13">
        <v>6</v>
      </c>
      <c r="K157" s="13">
        <v>4</v>
      </c>
      <c r="L157" s="32">
        <f t="shared" si="16"/>
        <v>0.6</v>
      </c>
      <c r="M157" s="13">
        <v>3</v>
      </c>
      <c r="N157" s="13">
        <v>6</v>
      </c>
      <c r="O157" s="32">
        <f t="shared" si="17"/>
        <v>0.33333333333333331</v>
      </c>
      <c r="P157" s="13">
        <v>6</v>
      </c>
      <c r="Q157" s="13">
        <v>3</v>
      </c>
      <c r="R157" s="32">
        <f t="shared" si="18"/>
        <v>0.66666666666666663</v>
      </c>
      <c r="S157" s="13">
        <v>2</v>
      </c>
      <c r="T157" s="13">
        <v>6</v>
      </c>
      <c r="U157" s="32">
        <f t="shared" si="19"/>
        <v>0.25</v>
      </c>
      <c r="V157" s="13">
        <v>6</v>
      </c>
      <c r="W157" s="13">
        <v>3</v>
      </c>
      <c r="X157" s="16">
        <f t="shared" si="20"/>
        <v>0.66666666666666663</v>
      </c>
      <c r="Y157" s="16">
        <f>COUNTA(J157:W157)/2</f>
        <v>7</v>
      </c>
      <c r="Z157" s="16">
        <f>J157+M157+P157+S157+V157</f>
        <v>23</v>
      </c>
      <c r="AA157" s="16">
        <f t="shared" si="21"/>
        <v>22</v>
      </c>
      <c r="AB157" s="16">
        <f t="shared" si="22"/>
        <v>45</v>
      </c>
      <c r="AC157" s="24">
        <f t="shared" si="23"/>
        <v>0.51111111111111107</v>
      </c>
      <c r="AD157" s="11" t="s">
        <v>447</v>
      </c>
      <c r="AE157" s="11" t="s">
        <v>72</v>
      </c>
      <c r="AF157" s="11" t="s">
        <v>73</v>
      </c>
      <c r="AG157" s="13">
        <v>1</v>
      </c>
    </row>
    <row r="158" spans="1:33">
      <c r="A158" s="9" t="s">
        <v>453</v>
      </c>
      <c r="B158" s="10" t="s">
        <v>34</v>
      </c>
      <c r="C158" s="11" t="s">
        <v>438</v>
      </c>
      <c r="D158" s="11" t="s">
        <v>72</v>
      </c>
      <c r="E158" s="11" t="s">
        <v>73</v>
      </c>
      <c r="F158" s="11" t="s">
        <v>237</v>
      </c>
      <c r="G158" s="10" t="s">
        <v>39</v>
      </c>
      <c r="H158" s="35">
        <v>1</v>
      </c>
      <c r="I158" s="29">
        <v>105</v>
      </c>
      <c r="J158" s="16">
        <v>6</v>
      </c>
      <c r="K158" s="16">
        <v>3</v>
      </c>
      <c r="L158" s="32">
        <f t="shared" si="16"/>
        <v>0.66666666666666663</v>
      </c>
      <c r="M158" s="16">
        <v>6</v>
      </c>
      <c r="N158" s="16">
        <v>2</v>
      </c>
      <c r="O158" s="32">
        <f t="shared" si="17"/>
        <v>0.75</v>
      </c>
      <c r="P158" s="16"/>
      <c r="Q158" s="16"/>
      <c r="R158" s="32" t="e">
        <f t="shared" si="18"/>
        <v>#DIV/0!</v>
      </c>
      <c r="S158" s="16"/>
      <c r="T158" s="16"/>
      <c r="U158" s="32" t="e">
        <f t="shared" si="19"/>
        <v>#DIV/0!</v>
      </c>
      <c r="V158" s="16"/>
      <c r="W158" s="16"/>
      <c r="X158" s="16" t="e">
        <f t="shared" si="20"/>
        <v>#DIV/0!</v>
      </c>
      <c r="Y158" s="16">
        <f>COUNTA(J158:W158)/2</f>
        <v>4</v>
      </c>
      <c r="Z158" s="16">
        <f>J158+M158+P158+S158+V158</f>
        <v>12</v>
      </c>
      <c r="AA158" s="16">
        <f t="shared" si="21"/>
        <v>5</v>
      </c>
      <c r="AB158" s="16">
        <f t="shared" si="22"/>
        <v>17</v>
      </c>
      <c r="AC158" s="24">
        <f t="shared" si="23"/>
        <v>0.70588235294117652</v>
      </c>
      <c r="AD158" s="11" t="s">
        <v>454</v>
      </c>
      <c r="AE158" s="11" t="s">
        <v>72</v>
      </c>
      <c r="AF158" s="11" t="s">
        <v>73</v>
      </c>
      <c r="AG158" s="13">
        <v>6</v>
      </c>
    </row>
    <row r="159" spans="1:33">
      <c r="A159" s="14" t="s">
        <v>453</v>
      </c>
      <c r="B159" s="10" t="s">
        <v>43</v>
      </c>
      <c r="C159" s="10" t="s">
        <v>455</v>
      </c>
      <c r="D159" s="10" t="s">
        <v>72</v>
      </c>
      <c r="E159" s="10" t="s">
        <v>73</v>
      </c>
      <c r="F159" s="10" t="s">
        <v>456</v>
      </c>
      <c r="G159" s="10" t="s">
        <v>39</v>
      </c>
      <c r="H159" s="34">
        <v>2</v>
      </c>
      <c r="I159" s="28">
        <v>295</v>
      </c>
      <c r="J159" s="16">
        <v>4</v>
      </c>
      <c r="K159" s="16">
        <v>6</v>
      </c>
      <c r="L159" s="32">
        <f t="shared" si="16"/>
        <v>0.4</v>
      </c>
      <c r="M159" s="16">
        <v>6</v>
      </c>
      <c r="N159" s="16">
        <v>4</v>
      </c>
      <c r="O159" s="32">
        <f t="shared" si="17"/>
        <v>0.6</v>
      </c>
      <c r="P159" s="16">
        <v>3</v>
      </c>
      <c r="Q159" s="16">
        <v>6</v>
      </c>
      <c r="R159" s="32">
        <f t="shared" si="18"/>
        <v>0.33333333333333331</v>
      </c>
      <c r="S159" s="16">
        <v>7</v>
      </c>
      <c r="T159" s="16">
        <v>5</v>
      </c>
      <c r="U159" s="32">
        <f t="shared" si="19"/>
        <v>0.58333333333333337</v>
      </c>
      <c r="V159" s="16">
        <v>8</v>
      </c>
      <c r="W159" s="16">
        <v>6</v>
      </c>
      <c r="X159" s="16">
        <f t="shared" si="20"/>
        <v>0.5714285714285714</v>
      </c>
      <c r="Y159" s="16">
        <f>COUNTA(J159:W159)/2</f>
        <v>7</v>
      </c>
      <c r="Z159" s="16">
        <f>J159+M159+P159+S159+V159</f>
        <v>28</v>
      </c>
      <c r="AA159" s="16">
        <f t="shared" si="21"/>
        <v>27</v>
      </c>
      <c r="AB159" s="16">
        <f t="shared" si="22"/>
        <v>55</v>
      </c>
      <c r="AC159" s="24">
        <f t="shared" si="23"/>
        <v>0.50909090909090904</v>
      </c>
      <c r="AD159" s="10" t="s">
        <v>447</v>
      </c>
      <c r="AE159" s="10" t="s">
        <v>72</v>
      </c>
      <c r="AF159" s="10" t="s">
        <v>73</v>
      </c>
      <c r="AG159" s="16">
        <v>1</v>
      </c>
    </row>
    <row r="160" spans="1:33">
      <c r="A160" s="14" t="s">
        <v>457</v>
      </c>
      <c r="B160" s="10" t="s">
        <v>34</v>
      </c>
      <c r="C160" s="10" t="s">
        <v>438</v>
      </c>
      <c r="D160" s="10" t="s">
        <v>72</v>
      </c>
      <c r="E160" s="10" t="s">
        <v>73</v>
      </c>
      <c r="F160" s="10" t="s">
        <v>119</v>
      </c>
      <c r="G160" s="10" t="s">
        <v>39</v>
      </c>
      <c r="H160" s="34">
        <v>1</v>
      </c>
      <c r="I160" s="28">
        <v>120</v>
      </c>
      <c r="J160" s="13">
        <v>6</v>
      </c>
      <c r="K160" s="13">
        <v>4</v>
      </c>
      <c r="L160" s="32">
        <f t="shared" si="16"/>
        <v>0.6</v>
      </c>
      <c r="M160" s="13">
        <v>6</v>
      </c>
      <c r="N160" s="13">
        <v>4</v>
      </c>
      <c r="O160" s="32">
        <f t="shared" si="17"/>
        <v>0.6</v>
      </c>
      <c r="P160" s="13"/>
      <c r="Q160" s="13"/>
      <c r="R160" s="32" t="e">
        <f t="shared" si="18"/>
        <v>#DIV/0!</v>
      </c>
      <c r="S160" s="13"/>
      <c r="T160" s="13"/>
      <c r="U160" s="32" t="e">
        <f t="shared" si="19"/>
        <v>#DIV/0!</v>
      </c>
      <c r="V160" s="13"/>
      <c r="W160" s="13"/>
      <c r="X160" s="16" t="e">
        <f t="shared" si="20"/>
        <v>#DIV/0!</v>
      </c>
      <c r="Y160" s="16">
        <f>COUNTA(J160:W160)/2</f>
        <v>4</v>
      </c>
      <c r="Z160" s="16">
        <f>J160+M160+P160+S160+V160</f>
        <v>12</v>
      </c>
      <c r="AA160" s="16">
        <f t="shared" si="21"/>
        <v>8</v>
      </c>
      <c r="AB160" s="16">
        <f t="shared" si="22"/>
        <v>20</v>
      </c>
      <c r="AC160" s="24">
        <f t="shared" si="23"/>
        <v>0.6</v>
      </c>
      <c r="AD160" s="10" t="s">
        <v>458</v>
      </c>
      <c r="AE160" s="10" t="s">
        <v>72</v>
      </c>
      <c r="AF160" s="10" t="s">
        <v>73</v>
      </c>
      <c r="AG160" s="16">
        <v>8</v>
      </c>
    </row>
    <row r="161" spans="1:33">
      <c r="A161" s="9" t="s">
        <v>457</v>
      </c>
      <c r="B161" s="10" t="s">
        <v>43</v>
      </c>
      <c r="C161" s="11" t="s">
        <v>447</v>
      </c>
      <c r="D161" s="11" t="s">
        <v>72</v>
      </c>
      <c r="E161" s="11" t="s">
        <v>73</v>
      </c>
      <c r="F161" s="11" t="s">
        <v>459</v>
      </c>
      <c r="G161" s="10" t="s">
        <v>39</v>
      </c>
      <c r="H161" s="35">
        <v>1</v>
      </c>
      <c r="I161" s="29">
        <v>270</v>
      </c>
      <c r="J161" s="13">
        <v>5</v>
      </c>
      <c r="K161" s="13">
        <v>7</v>
      </c>
      <c r="L161" s="32">
        <f t="shared" si="16"/>
        <v>0.41666666666666669</v>
      </c>
      <c r="M161" s="13">
        <v>6</v>
      </c>
      <c r="N161" s="13">
        <v>3</v>
      </c>
      <c r="O161" s="32">
        <f t="shared" si="17"/>
        <v>0.66666666666666663</v>
      </c>
      <c r="P161" s="13">
        <v>7</v>
      </c>
      <c r="Q161" s="13">
        <v>5</v>
      </c>
      <c r="R161" s="32">
        <f t="shared" si="18"/>
        <v>0.58333333333333337</v>
      </c>
      <c r="S161" s="13">
        <v>3</v>
      </c>
      <c r="T161" s="13">
        <v>6</v>
      </c>
      <c r="U161" s="32">
        <f t="shared" si="19"/>
        <v>0.33333333333333331</v>
      </c>
      <c r="V161" s="13">
        <v>6</v>
      </c>
      <c r="W161" s="13">
        <v>2</v>
      </c>
      <c r="X161" s="16">
        <f t="shared" si="20"/>
        <v>0.75</v>
      </c>
      <c r="Y161" s="16">
        <f>COUNTA(J161:W161)/2</f>
        <v>7</v>
      </c>
      <c r="Z161" s="16">
        <f>J161+M161+P161+S161+V161</f>
        <v>27</v>
      </c>
      <c r="AA161" s="16">
        <f t="shared" si="21"/>
        <v>23</v>
      </c>
      <c r="AB161" s="16">
        <f t="shared" si="22"/>
        <v>50</v>
      </c>
      <c r="AC161" s="24">
        <f t="shared" si="23"/>
        <v>0.54</v>
      </c>
      <c r="AD161" s="11" t="s">
        <v>455</v>
      </c>
      <c r="AE161" s="11" t="s">
        <v>72</v>
      </c>
      <c r="AF161" s="11" t="s">
        <v>73</v>
      </c>
      <c r="AG161" s="13">
        <v>3</v>
      </c>
    </row>
    <row r="162" spans="1:33">
      <c r="A162" s="14" t="s">
        <v>460</v>
      </c>
      <c r="B162" s="10" t="s">
        <v>34</v>
      </c>
      <c r="C162" s="10" t="s">
        <v>438</v>
      </c>
      <c r="D162" s="10" t="s">
        <v>72</v>
      </c>
      <c r="E162" s="10" t="s">
        <v>73</v>
      </c>
      <c r="F162" s="10" t="s">
        <v>461</v>
      </c>
      <c r="G162" s="10" t="s">
        <v>39</v>
      </c>
      <c r="H162" s="34">
        <v>1</v>
      </c>
      <c r="I162" s="28">
        <v>160</v>
      </c>
      <c r="J162" s="16">
        <v>5</v>
      </c>
      <c r="K162" s="16">
        <v>7</v>
      </c>
      <c r="L162" s="32">
        <f t="shared" si="16"/>
        <v>0.41666666666666669</v>
      </c>
      <c r="M162" s="16">
        <v>6</v>
      </c>
      <c r="N162" s="16">
        <v>4</v>
      </c>
      <c r="O162" s="32">
        <f t="shared" si="17"/>
        <v>0.6</v>
      </c>
      <c r="P162" s="16">
        <v>6</v>
      </c>
      <c r="Q162" s="16">
        <v>0</v>
      </c>
      <c r="R162" s="32">
        <f t="shared" si="18"/>
        <v>1</v>
      </c>
      <c r="S162" s="16"/>
      <c r="T162" s="16"/>
      <c r="U162" s="32" t="e">
        <f t="shared" si="19"/>
        <v>#DIV/0!</v>
      </c>
      <c r="V162" s="16"/>
      <c r="W162" s="16"/>
      <c r="X162" s="16" t="e">
        <f t="shared" si="20"/>
        <v>#DIV/0!</v>
      </c>
      <c r="Y162" s="16">
        <f>COUNTA(J162:W162)/2</f>
        <v>5</v>
      </c>
      <c r="Z162" s="16">
        <f>J162+M162+P162+S162+V162</f>
        <v>17</v>
      </c>
      <c r="AA162" s="16">
        <f t="shared" si="21"/>
        <v>11</v>
      </c>
      <c r="AB162" s="16">
        <f t="shared" si="22"/>
        <v>28</v>
      </c>
      <c r="AC162" s="24">
        <f t="shared" si="23"/>
        <v>0.6071428571428571</v>
      </c>
      <c r="AD162" s="10" t="s">
        <v>417</v>
      </c>
      <c r="AE162" s="10" t="s">
        <v>72</v>
      </c>
      <c r="AF162" s="10" t="s">
        <v>73</v>
      </c>
      <c r="AG162" s="16">
        <v>2</v>
      </c>
    </row>
    <row r="163" spans="1:33">
      <c r="A163" s="14" t="s">
        <v>460</v>
      </c>
      <c r="B163" s="10" t="s">
        <v>43</v>
      </c>
      <c r="C163" s="10" t="s">
        <v>451</v>
      </c>
      <c r="D163" s="10" t="s">
        <v>72</v>
      </c>
      <c r="E163" s="10" t="s">
        <v>73</v>
      </c>
      <c r="F163" s="10" t="s">
        <v>462</v>
      </c>
      <c r="G163" s="10" t="s">
        <v>39</v>
      </c>
      <c r="H163" s="34">
        <v>2</v>
      </c>
      <c r="I163" s="28">
        <v>140</v>
      </c>
      <c r="J163" s="16">
        <v>6</v>
      </c>
      <c r="K163" s="16">
        <v>3</v>
      </c>
      <c r="L163" s="32">
        <f t="shared" si="16"/>
        <v>0.66666666666666663</v>
      </c>
      <c r="M163" s="16">
        <v>6</v>
      </c>
      <c r="N163" s="16">
        <v>1</v>
      </c>
      <c r="O163" s="32">
        <f t="shared" si="17"/>
        <v>0.8571428571428571</v>
      </c>
      <c r="P163" s="16">
        <v>6</v>
      </c>
      <c r="Q163" s="16">
        <v>2</v>
      </c>
      <c r="R163" s="32">
        <f t="shared" si="18"/>
        <v>0.75</v>
      </c>
      <c r="S163" s="16"/>
      <c r="T163" s="16"/>
      <c r="U163" s="32" t="e">
        <f t="shared" si="19"/>
        <v>#DIV/0!</v>
      </c>
      <c r="V163" s="16"/>
      <c r="W163" s="16"/>
      <c r="X163" s="16" t="e">
        <f t="shared" si="20"/>
        <v>#DIV/0!</v>
      </c>
      <c r="Y163" s="16">
        <f>COUNTA(J163:W163)/2</f>
        <v>5</v>
      </c>
      <c r="Z163" s="16">
        <f>J163+M163+P163+S163+V163</f>
        <v>18</v>
      </c>
      <c r="AA163" s="16">
        <f t="shared" si="21"/>
        <v>6</v>
      </c>
      <c r="AB163" s="16">
        <f t="shared" si="22"/>
        <v>24</v>
      </c>
      <c r="AC163" s="24">
        <f t="shared" si="23"/>
        <v>0.75</v>
      </c>
      <c r="AD163" s="10" t="s">
        <v>463</v>
      </c>
      <c r="AE163" s="10" t="s">
        <v>72</v>
      </c>
      <c r="AF163" s="10" t="s">
        <v>73</v>
      </c>
      <c r="AG163" s="16">
        <v>4</v>
      </c>
    </row>
    <row r="164" spans="1:33">
      <c r="A164" s="9" t="s">
        <v>464</v>
      </c>
      <c r="B164" s="10" t="s">
        <v>34</v>
      </c>
      <c r="C164" s="11" t="s">
        <v>465</v>
      </c>
      <c r="D164" s="11" t="s">
        <v>72</v>
      </c>
      <c r="E164" s="11" t="s">
        <v>73</v>
      </c>
      <c r="F164" s="11" t="s">
        <v>170</v>
      </c>
      <c r="G164" s="10" t="s">
        <v>39</v>
      </c>
      <c r="H164" s="35">
        <v>6</v>
      </c>
      <c r="I164" s="29">
        <v>95</v>
      </c>
      <c r="J164" s="13">
        <v>6</v>
      </c>
      <c r="K164" s="13">
        <v>1</v>
      </c>
      <c r="L164" s="32">
        <f t="shared" si="16"/>
        <v>0.8571428571428571</v>
      </c>
      <c r="M164" s="13">
        <v>6</v>
      </c>
      <c r="N164" s="13">
        <v>2</v>
      </c>
      <c r="O164" s="32">
        <f t="shared" si="17"/>
        <v>0.75</v>
      </c>
      <c r="P164" s="13"/>
      <c r="Q164" s="13"/>
      <c r="R164" s="32" t="e">
        <f t="shared" si="18"/>
        <v>#DIV/0!</v>
      </c>
      <c r="S164" s="13"/>
      <c r="T164" s="13"/>
      <c r="U164" s="32" t="e">
        <f t="shared" si="19"/>
        <v>#DIV/0!</v>
      </c>
      <c r="V164" s="13"/>
      <c r="W164" s="13"/>
      <c r="X164" s="16" t="e">
        <f t="shared" si="20"/>
        <v>#DIV/0!</v>
      </c>
      <c r="Y164" s="16">
        <f>COUNTA(J164:W164)/2</f>
        <v>4</v>
      </c>
      <c r="Z164" s="16">
        <f>J164+M164+P164+S164+V164</f>
        <v>12</v>
      </c>
      <c r="AA164" s="16">
        <f t="shared" si="21"/>
        <v>3</v>
      </c>
      <c r="AB164" s="16">
        <f t="shared" si="22"/>
        <v>15</v>
      </c>
      <c r="AC164" s="24">
        <f t="shared" si="23"/>
        <v>0.8</v>
      </c>
      <c r="AD164" s="11" t="s">
        <v>454</v>
      </c>
      <c r="AE164" s="11" t="s">
        <v>72</v>
      </c>
      <c r="AF164" s="11" t="s">
        <v>73</v>
      </c>
      <c r="AG164" s="13">
        <v>3</v>
      </c>
    </row>
    <row r="165" spans="1:33">
      <c r="A165" s="9" t="s">
        <v>464</v>
      </c>
      <c r="B165" s="10" t="s">
        <v>43</v>
      </c>
      <c r="C165" s="11" t="s">
        <v>447</v>
      </c>
      <c r="D165" s="11" t="s">
        <v>72</v>
      </c>
      <c r="E165" s="11" t="s">
        <v>73</v>
      </c>
      <c r="F165" s="11" t="s">
        <v>466</v>
      </c>
      <c r="G165" s="10" t="s">
        <v>39</v>
      </c>
      <c r="H165" s="35">
        <v>1</v>
      </c>
      <c r="I165" s="29">
        <v>150</v>
      </c>
      <c r="J165" s="13">
        <v>6</v>
      </c>
      <c r="K165" s="13">
        <v>4</v>
      </c>
      <c r="L165" s="32">
        <f t="shared" si="16"/>
        <v>0.6</v>
      </c>
      <c r="M165" s="13">
        <v>6</v>
      </c>
      <c r="N165" s="13">
        <v>1</v>
      </c>
      <c r="O165" s="32">
        <f t="shared" si="17"/>
        <v>0.8571428571428571</v>
      </c>
      <c r="P165" s="13">
        <v>6</v>
      </c>
      <c r="Q165" s="13">
        <v>3</v>
      </c>
      <c r="R165" s="32">
        <f t="shared" si="18"/>
        <v>0.66666666666666663</v>
      </c>
      <c r="S165" s="13"/>
      <c r="T165" s="13"/>
      <c r="U165" s="32" t="e">
        <f t="shared" si="19"/>
        <v>#DIV/0!</v>
      </c>
      <c r="V165" s="13"/>
      <c r="W165" s="13"/>
      <c r="X165" s="16" t="e">
        <f t="shared" si="20"/>
        <v>#DIV/0!</v>
      </c>
      <c r="Y165" s="16">
        <f>COUNTA(J165:W165)/2</f>
        <v>5</v>
      </c>
      <c r="Z165" s="16">
        <f>J165+M165+P165+S165+V165</f>
        <v>18</v>
      </c>
      <c r="AA165" s="16">
        <f t="shared" si="21"/>
        <v>8</v>
      </c>
      <c r="AB165" s="16">
        <f t="shared" si="22"/>
        <v>26</v>
      </c>
      <c r="AC165" s="24">
        <f t="shared" si="23"/>
        <v>0.69230769230769229</v>
      </c>
      <c r="AD165" s="11" t="s">
        <v>451</v>
      </c>
      <c r="AE165" s="11" t="s">
        <v>72</v>
      </c>
      <c r="AF165" s="11" t="s">
        <v>73</v>
      </c>
      <c r="AG165" s="13">
        <v>2</v>
      </c>
    </row>
    <row r="166" spans="1:33">
      <c r="A166" s="14" t="s">
        <v>467</v>
      </c>
      <c r="B166" s="10" t="s">
        <v>34</v>
      </c>
      <c r="C166" s="10" t="s">
        <v>468</v>
      </c>
      <c r="D166" s="10" t="s">
        <v>36</v>
      </c>
      <c r="E166" s="18" t="s">
        <v>37</v>
      </c>
      <c r="F166" s="10" t="s">
        <v>237</v>
      </c>
      <c r="G166" s="10" t="s">
        <v>39</v>
      </c>
      <c r="H166" s="34">
        <v>1</v>
      </c>
      <c r="I166" s="28">
        <v>105</v>
      </c>
      <c r="J166" s="16">
        <v>6</v>
      </c>
      <c r="K166" s="16">
        <v>3</v>
      </c>
      <c r="L166" s="32">
        <f t="shared" si="16"/>
        <v>0.66666666666666663</v>
      </c>
      <c r="M166" s="16">
        <v>6</v>
      </c>
      <c r="N166" s="16">
        <v>2</v>
      </c>
      <c r="O166" s="32">
        <f t="shared" si="17"/>
        <v>0.75</v>
      </c>
      <c r="P166" s="16"/>
      <c r="Q166" s="16"/>
      <c r="R166" s="32" t="e">
        <f t="shared" si="18"/>
        <v>#DIV/0!</v>
      </c>
      <c r="S166" s="16"/>
      <c r="T166" s="16"/>
      <c r="U166" s="32" t="e">
        <f t="shared" si="19"/>
        <v>#DIV/0!</v>
      </c>
      <c r="V166" s="16"/>
      <c r="W166" s="16"/>
      <c r="X166" s="16" t="e">
        <f t="shared" si="20"/>
        <v>#DIV/0!</v>
      </c>
      <c r="Y166" s="16">
        <f>COUNTA(J166:W166)/2</f>
        <v>4</v>
      </c>
      <c r="Z166" s="16">
        <f>J166+M166+P166+S166+V166</f>
        <v>12</v>
      </c>
      <c r="AA166" s="16">
        <f t="shared" si="21"/>
        <v>5</v>
      </c>
      <c r="AB166" s="16">
        <f t="shared" si="22"/>
        <v>17</v>
      </c>
      <c r="AC166" s="24">
        <f t="shared" si="23"/>
        <v>0.70588235294117652</v>
      </c>
      <c r="AD166" s="10" t="s">
        <v>469</v>
      </c>
      <c r="AE166" s="10" t="s">
        <v>72</v>
      </c>
      <c r="AF166" s="10" t="s">
        <v>73</v>
      </c>
      <c r="AG166" s="16">
        <v>7</v>
      </c>
    </row>
    <row r="167" spans="1:33">
      <c r="A167" s="14" t="s">
        <v>467</v>
      </c>
      <c r="B167" s="10" t="s">
        <v>43</v>
      </c>
      <c r="C167" s="10" t="s">
        <v>470</v>
      </c>
      <c r="D167" s="10" t="s">
        <v>36</v>
      </c>
      <c r="E167" s="18" t="s">
        <v>37</v>
      </c>
      <c r="F167" s="10" t="s">
        <v>471</v>
      </c>
      <c r="G167" s="10" t="s">
        <v>39</v>
      </c>
      <c r="H167" s="34">
        <v>1</v>
      </c>
      <c r="I167" s="28">
        <v>145</v>
      </c>
      <c r="J167" s="16">
        <v>6</v>
      </c>
      <c r="K167" s="16">
        <v>4</v>
      </c>
      <c r="L167" s="32">
        <f t="shared" si="16"/>
        <v>0.6</v>
      </c>
      <c r="M167" s="16">
        <v>6</v>
      </c>
      <c r="N167" s="16">
        <v>2</v>
      </c>
      <c r="O167" s="32">
        <f t="shared" si="17"/>
        <v>0.75</v>
      </c>
      <c r="P167" s="16">
        <v>6</v>
      </c>
      <c r="Q167" s="16">
        <v>1</v>
      </c>
      <c r="R167" s="32">
        <f t="shared" si="18"/>
        <v>0.8571428571428571</v>
      </c>
      <c r="S167" s="16"/>
      <c r="T167" s="16"/>
      <c r="U167" s="32" t="e">
        <f t="shared" si="19"/>
        <v>#DIV/0!</v>
      </c>
      <c r="V167" s="16"/>
      <c r="W167" s="16"/>
      <c r="X167" s="16" t="e">
        <f t="shared" si="20"/>
        <v>#DIV/0!</v>
      </c>
      <c r="Y167" s="16">
        <f>COUNTA(J167:W167)/2</f>
        <v>5</v>
      </c>
      <c r="Z167" s="16">
        <f>J167+M167+P167+S167+V167</f>
        <v>18</v>
      </c>
      <c r="AA167" s="16">
        <f t="shared" si="21"/>
        <v>7</v>
      </c>
      <c r="AB167" s="16">
        <f t="shared" si="22"/>
        <v>25</v>
      </c>
      <c r="AC167" s="24">
        <f t="shared" si="23"/>
        <v>0.72</v>
      </c>
      <c r="AD167" s="10" t="s">
        <v>447</v>
      </c>
      <c r="AE167" s="10" t="s">
        <v>72</v>
      </c>
      <c r="AF167" s="10" t="s">
        <v>73</v>
      </c>
      <c r="AG167" s="16">
        <v>4</v>
      </c>
    </row>
    <row r="168" spans="1:33">
      <c r="A168" s="9" t="s">
        <v>472</v>
      </c>
      <c r="B168" s="10" t="s">
        <v>34</v>
      </c>
      <c r="C168" s="11" t="s">
        <v>438</v>
      </c>
      <c r="D168" s="11" t="s">
        <v>72</v>
      </c>
      <c r="E168" s="11" t="s">
        <v>73</v>
      </c>
      <c r="F168" s="11" t="s">
        <v>473</v>
      </c>
      <c r="G168" s="10" t="s">
        <v>39</v>
      </c>
      <c r="H168" s="35">
        <v>2</v>
      </c>
      <c r="I168" s="29">
        <v>175</v>
      </c>
      <c r="J168" s="13">
        <v>6</v>
      </c>
      <c r="K168" s="13">
        <v>3</v>
      </c>
      <c r="L168" s="32">
        <f t="shared" si="16"/>
        <v>0.66666666666666663</v>
      </c>
      <c r="M168" s="13">
        <v>5</v>
      </c>
      <c r="N168" s="13">
        <v>7</v>
      </c>
      <c r="O168" s="32">
        <f t="shared" si="17"/>
        <v>0.41666666666666669</v>
      </c>
      <c r="P168" s="13">
        <v>6</v>
      </c>
      <c r="Q168" s="13">
        <v>4</v>
      </c>
      <c r="R168" s="32">
        <f t="shared" si="18"/>
        <v>0.6</v>
      </c>
      <c r="S168" s="13"/>
      <c r="T168" s="13"/>
      <c r="U168" s="32" t="e">
        <f t="shared" si="19"/>
        <v>#DIV/0!</v>
      </c>
      <c r="V168" s="13"/>
      <c r="W168" s="13"/>
      <c r="X168" s="16" t="e">
        <f t="shared" si="20"/>
        <v>#DIV/0!</v>
      </c>
      <c r="Y168" s="16">
        <f>COUNTA(J168:W168)/2</f>
        <v>5</v>
      </c>
      <c r="Z168" s="16">
        <f>J168+M168+P168+S168+V168</f>
        <v>17</v>
      </c>
      <c r="AA168" s="16">
        <f t="shared" si="21"/>
        <v>14</v>
      </c>
      <c r="AB168" s="16">
        <f t="shared" si="22"/>
        <v>31</v>
      </c>
      <c r="AC168" s="24">
        <f t="shared" si="23"/>
        <v>0.54838709677419351</v>
      </c>
      <c r="AD168" s="11" t="s">
        <v>465</v>
      </c>
      <c r="AE168" s="11" t="s">
        <v>72</v>
      </c>
      <c r="AF168" s="11" t="s">
        <v>73</v>
      </c>
      <c r="AG168" s="13">
        <v>7</v>
      </c>
    </row>
    <row r="169" spans="1:33">
      <c r="A169" s="9" t="s">
        <v>472</v>
      </c>
      <c r="B169" s="10" t="s">
        <v>43</v>
      </c>
      <c r="C169" s="11" t="s">
        <v>474</v>
      </c>
      <c r="D169" s="11" t="s">
        <v>72</v>
      </c>
      <c r="E169" s="11" t="s">
        <v>73</v>
      </c>
      <c r="F169" s="11" t="s">
        <v>475</v>
      </c>
      <c r="G169" s="10" t="s">
        <v>39</v>
      </c>
      <c r="H169" s="35">
        <v>3</v>
      </c>
      <c r="I169" s="29">
        <v>205</v>
      </c>
      <c r="J169" s="13">
        <v>6</v>
      </c>
      <c r="K169" s="13">
        <v>3</v>
      </c>
      <c r="L169" s="32">
        <f t="shared" si="16"/>
        <v>0.66666666666666663</v>
      </c>
      <c r="M169" s="13">
        <v>1</v>
      </c>
      <c r="N169" s="13">
        <v>6</v>
      </c>
      <c r="O169" s="32">
        <f t="shared" si="17"/>
        <v>0.14285714285714285</v>
      </c>
      <c r="P169" s="13">
        <v>6</v>
      </c>
      <c r="Q169" s="13">
        <v>0</v>
      </c>
      <c r="R169" s="32">
        <f t="shared" si="18"/>
        <v>1</v>
      </c>
      <c r="S169" s="13">
        <v>2</v>
      </c>
      <c r="T169" s="13">
        <v>6</v>
      </c>
      <c r="U169" s="32">
        <f t="shared" si="19"/>
        <v>0.25</v>
      </c>
      <c r="V169" s="13">
        <v>6</v>
      </c>
      <c r="W169" s="13">
        <v>1</v>
      </c>
      <c r="X169" s="16">
        <f t="shared" si="20"/>
        <v>0.8571428571428571</v>
      </c>
      <c r="Y169" s="16">
        <f>COUNTA(J169:W169)/2</f>
        <v>7</v>
      </c>
      <c r="Z169" s="16">
        <f>J169+M169+P169+S169+V169</f>
        <v>21</v>
      </c>
      <c r="AA169" s="16">
        <f t="shared" si="21"/>
        <v>16</v>
      </c>
      <c r="AB169" s="16">
        <f t="shared" si="22"/>
        <v>37</v>
      </c>
      <c r="AC169" s="24">
        <f t="shared" si="23"/>
        <v>0.56756756756756754</v>
      </c>
      <c r="AD169" s="11" t="s">
        <v>447</v>
      </c>
      <c r="AE169" s="11" t="s">
        <v>72</v>
      </c>
      <c r="AF169" s="11" t="s">
        <v>73</v>
      </c>
      <c r="AG169" s="13">
        <v>4</v>
      </c>
    </row>
    <row r="170" spans="1:33">
      <c r="A170" s="14" t="s">
        <v>476</v>
      </c>
      <c r="B170" s="10" t="s">
        <v>34</v>
      </c>
      <c r="C170" s="10" t="s">
        <v>477</v>
      </c>
      <c r="D170" s="10" t="s">
        <v>72</v>
      </c>
      <c r="E170" s="10" t="s">
        <v>73</v>
      </c>
      <c r="F170" s="10" t="s">
        <v>119</v>
      </c>
      <c r="G170" s="10" t="s">
        <v>39</v>
      </c>
      <c r="H170" s="34">
        <v>2</v>
      </c>
      <c r="I170" s="28">
        <v>120</v>
      </c>
      <c r="J170" s="16">
        <v>6</v>
      </c>
      <c r="K170" s="16">
        <v>4</v>
      </c>
      <c r="L170" s="32">
        <f t="shared" si="16"/>
        <v>0.6</v>
      </c>
      <c r="M170" s="16">
        <v>6</v>
      </c>
      <c r="N170" s="16">
        <v>4</v>
      </c>
      <c r="O170" s="32">
        <f t="shared" si="17"/>
        <v>0.6</v>
      </c>
      <c r="P170" s="16"/>
      <c r="Q170" s="16"/>
      <c r="R170" s="32" t="e">
        <f t="shared" si="18"/>
        <v>#DIV/0!</v>
      </c>
      <c r="S170" s="16"/>
      <c r="T170" s="16"/>
      <c r="U170" s="32" t="e">
        <f t="shared" si="19"/>
        <v>#DIV/0!</v>
      </c>
      <c r="V170" s="16"/>
      <c r="W170" s="16"/>
      <c r="X170" s="16" t="e">
        <f t="shared" si="20"/>
        <v>#DIV/0!</v>
      </c>
      <c r="Y170" s="16">
        <f>COUNTA(J170:W170)/2</f>
        <v>4</v>
      </c>
      <c r="Z170" s="16">
        <f>J170+M170+P170+S170+V170</f>
        <v>12</v>
      </c>
      <c r="AA170" s="16">
        <f t="shared" si="21"/>
        <v>8</v>
      </c>
      <c r="AB170" s="16">
        <f t="shared" si="22"/>
        <v>20</v>
      </c>
      <c r="AC170" s="24">
        <f t="shared" si="23"/>
        <v>0.6</v>
      </c>
      <c r="AD170" s="10" t="s">
        <v>438</v>
      </c>
      <c r="AE170" s="10" t="s">
        <v>72</v>
      </c>
      <c r="AF170" s="10" t="s">
        <v>73</v>
      </c>
      <c r="AG170" s="16">
        <v>6</v>
      </c>
    </row>
    <row r="171" spans="1:33">
      <c r="A171" s="14" t="s">
        <v>476</v>
      </c>
      <c r="B171" s="10" t="s">
        <v>43</v>
      </c>
      <c r="C171" s="10" t="s">
        <v>451</v>
      </c>
      <c r="D171" s="10" t="s">
        <v>72</v>
      </c>
      <c r="E171" s="10" t="s">
        <v>73</v>
      </c>
      <c r="F171" s="10" t="s">
        <v>478</v>
      </c>
      <c r="G171" s="10" t="s">
        <v>39</v>
      </c>
      <c r="H171" s="34">
        <v>2</v>
      </c>
      <c r="I171" s="28">
        <v>280</v>
      </c>
      <c r="J171" s="16">
        <v>6</v>
      </c>
      <c r="K171" s="16">
        <v>2</v>
      </c>
      <c r="L171" s="32">
        <f t="shared" si="16"/>
        <v>0.75</v>
      </c>
      <c r="M171" s="16">
        <v>6</v>
      </c>
      <c r="N171" s="16">
        <v>3</v>
      </c>
      <c r="O171" s="32">
        <f t="shared" si="17"/>
        <v>0.66666666666666663</v>
      </c>
      <c r="P171" s="16">
        <v>4</v>
      </c>
      <c r="Q171" s="16">
        <v>6</v>
      </c>
      <c r="R171" s="32">
        <f t="shared" si="18"/>
        <v>0.4</v>
      </c>
      <c r="S171" s="16">
        <v>3</v>
      </c>
      <c r="T171" s="16">
        <v>6</v>
      </c>
      <c r="U171" s="32">
        <f t="shared" si="19"/>
        <v>0.33333333333333331</v>
      </c>
      <c r="V171" s="16">
        <v>9</v>
      </c>
      <c r="W171" s="16">
        <v>7</v>
      </c>
      <c r="X171" s="16">
        <f t="shared" si="20"/>
        <v>0.5625</v>
      </c>
      <c r="Y171" s="16">
        <f>COUNTA(J171:W171)/2</f>
        <v>7</v>
      </c>
      <c r="Z171" s="16">
        <f>J171+M171+P171+S171+V171</f>
        <v>28</v>
      </c>
      <c r="AA171" s="16">
        <f t="shared" si="21"/>
        <v>24</v>
      </c>
      <c r="AB171" s="16">
        <f t="shared" si="22"/>
        <v>52</v>
      </c>
      <c r="AC171" s="24">
        <f t="shared" si="23"/>
        <v>0.53846153846153844</v>
      </c>
      <c r="AD171" s="10" t="s">
        <v>463</v>
      </c>
      <c r="AE171" s="10" t="s">
        <v>72</v>
      </c>
      <c r="AF171" s="10" t="s">
        <v>73</v>
      </c>
      <c r="AG171" s="16">
        <v>1</v>
      </c>
    </row>
    <row r="172" spans="1:33">
      <c r="A172" s="9" t="s">
        <v>479</v>
      </c>
      <c r="B172" s="10" t="s">
        <v>34</v>
      </c>
      <c r="C172" s="11" t="s">
        <v>480</v>
      </c>
      <c r="D172" s="11" t="s">
        <v>127</v>
      </c>
      <c r="E172" s="11" t="s">
        <v>128</v>
      </c>
      <c r="F172" s="11" t="s">
        <v>481</v>
      </c>
      <c r="G172" s="10" t="s">
        <v>39</v>
      </c>
      <c r="H172" s="35">
        <v>1</v>
      </c>
      <c r="I172" s="29">
        <v>135</v>
      </c>
      <c r="J172" s="13">
        <v>1</v>
      </c>
      <c r="K172" s="13">
        <v>6</v>
      </c>
      <c r="L172" s="32">
        <f t="shared" si="16"/>
        <v>0.14285714285714285</v>
      </c>
      <c r="M172" s="13">
        <v>6</v>
      </c>
      <c r="N172" s="13">
        <v>1</v>
      </c>
      <c r="O172" s="32">
        <f t="shared" si="17"/>
        <v>0.8571428571428571</v>
      </c>
      <c r="P172" s="13">
        <v>6</v>
      </c>
      <c r="Q172" s="13">
        <v>3</v>
      </c>
      <c r="R172" s="32">
        <f t="shared" si="18"/>
        <v>0.66666666666666663</v>
      </c>
      <c r="S172" s="13"/>
      <c r="T172" s="13"/>
      <c r="U172" s="32" t="e">
        <f t="shared" si="19"/>
        <v>#DIV/0!</v>
      </c>
      <c r="V172" s="13"/>
      <c r="W172" s="13"/>
      <c r="X172" s="16" t="e">
        <f t="shared" si="20"/>
        <v>#DIV/0!</v>
      </c>
      <c r="Y172" s="16">
        <f>COUNTA(J172:W172)/2</f>
        <v>5</v>
      </c>
      <c r="Z172" s="16">
        <f>J172+M172+P172+S172+V172</f>
        <v>13</v>
      </c>
      <c r="AA172" s="16">
        <f t="shared" si="21"/>
        <v>10</v>
      </c>
      <c r="AB172" s="16">
        <f t="shared" si="22"/>
        <v>23</v>
      </c>
      <c r="AC172" s="24">
        <f t="shared" si="23"/>
        <v>0.56521739130434778</v>
      </c>
      <c r="AD172" s="11" t="s">
        <v>482</v>
      </c>
      <c r="AE172" s="11" t="s">
        <v>127</v>
      </c>
      <c r="AF172" s="11" t="s">
        <v>128</v>
      </c>
      <c r="AG172" s="13">
        <v>4</v>
      </c>
    </row>
    <row r="173" spans="1:33">
      <c r="A173" s="9" t="s">
        <v>479</v>
      </c>
      <c r="B173" s="10" t="s">
        <v>43</v>
      </c>
      <c r="C173" s="11" t="s">
        <v>463</v>
      </c>
      <c r="D173" s="11" t="s">
        <v>72</v>
      </c>
      <c r="E173" s="11" t="s">
        <v>73</v>
      </c>
      <c r="F173" s="11" t="s">
        <v>483</v>
      </c>
      <c r="G173" s="10" t="s">
        <v>39</v>
      </c>
      <c r="H173" s="35">
        <v>2</v>
      </c>
      <c r="I173" s="29">
        <v>210</v>
      </c>
      <c r="J173" s="13">
        <v>2</v>
      </c>
      <c r="K173" s="13">
        <v>6</v>
      </c>
      <c r="L173" s="32">
        <f t="shared" si="16"/>
        <v>0.25</v>
      </c>
      <c r="M173" s="13">
        <v>6</v>
      </c>
      <c r="N173" s="13">
        <v>4</v>
      </c>
      <c r="O173" s="32">
        <f t="shared" si="17"/>
        <v>0.6</v>
      </c>
      <c r="P173" s="13">
        <v>6</v>
      </c>
      <c r="Q173" s="13">
        <v>4</v>
      </c>
      <c r="R173" s="32">
        <f t="shared" si="18"/>
        <v>0.6</v>
      </c>
      <c r="S173" s="13">
        <v>6</v>
      </c>
      <c r="T173" s="13">
        <v>4</v>
      </c>
      <c r="U173" s="32">
        <f t="shared" si="19"/>
        <v>0.6</v>
      </c>
      <c r="V173" s="13"/>
      <c r="W173" s="13"/>
      <c r="X173" s="16" t="e">
        <f t="shared" si="20"/>
        <v>#DIV/0!</v>
      </c>
      <c r="Y173" s="16">
        <f>COUNTA(J173:W173)/2</f>
        <v>6</v>
      </c>
      <c r="Z173" s="16">
        <f>J173+M173+P173+S173+V173</f>
        <v>20</v>
      </c>
      <c r="AA173" s="16">
        <f t="shared" si="21"/>
        <v>18</v>
      </c>
      <c r="AB173" s="16">
        <f t="shared" si="22"/>
        <v>38</v>
      </c>
      <c r="AC173" s="24">
        <f t="shared" si="23"/>
        <v>0.52631578947368418</v>
      </c>
      <c r="AD173" s="11" t="s">
        <v>484</v>
      </c>
      <c r="AE173" s="11" t="s">
        <v>127</v>
      </c>
      <c r="AF173" s="11" t="s">
        <v>128</v>
      </c>
      <c r="AG173" s="13">
        <v>1</v>
      </c>
    </row>
    <row r="174" spans="1:33">
      <c r="A174" s="14" t="s">
        <v>485</v>
      </c>
      <c r="B174" s="10" t="s">
        <v>34</v>
      </c>
      <c r="C174" s="10" t="s">
        <v>477</v>
      </c>
      <c r="D174" s="10" t="s">
        <v>72</v>
      </c>
      <c r="E174" s="10" t="s">
        <v>73</v>
      </c>
      <c r="F174" s="10" t="s">
        <v>374</v>
      </c>
      <c r="G174" s="10" t="s">
        <v>39</v>
      </c>
      <c r="H174" s="34">
        <v>1</v>
      </c>
      <c r="I174" s="28">
        <v>75</v>
      </c>
      <c r="J174" s="16">
        <v>6</v>
      </c>
      <c r="K174" s="16">
        <v>1</v>
      </c>
      <c r="L174" s="32">
        <f t="shared" si="16"/>
        <v>0.8571428571428571</v>
      </c>
      <c r="M174" s="16">
        <v>6</v>
      </c>
      <c r="N174" s="16">
        <v>4</v>
      </c>
      <c r="O174" s="32">
        <f t="shared" si="17"/>
        <v>0.6</v>
      </c>
      <c r="P174" s="16"/>
      <c r="Q174" s="16"/>
      <c r="R174" s="32" t="e">
        <f t="shared" si="18"/>
        <v>#DIV/0!</v>
      </c>
      <c r="S174" s="16"/>
      <c r="T174" s="16"/>
      <c r="U174" s="32" t="e">
        <f t="shared" si="19"/>
        <v>#DIV/0!</v>
      </c>
      <c r="V174" s="16"/>
      <c r="W174" s="16"/>
      <c r="X174" s="16" t="e">
        <f t="shared" si="20"/>
        <v>#DIV/0!</v>
      </c>
      <c r="Y174" s="16">
        <f>COUNTA(J174:W174)/2</f>
        <v>4</v>
      </c>
      <c r="Z174" s="16">
        <f>J174+M174+P174+S174+V174</f>
        <v>12</v>
      </c>
      <c r="AA174" s="16">
        <f t="shared" si="21"/>
        <v>5</v>
      </c>
      <c r="AB174" s="16">
        <f t="shared" si="22"/>
        <v>17</v>
      </c>
      <c r="AC174" s="24">
        <f t="shared" si="23"/>
        <v>0.70588235294117652</v>
      </c>
      <c r="AD174" s="10" t="s">
        <v>486</v>
      </c>
      <c r="AE174" s="10" t="s">
        <v>72</v>
      </c>
      <c r="AF174" s="10" t="s">
        <v>73</v>
      </c>
      <c r="AG174" s="16">
        <v>2</v>
      </c>
    </row>
    <row r="175" spans="1:33">
      <c r="A175" s="14" t="s">
        <v>485</v>
      </c>
      <c r="B175" s="10" t="s">
        <v>43</v>
      </c>
      <c r="C175" s="10" t="s">
        <v>484</v>
      </c>
      <c r="D175" s="10" t="s">
        <v>127</v>
      </c>
      <c r="E175" s="10" t="s">
        <v>128</v>
      </c>
      <c r="F175" s="10" t="s">
        <v>487</v>
      </c>
      <c r="G175" s="10" t="s">
        <v>39</v>
      </c>
      <c r="H175" s="34">
        <v>2</v>
      </c>
      <c r="I175" s="28">
        <v>110</v>
      </c>
      <c r="J175" s="16">
        <v>6</v>
      </c>
      <c r="K175" s="16">
        <v>3</v>
      </c>
      <c r="L175" s="32">
        <f t="shared" si="16"/>
        <v>0.66666666666666663</v>
      </c>
      <c r="M175" s="16">
        <v>7</v>
      </c>
      <c r="N175" s="16">
        <v>5</v>
      </c>
      <c r="O175" s="32">
        <f t="shared" si="17"/>
        <v>0.58333333333333337</v>
      </c>
      <c r="P175" s="16">
        <v>6</v>
      </c>
      <c r="Q175" s="16">
        <v>1</v>
      </c>
      <c r="R175" s="32">
        <f t="shared" si="18"/>
        <v>0.8571428571428571</v>
      </c>
      <c r="S175" s="16"/>
      <c r="T175" s="16"/>
      <c r="U175" s="32" t="e">
        <f t="shared" si="19"/>
        <v>#DIV/0!</v>
      </c>
      <c r="V175" s="16"/>
      <c r="W175" s="16"/>
      <c r="X175" s="16" t="e">
        <f t="shared" si="20"/>
        <v>#DIV/0!</v>
      </c>
      <c r="Y175" s="16">
        <f>COUNTA(J175:W175)/2</f>
        <v>5</v>
      </c>
      <c r="Z175" s="16">
        <f>J175+M175+P175+S175+V175</f>
        <v>19</v>
      </c>
      <c r="AA175" s="16">
        <f t="shared" si="21"/>
        <v>9</v>
      </c>
      <c r="AB175" s="16">
        <f t="shared" si="22"/>
        <v>28</v>
      </c>
      <c r="AC175" s="24">
        <f t="shared" si="23"/>
        <v>0.6785714285714286</v>
      </c>
      <c r="AD175" s="10" t="s">
        <v>463</v>
      </c>
      <c r="AE175" s="10" t="s">
        <v>72</v>
      </c>
      <c r="AF175" s="10" t="s">
        <v>73</v>
      </c>
      <c r="AG175" s="16">
        <v>1</v>
      </c>
    </row>
    <row r="176" spans="1:33">
      <c r="A176" s="9" t="s">
        <v>488</v>
      </c>
      <c r="B176" s="10" t="s">
        <v>34</v>
      </c>
      <c r="C176" s="11" t="s">
        <v>477</v>
      </c>
      <c r="D176" s="11" t="s">
        <v>72</v>
      </c>
      <c r="E176" s="11" t="s">
        <v>73</v>
      </c>
      <c r="F176" s="11" t="s">
        <v>84</v>
      </c>
      <c r="G176" s="10" t="s">
        <v>39</v>
      </c>
      <c r="H176" s="35">
        <v>1</v>
      </c>
      <c r="I176" s="29">
        <v>75</v>
      </c>
      <c r="J176" s="13">
        <v>6</v>
      </c>
      <c r="K176" s="13">
        <v>4</v>
      </c>
      <c r="L176" s="32">
        <f t="shared" si="16"/>
        <v>0.6</v>
      </c>
      <c r="M176" s="13">
        <v>6</v>
      </c>
      <c r="N176" s="13">
        <v>3</v>
      </c>
      <c r="O176" s="32">
        <f t="shared" si="17"/>
        <v>0.66666666666666663</v>
      </c>
      <c r="P176" s="13"/>
      <c r="Q176" s="13"/>
      <c r="R176" s="32" t="e">
        <f t="shared" si="18"/>
        <v>#DIV/0!</v>
      </c>
      <c r="S176" s="13"/>
      <c r="T176" s="13"/>
      <c r="U176" s="32" t="e">
        <f t="shared" si="19"/>
        <v>#DIV/0!</v>
      </c>
      <c r="V176" s="13"/>
      <c r="W176" s="13"/>
      <c r="X176" s="16" t="e">
        <f t="shared" si="20"/>
        <v>#DIV/0!</v>
      </c>
      <c r="Y176" s="16">
        <f>COUNTA(J176:W176)/2</f>
        <v>4</v>
      </c>
      <c r="Z176" s="16">
        <f>J176+M176+P176+S176+V176</f>
        <v>12</v>
      </c>
      <c r="AA176" s="16">
        <f t="shared" si="21"/>
        <v>7</v>
      </c>
      <c r="AB176" s="16">
        <f t="shared" si="22"/>
        <v>19</v>
      </c>
      <c r="AC176" s="24">
        <f t="shared" si="23"/>
        <v>0.63157894736842102</v>
      </c>
      <c r="AD176" s="11" t="s">
        <v>489</v>
      </c>
      <c r="AE176" s="11" t="s">
        <v>72</v>
      </c>
      <c r="AF176" s="11" t="s">
        <v>73</v>
      </c>
      <c r="AG176" s="13">
        <v>2</v>
      </c>
    </row>
    <row r="177" spans="1:33">
      <c r="A177" s="9" t="s">
        <v>488</v>
      </c>
      <c r="B177" s="10" t="s">
        <v>43</v>
      </c>
      <c r="C177" s="11" t="s">
        <v>463</v>
      </c>
      <c r="D177" s="11" t="s">
        <v>72</v>
      </c>
      <c r="E177" s="11" t="s">
        <v>73</v>
      </c>
      <c r="F177" s="11" t="s">
        <v>490</v>
      </c>
      <c r="G177" s="10" t="s">
        <v>39</v>
      </c>
      <c r="H177" s="35">
        <v>2</v>
      </c>
      <c r="I177" s="29">
        <v>150</v>
      </c>
      <c r="J177" s="13">
        <v>2</v>
      </c>
      <c r="K177" s="13">
        <v>6</v>
      </c>
      <c r="L177" s="32">
        <f t="shared" si="16"/>
        <v>0.25</v>
      </c>
      <c r="M177" s="13">
        <v>7</v>
      </c>
      <c r="N177" s="13">
        <v>5</v>
      </c>
      <c r="O177" s="32">
        <f t="shared" si="17"/>
        <v>0.58333333333333337</v>
      </c>
      <c r="P177" s="13">
        <v>6</v>
      </c>
      <c r="Q177" s="13">
        <v>3</v>
      </c>
      <c r="R177" s="32">
        <f t="shared" si="18"/>
        <v>0.66666666666666663</v>
      </c>
      <c r="S177" s="13">
        <v>6</v>
      </c>
      <c r="T177" s="13">
        <v>2</v>
      </c>
      <c r="U177" s="32">
        <f t="shared" si="19"/>
        <v>0.75</v>
      </c>
      <c r="V177" s="13"/>
      <c r="W177" s="13"/>
      <c r="X177" s="16" t="e">
        <f t="shared" si="20"/>
        <v>#DIV/0!</v>
      </c>
      <c r="Y177" s="16">
        <f>COUNTA(J177:W177)/2</f>
        <v>6</v>
      </c>
      <c r="Z177" s="16">
        <f>J177+M177+P177+S177+V177</f>
        <v>21</v>
      </c>
      <c r="AA177" s="16">
        <f t="shared" si="21"/>
        <v>16</v>
      </c>
      <c r="AB177" s="16">
        <f t="shared" si="22"/>
        <v>37</v>
      </c>
      <c r="AC177" s="24">
        <f t="shared" si="23"/>
        <v>0.56756756756756754</v>
      </c>
      <c r="AD177" s="11" t="s">
        <v>491</v>
      </c>
      <c r="AE177" s="11" t="s">
        <v>36</v>
      </c>
      <c r="AF177" s="11" t="s">
        <v>37</v>
      </c>
      <c r="AG177" s="13">
        <v>7</v>
      </c>
    </row>
    <row r="178" spans="1:33">
      <c r="A178" s="14" t="s">
        <v>492</v>
      </c>
      <c r="B178" s="10" t="s">
        <v>34</v>
      </c>
      <c r="C178" s="10" t="s">
        <v>489</v>
      </c>
      <c r="D178" s="10" t="s">
        <v>72</v>
      </c>
      <c r="E178" s="10" t="s">
        <v>73</v>
      </c>
      <c r="F178" s="10" t="s">
        <v>493</v>
      </c>
      <c r="G178" s="10" t="s">
        <v>39</v>
      </c>
      <c r="H178" s="34">
        <v>3</v>
      </c>
      <c r="I178" s="28">
        <v>75</v>
      </c>
      <c r="J178" s="16">
        <v>9</v>
      </c>
      <c r="K178" s="16">
        <v>7</v>
      </c>
      <c r="L178" s="32">
        <f t="shared" si="16"/>
        <v>0.5625</v>
      </c>
      <c r="M178" s="16">
        <v>6</v>
      </c>
      <c r="N178" s="16">
        <v>4</v>
      </c>
      <c r="O178" s="32">
        <f t="shared" si="17"/>
        <v>0.6</v>
      </c>
      <c r="P178" s="16"/>
      <c r="Q178" s="16"/>
      <c r="R178" s="32" t="e">
        <f t="shared" si="18"/>
        <v>#DIV/0!</v>
      </c>
      <c r="S178" s="16"/>
      <c r="T178" s="16"/>
      <c r="U178" s="32" t="e">
        <f t="shared" si="19"/>
        <v>#DIV/0!</v>
      </c>
      <c r="V178" s="16"/>
      <c r="W178" s="16"/>
      <c r="X178" s="16" t="e">
        <f t="shared" si="20"/>
        <v>#DIV/0!</v>
      </c>
      <c r="Y178" s="16">
        <f>COUNTA(J178:W178)/2</f>
        <v>4</v>
      </c>
      <c r="Z178" s="16">
        <f>J178+M178+P178+S178+V178</f>
        <v>15</v>
      </c>
      <c r="AA178" s="16">
        <f t="shared" si="21"/>
        <v>11</v>
      </c>
      <c r="AB178" s="16">
        <f t="shared" si="22"/>
        <v>26</v>
      </c>
      <c r="AC178" s="24">
        <f t="shared" si="23"/>
        <v>0.57692307692307687</v>
      </c>
      <c r="AD178" s="10" t="s">
        <v>494</v>
      </c>
      <c r="AE178" s="10" t="s">
        <v>72</v>
      </c>
      <c r="AF178" s="10" t="s">
        <v>73</v>
      </c>
      <c r="AG178" s="16" t="s">
        <v>91</v>
      </c>
    </row>
    <row r="179" spans="1:33">
      <c r="A179" s="14" t="s">
        <v>492</v>
      </c>
      <c r="B179" s="10" t="s">
        <v>43</v>
      </c>
      <c r="C179" s="10" t="s">
        <v>463</v>
      </c>
      <c r="D179" s="10" t="s">
        <v>72</v>
      </c>
      <c r="E179" s="10" t="s">
        <v>73</v>
      </c>
      <c r="F179" s="10" t="s">
        <v>495</v>
      </c>
      <c r="G179" s="10" t="s">
        <v>39</v>
      </c>
      <c r="H179" s="34">
        <v>1</v>
      </c>
      <c r="I179" s="28">
        <v>200</v>
      </c>
      <c r="J179" s="16">
        <v>4</v>
      </c>
      <c r="K179" s="16">
        <v>6</v>
      </c>
      <c r="L179" s="32">
        <f t="shared" si="16"/>
        <v>0.4</v>
      </c>
      <c r="M179" s="16">
        <v>6</v>
      </c>
      <c r="N179" s="16">
        <v>3</v>
      </c>
      <c r="O179" s="32">
        <f t="shared" si="17"/>
        <v>0.66666666666666663</v>
      </c>
      <c r="P179" s="16">
        <v>3</v>
      </c>
      <c r="Q179" s="16">
        <v>6</v>
      </c>
      <c r="R179" s="32">
        <f t="shared" si="18"/>
        <v>0.33333333333333331</v>
      </c>
      <c r="S179" s="16">
        <v>6</v>
      </c>
      <c r="T179" s="16">
        <v>3</v>
      </c>
      <c r="U179" s="32">
        <f t="shared" si="19"/>
        <v>0.66666666666666663</v>
      </c>
      <c r="V179" s="16">
        <v>6</v>
      </c>
      <c r="W179" s="16">
        <v>1</v>
      </c>
      <c r="X179" s="16">
        <f t="shared" si="20"/>
        <v>0.8571428571428571</v>
      </c>
      <c r="Y179" s="16">
        <f>COUNTA(J179:W179)/2</f>
        <v>7</v>
      </c>
      <c r="Z179" s="16">
        <f>J179+M179+P179+S179+V179</f>
        <v>25</v>
      </c>
      <c r="AA179" s="16">
        <f t="shared" si="21"/>
        <v>19</v>
      </c>
      <c r="AB179" s="16">
        <f t="shared" si="22"/>
        <v>44</v>
      </c>
      <c r="AC179" s="24">
        <f t="shared" si="23"/>
        <v>0.56818181818181823</v>
      </c>
      <c r="AD179" s="10" t="s">
        <v>496</v>
      </c>
      <c r="AE179" s="10" t="s">
        <v>72</v>
      </c>
      <c r="AF179" s="10" t="s">
        <v>73</v>
      </c>
      <c r="AG179" s="16">
        <v>4</v>
      </c>
    </row>
    <row r="180" spans="1:33">
      <c r="A180" s="9" t="s">
        <v>497</v>
      </c>
      <c r="B180" s="10" t="s">
        <v>34</v>
      </c>
      <c r="C180" s="11" t="s">
        <v>489</v>
      </c>
      <c r="D180" s="11" t="s">
        <v>72</v>
      </c>
      <c r="E180" s="11" t="s">
        <v>73</v>
      </c>
      <c r="F180" s="11" t="s">
        <v>498</v>
      </c>
      <c r="G180" s="10" t="s">
        <v>39</v>
      </c>
      <c r="H180" s="35">
        <v>4</v>
      </c>
      <c r="I180" s="29">
        <v>110</v>
      </c>
      <c r="J180" s="13">
        <v>1</v>
      </c>
      <c r="K180" s="13">
        <v>6</v>
      </c>
      <c r="L180" s="32">
        <f t="shared" si="16"/>
        <v>0.14285714285714285</v>
      </c>
      <c r="M180" s="13">
        <v>6</v>
      </c>
      <c r="N180" s="13">
        <v>3</v>
      </c>
      <c r="O180" s="32">
        <f t="shared" si="17"/>
        <v>0.66666666666666663</v>
      </c>
      <c r="P180" s="13">
        <v>6</v>
      </c>
      <c r="Q180" s="13">
        <v>4</v>
      </c>
      <c r="R180" s="32">
        <f t="shared" si="18"/>
        <v>0.6</v>
      </c>
      <c r="S180" s="13"/>
      <c r="T180" s="13"/>
      <c r="U180" s="32" t="e">
        <f t="shared" si="19"/>
        <v>#DIV/0!</v>
      </c>
      <c r="V180" s="13"/>
      <c r="W180" s="13"/>
      <c r="X180" s="16" t="e">
        <f t="shared" si="20"/>
        <v>#DIV/0!</v>
      </c>
      <c r="Y180" s="16">
        <f>COUNTA(J180:W180)/2</f>
        <v>5</v>
      </c>
      <c r="Z180" s="16">
        <f>J180+M180+P180+S180+V180</f>
        <v>13</v>
      </c>
      <c r="AA180" s="16">
        <f t="shared" si="21"/>
        <v>13</v>
      </c>
      <c r="AB180" s="16">
        <f t="shared" si="22"/>
        <v>26</v>
      </c>
      <c r="AC180" s="24">
        <f t="shared" si="23"/>
        <v>0.5</v>
      </c>
      <c r="AD180" s="11" t="s">
        <v>499</v>
      </c>
      <c r="AE180" s="11" t="s">
        <v>72</v>
      </c>
      <c r="AF180" s="11" t="s">
        <v>73</v>
      </c>
      <c r="AG180" s="13">
        <v>1</v>
      </c>
    </row>
    <row r="181" spans="1:33">
      <c r="A181" s="9" t="s">
        <v>497</v>
      </c>
      <c r="B181" s="10" t="s">
        <v>43</v>
      </c>
      <c r="C181" s="11" t="s">
        <v>463</v>
      </c>
      <c r="D181" s="11" t="s">
        <v>72</v>
      </c>
      <c r="E181" s="11" t="s">
        <v>73</v>
      </c>
      <c r="F181" s="11" t="s">
        <v>500</v>
      </c>
      <c r="G181" s="10" t="s">
        <v>39</v>
      </c>
      <c r="H181" s="35">
        <v>1</v>
      </c>
      <c r="I181" s="29">
        <v>150</v>
      </c>
      <c r="J181" s="13">
        <v>6</v>
      </c>
      <c r="K181" s="13">
        <v>4</v>
      </c>
      <c r="L181" s="32">
        <f t="shared" si="16"/>
        <v>0.6</v>
      </c>
      <c r="M181" s="13">
        <v>6</v>
      </c>
      <c r="N181" s="13">
        <v>2</v>
      </c>
      <c r="O181" s="32">
        <f t="shared" si="17"/>
        <v>0.75</v>
      </c>
      <c r="P181" s="13">
        <v>2</v>
      </c>
      <c r="Q181" s="13">
        <v>6</v>
      </c>
      <c r="R181" s="32">
        <f t="shared" si="18"/>
        <v>0.25</v>
      </c>
      <c r="S181" s="13">
        <v>6</v>
      </c>
      <c r="T181" s="13">
        <v>1</v>
      </c>
      <c r="U181" s="32">
        <f t="shared" si="19"/>
        <v>0.8571428571428571</v>
      </c>
      <c r="V181" s="13"/>
      <c r="W181" s="13"/>
      <c r="X181" s="16" t="e">
        <f t="shared" si="20"/>
        <v>#DIV/0!</v>
      </c>
      <c r="Y181" s="16">
        <f>COUNTA(J181:W181)/2</f>
        <v>6</v>
      </c>
      <c r="Z181" s="16">
        <f>J181+M181+P181+S181+V181</f>
        <v>20</v>
      </c>
      <c r="AA181" s="16">
        <f t="shared" si="21"/>
        <v>13</v>
      </c>
      <c r="AB181" s="16">
        <f t="shared" si="22"/>
        <v>33</v>
      </c>
      <c r="AC181" s="24">
        <f t="shared" si="23"/>
        <v>0.60606060606060608</v>
      </c>
      <c r="AD181" s="11" t="s">
        <v>496</v>
      </c>
      <c r="AE181" s="11" t="s">
        <v>72</v>
      </c>
      <c r="AF181" s="11" t="s">
        <v>73</v>
      </c>
      <c r="AG181" s="13">
        <v>2</v>
      </c>
    </row>
    <row r="182" spans="1:33">
      <c r="A182" s="14" t="s">
        <v>501</v>
      </c>
      <c r="B182" s="10" t="s">
        <v>34</v>
      </c>
      <c r="C182" s="10" t="s">
        <v>502</v>
      </c>
      <c r="D182" s="10" t="s">
        <v>72</v>
      </c>
      <c r="E182" s="10" t="s">
        <v>73</v>
      </c>
      <c r="F182" s="10" t="s">
        <v>503</v>
      </c>
      <c r="G182" s="10" t="s">
        <v>39</v>
      </c>
      <c r="H182" s="34">
        <v>1</v>
      </c>
      <c r="I182" s="28">
        <v>110</v>
      </c>
      <c r="J182" s="16">
        <v>10</v>
      </c>
      <c r="K182" s="16">
        <v>8</v>
      </c>
      <c r="L182" s="32">
        <f t="shared" si="16"/>
        <v>0.55555555555555558</v>
      </c>
      <c r="M182" s="16">
        <v>2</v>
      </c>
      <c r="N182" s="16">
        <v>6</v>
      </c>
      <c r="O182" s="32">
        <f t="shared" si="17"/>
        <v>0.25</v>
      </c>
      <c r="P182" s="16">
        <v>7</v>
      </c>
      <c r="Q182" s="16">
        <v>5</v>
      </c>
      <c r="R182" s="32">
        <f t="shared" si="18"/>
        <v>0.58333333333333337</v>
      </c>
      <c r="S182" s="16"/>
      <c r="T182" s="16"/>
      <c r="U182" s="32" t="e">
        <f t="shared" si="19"/>
        <v>#DIV/0!</v>
      </c>
      <c r="V182" s="16"/>
      <c r="W182" s="16"/>
      <c r="X182" s="16" t="e">
        <f t="shared" si="20"/>
        <v>#DIV/0!</v>
      </c>
      <c r="Y182" s="16">
        <f>COUNTA(J182:W182)/2</f>
        <v>5</v>
      </c>
      <c r="Z182" s="16">
        <f>J182+M182+P182+S182+V182</f>
        <v>19</v>
      </c>
      <c r="AA182" s="16">
        <f t="shared" si="21"/>
        <v>19</v>
      </c>
      <c r="AB182" s="16">
        <f t="shared" si="22"/>
        <v>38</v>
      </c>
      <c r="AC182" s="24">
        <f t="shared" si="23"/>
        <v>0.5</v>
      </c>
      <c r="AD182" s="10" t="s">
        <v>504</v>
      </c>
      <c r="AE182" s="10" t="s">
        <v>72</v>
      </c>
      <c r="AF182" s="10" t="s">
        <v>73</v>
      </c>
      <c r="AG182" s="16">
        <v>4</v>
      </c>
    </row>
    <row r="183" spans="1:33">
      <c r="A183" s="14" t="s">
        <v>501</v>
      </c>
      <c r="B183" s="10" t="s">
        <v>43</v>
      </c>
      <c r="C183" s="10" t="s">
        <v>505</v>
      </c>
      <c r="D183" s="10" t="s">
        <v>72</v>
      </c>
      <c r="E183" s="10" t="s">
        <v>73</v>
      </c>
      <c r="F183" s="10" t="s">
        <v>506</v>
      </c>
      <c r="G183" s="10" t="s">
        <v>39</v>
      </c>
      <c r="H183" s="34">
        <v>3</v>
      </c>
      <c r="I183" s="28">
        <v>110</v>
      </c>
      <c r="J183" s="16">
        <v>6</v>
      </c>
      <c r="K183" s="16">
        <v>3</v>
      </c>
      <c r="L183" s="32">
        <f t="shared" si="16"/>
        <v>0.66666666666666663</v>
      </c>
      <c r="M183" s="16">
        <v>6</v>
      </c>
      <c r="N183" s="16">
        <v>1</v>
      </c>
      <c r="O183" s="32">
        <f t="shared" si="17"/>
        <v>0.8571428571428571</v>
      </c>
      <c r="P183" s="16">
        <v>6</v>
      </c>
      <c r="Q183" s="16">
        <v>3</v>
      </c>
      <c r="R183" s="32">
        <f t="shared" si="18"/>
        <v>0.66666666666666663</v>
      </c>
      <c r="S183" s="16"/>
      <c r="T183" s="16"/>
      <c r="U183" s="32" t="e">
        <f t="shared" si="19"/>
        <v>#DIV/0!</v>
      </c>
      <c r="V183" s="16"/>
      <c r="W183" s="16"/>
      <c r="X183" s="16" t="e">
        <f t="shared" si="20"/>
        <v>#DIV/0!</v>
      </c>
      <c r="Y183" s="16">
        <f>COUNTA(J183:W183)/2</f>
        <v>5</v>
      </c>
      <c r="Z183" s="16">
        <f>J183+M183+P183+S183+V183</f>
        <v>18</v>
      </c>
      <c r="AA183" s="16">
        <f t="shared" si="21"/>
        <v>7</v>
      </c>
      <c r="AB183" s="16">
        <f t="shared" si="22"/>
        <v>25</v>
      </c>
      <c r="AC183" s="24">
        <f t="shared" si="23"/>
        <v>0.72</v>
      </c>
      <c r="AD183" s="10" t="s">
        <v>496</v>
      </c>
      <c r="AE183" s="10" t="s">
        <v>72</v>
      </c>
      <c r="AF183" s="10" t="s">
        <v>73</v>
      </c>
      <c r="AG183" s="16">
        <v>2</v>
      </c>
    </row>
    <row r="184" spans="1:33">
      <c r="A184" s="9" t="s">
        <v>507</v>
      </c>
      <c r="B184" s="10" t="s">
        <v>34</v>
      </c>
      <c r="C184" s="11" t="s">
        <v>502</v>
      </c>
      <c r="D184" s="11" t="s">
        <v>72</v>
      </c>
      <c r="E184" s="11" t="s">
        <v>73</v>
      </c>
      <c r="F184" s="11" t="s">
        <v>508</v>
      </c>
      <c r="G184" s="10" t="s">
        <v>39</v>
      </c>
      <c r="H184" s="35">
        <v>1</v>
      </c>
      <c r="I184" s="29">
        <v>110</v>
      </c>
      <c r="J184" s="13">
        <v>6</v>
      </c>
      <c r="K184" s="13">
        <v>1</v>
      </c>
      <c r="L184" s="32">
        <f t="shared" si="16"/>
        <v>0.8571428571428571</v>
      </c>
      <c r="M184" s="13">
        <v>5</v>
      </c>
      <c r="N184" s="13">
        <v>7</v>
      </c>
      <c r="O184" s="32">
        <f t="shared" si="17"/>
        <v>0.41666666666666669</v>
      </c>
      <c r="P184" s="13">
        <v>6</v>
      </c>
      <c r="Q184" s="13">
        <v>2</v>
      </c>
      <c r="R184" s="32">
        <f t="shared" si="18"/>
        <v>0.75</v>
      </c>
      <c r="S184" s="13"/>
      <c r="T184" s="13"/>
      <c r="U184" s="32" t="e">
        <f t="shared" si="19"/>
        <v>#DIV/0!</v>
      </c>
      <c r="V184" s="13"/>
      <c r="W184" s="13"/>
      <c r="X184" s="16" t="e">
        <f t="shared" si="20"/>
        <v>#DIV/0!</v>
      </c>
      <c r="Y184" s="16">
        <f>COUNTA(J184:W184)/2</f>
        <v>5</v>
      </c>
      <c r="Z184" s="16">
        <f>J184+M184+P184+S184+V184</f>
        <v>17</v>
      </c>
      <c r="AA184" s="16">
        <f t="shared" si="21"/>
        <v>10</v>
      </c>
      <c r="AB184" s="16">
        <f t="shared" si="22"/>
        <v>27</v>
      </c>
      <c r="AC184" s="24">
        <f t="shared" si="23"/>
        <v>0.62962962962962965</v>
      </c>
      <c r="AD184" s="11" t="s">
        <v>509</v>
      </c>
      <c r="AE184" s="11" t="s">
        <v>72</v>
      </c>
      <c r="AF184" s="11" t="s">
        <v>73</v>
      </c>
      <c r="AG184" s="13">
        <v>2</v>
      </c>
    </row>
    <row r="185" spans="1:33">
      <c r="A185" s="9" t="s">
        <v>507</v>
      </c>
      <c r="B185" s="10" t="s">
        <v>43</v>
      </c>
      <c r="C185" s="11" t="s">
        <v>510</v>
      </c>
      <c r="D185" s="11" t="s">
        <v>127</v>
      </c>
      <c r="E185" s="11" t="s">
        <v>128</v>
      </c>
      <c r="F185" s="11" t="s">
        <v>511</v>
      </c>
      <c r="G185" s="10" t="s">
        <v>39</v>
      </c>
      <c r="H185" s="35">
        <v>4</v>
      </c>
      <c r="I185" s="29">
        <v>150</v>
      </c>
      <c r="J185" s="13">
        <v>6</v>
      </c>
      <c r="K185" s="13">
        <v>2</v>
      </c>
      <c r="L185" s="32">
        <f t="shared" si="16"/>
        <v>0.75</v>
      </c>
      <c r="M185" s="13">
        <v>6</v>
      </c>
      <c r="N185" s="13">
        <v>2</v>
      </c>
      <c r="O185" s="32">
        <f t="shared" si="17"/>
        <v>0.75</v>
      </c>
      <c r="P185" s="13">
        <v>5</v>
      </c>
      <c r="Q185" s="13">
        <v>7</v>
      </c>
      <c r="R185" s="32">
        <f t="shared" si="18"/>
        <v>0.41666666666666669</v>
      </c>
      <c r="S185" s="13">
        <v>7</v>
      </c>
      <c r="T185" s="13">
        <v>5</v>
      </c>
      <c r="U185" s="32">
        <f t="shared" si="19"/>
        <v>0.58333333333333337</v>
      </c>
      <c r="V185" s="13"/>
      <c r="W185" s="13"/>
      <c r="X185" s="16" t="e">
        <f t="shared" si="20"/>
        <v>#DIV/0!</v>
      </c>
      <c r="Y185" s="16">
        <f>COUNTA(J185:W185)/2</f>
        <v>6</v>
      </c>
      <c r="Z185" s="16">
        <f>J185+M185+P185+S185+V185</f>
        <v>24</v>
      </c>
      <c r="AA185" s="16">
        <f t="shared" si="21"/>
        <v>16</v>
      </c>
      <c r="AB185" s="16">
        <f t="shared" si="22"/>
        <v>40</v>
      </c>
      <c r="AC185" s="24">
        <f t="shared" si="23"/>
        <v>0.6</v>
      </c>
      <c r="AD185" s="11" t="s">
        <v>512</v>
      </c>
      <c r="AE185" s="11" t="s">
        <v>72</v>
      </c>
      <c r="AF185" s="11" t="s">
        <v>73</v>
      </c>
      <c r="AG185" s="13">
        <v>5</v>
      </c>
    </row>
    <row r="186" spans="1:33">
      <c r="A186" s="14" t="s">
        <v>513</v>
      </c>
      <c r="B186" s="10" t="s">
        <v>34</v>
      </c>
      <c r="C186" s="10" t="s">
        <v>502</v>
      </c>
      <c r="D186" s="10" t="s">
        <v>72</v>
      </c>
      <c r="E186" s="10" t="s">
        <v>73</v>
      </c>
      <c r="F186" s="10" t="s">
        <v>327</v>
      </c>
      <c r="G186" s="10" t="s">
        <v>39</v>
      </c>
      <c r="H186" s="34">
        <v>2</v>
      </c>
      <c r="I186" s="28">
        <v>75</v>
      </c>
      <c r="J186" s="16">
        <v>7</v>
      </c>
      <c r="K186" s="16">
        <v>5</v>
      </c>
      <c r="L186" s="32">
        <f t="shared" si="16"/>
        <v>0.58333333333333337</v>
      </c>
      <c r="M186" s="16">
        <v>6</v>
      </c>
      <c r="N186" s="16">
        <v>2</v>
      </c>
      <c r="O186" s="32">
        <f t="shared" si="17"/>
        <v>0.75</v>
      </c>
      <c r="P186" s="16"/>
      <c r="Q186" s="16"/>
      <c r="R186" s="32" t="e">
        <f t="shared" si="18"/>
        <v>#DIV/0!</v>
      </c>
      <c r="S186" s="16"/>
      <c r="T186" s="16"/>
      <c r="U186" s="32" t="e">
        <f t="shared" si="19"/>
        <v>#DIV/0!</v>
      </c>
      <c r="V186" s="16"/>
      <c r="W186" s="16"/>
      <c r="X186" s="16" t="e">
        <f t="shared" si="20"/>
        <v>#DIV/0!</v>
      </c>
      <c r="Y186" s="16">
        <f>COUNTA(J186:W186)/2</f>
        <v>4</v>
      </c>
      <c r="Z186" s="16">
        <f>J186+M186+P186+S186+V186</f>
        <v>13</v>
      </c>
      <c r="AA186" s="16">
        <f t="shared" si="21"/>
        <v>7</v>
      </c>
      <c r="AB186" s="16">
        <f t="shared" si="22"/>
        <v>20</v>
      </c>
      <c r="AC186" s="24">
        <f t="shared" si="23"/>
        <v>0.65</v>
      </c>
      <c r="AD186" s="10" t="s">
        <v>514</v>
      </c>
      <c r="AE186" s="10" t="s">
        <v>72</v>
      </c>
      <c r="AF186" s="10" t="s">
        <v>73</v>
      </c>
      <c r="AG186" s="16">
        <v>1</v>
      </c>
    </row>
    <row r="187" spans="1:33">
      <c r="A187" s="14" t="s">
        <v>513</v>
      </c>
      <c r="B187" s="10" t="s">
        <v>43</v>
      </c>
      <c r="C187" s="10" t="s">
        <v>515</v>
      </c>
      <c r="D187" s="10" t="s">
        <v>167</v>
      </c>
      <c r="E187" s="10" t="s">
        <v>168</v>
      </c>
      <c r="F187" s="10" t="s">
        <v>516</v>
      </c>
      <c r="G187" s="10" t="s">
        <v>39</v>
      </c>
      <c r="H187" s="34">
        <v>1</v>
      </c>
      <c r="I187" s="28">
        <v>200</v>
      </c>
      <c r="J187" s="16">
        <v>6</v>
      </c>
      <c r="K187" s="16">
        <v>4</v>
      </c>
      <c r="L187" s="32">
        <f t="shared" si="16"/>
        <v>0.6</v>
      </c>
      <c r="M187" s="16">
        <v>6</v>
      </c>
      <c r="N187" s="16">
        <v>1</v>
      </c>
      <c r="O187" s="32">
        <f t="shared" si="17"/>
        <v>0.8571428571428571</v>
      </c>
      <c r="P187" s="16">
        <v>4</v>
      </c>
      <c r="Q187" s="16">
        <v>6</v>
      </c>
      <c r="R187" s="32">
        <f t="shared" si="18"/>
        <v>0.4</v>
      </c>
      <c r="S187" s="16">
        <v>5</v>
      </c>
      <c r="T187" s="16">
        <v>7</v>
      </c>
      <c r="U187" s="32">
        <f t="shared" si="19"/>
        <v>0.41666666666666669</v>
      </c>
      <c r="V187" s="16">
        <v>6</v>
      </c>
      <c r="W187" s="16">
        <v>3</v>
      </c>
      <c r="X187" s="16">
        <f t="shared" si="20"/>
        <v>0.66666666666666663</v>
      </c>
      <c r="Y187" s="16">
        <f>COUNTA(J187:W187)/2</f>
        <v>7</v>
      </c>
      <c r="Z187" s="16">
        <f>J187+M187+P187+S187+V187</f>
        <v>27</v>
      </c>
      <c r="AA187" s="16">
        <f t="shared" si="21"/>
        <v>21</v>
      </c>
      <c r="AB187" s="16">
        <f t="shared" si="22"/>
        <v>48</v>
      </c>
      <c r="AC187" s="24">
        <f t="shared" si="23"/>
        <v>0.5625</v>
      </c>
      <c r="AD187" s="10" t="s">
        <v>517</v>
      </c>
      <c r="AE187" s="10" t="s">
        <v>72</v>
      </c>
      <c r="AF187" s="10" t="s">
        <v>73</v>
      </c>
      <c r="AG187" s="16" t="s">
        <v>91</v>
      </c>
    </row>
    <row r="188" spans="1:33">
      <c r="A188" s="9" t="s">
        <v>518</v>
      </c>
      <c r="B188" s="10" t="s">
        <v>34</v>
      </c>
      <c r="C188" s="11" t="s">
        <v>514</v>
      </c>
      <c r="D188" s="11" t="s">
        <v>72</v>
      </c>
      <c r="E188" s="11" t="s">
        <v>73</v>
      </c>
      <c r="F188" s="11" t="s">
        <v>519</v>
      </c>
      <c r="G188" s="10" t="s">
        <v>39</v>
      </c>
      <c r="H188" s="35">
        <v>1</v>
      </c>
      <c r="I188" s="29">
        <v>110</v>
      </c>
      <c r="J188" s="13">
        <v>5</v>
      </c>
      <c r="K188" s="13">
        <v>7</v>
      </c>
      <c r="L188" s="32">
        <f t="shared" si="16"/>
        <v>0.41666666666666669</v>
      </c>
      <c r="M188" s="13">
        <v>6</v>
      </c>
      <c r="N188" s="13">
        <v>1</v>
      </c>
      <c r="O188" s="32">
        <f t="shared" si="17"/>
        <v>0.8571428571428571</v>
      </c>
      <c r="P188" s="13">
        <v>6</v>
      </c>
      <c r="Q188" s="13">
        <v>2</v>
      </c>
      <c r="R188" s="32">
        <f t="shared" si="18"/>
        <v>0.75</v>
      </c>
      <c r="S188" s="13"/>
      <c r="T188" s="13"/>
      <c r="U188" s="32" t="e">
        <f t="shared" si="19"/>
        <v>#DIV/0!</v>
      </c>
      <c r="V188" s="13"/>
      <c r="W188" s="13"/>
      <c r="X188" s="16" t="e">
        <f t="shared" si="20"/>
        <v>#DIV/0!</v>
      </c>
      <c r="Y188" s="16">
        <f>COUNTA(J188:W188)/2</f>
        <v>5</v>
      </c>
      <c r="Z188" s="16">
        <f>J188+M188+P188+S188+V188</f>
        <v>17</v>
      </c>
      <c r="AA188" s="16">
        <f t="shared" si="21"/>
        <v>10</v>
      </c>
      <c r="AB188" s="16">
        <f t="shared" si="22"/>
        <v>27</v>
      </c>
      <c r="AC188" s="24">
        <f t="shared" si="23"/>
        <v>0.62962962962962965</v>
      </c>
      <c r="AD188" s="11" t="s">
        <v>504</v>
      </c>
      <c r="AE188" s="11" t="s">
        <v>72</v>
      </c>
      <c r="AF188" s="11" t="s">
        <v>73</v>
      </c>
      <c r="AG188" s="13">
        <v>3</v>
      </c>
    </row>
    <row r="189" spans="1:33">
      <c r="A189" s="9" t="s">
        <v>518</v>
      </c>
      <c r="B189" s="10" t="s">
        <v>43</v>
      </c>
      <c r="C189" s="11" t="s">
        <v>520</v>
      </c>
      <c r="D189" s="11" t="s">
        <v>72</v>
      </c>
      <c r="E189" s="11" t="s">
        <v>73</v>
      </c>
      <c r="F189" s="11" t="s">
        <v>521</v>
      </c>
      <c r="G189" s="10" t="s">
        <v>39</v>
      </c>
      <c r="H189" s="35">
        <v>1</v>
      </c>
      <c r="I189" s="29">
        <v>210</v>
      </c>
      <c r="J189" s="13">
        <v>3</v>
      </c>
      <c r="K189" s="13">
        <v>6</v>
      </c>
      <c r="L189" s="32">
        <f t="shared" si="16"/>
        <v>0.33333333333333331</v>
      </c>
      <c r="M189" s="13">
        <v>6</v>
      </c>
      <c r="N189" s="13">
        <v>4</v>
      </c>
      <c r="O189" s="32">
        <f t="shared" si="17"/>
        <v>0.6</v>
      </c>
      <c r="P189" s="13">
        <v>3</v>
      </c>
      <c r="Q189" s="13">
        <v>6</v>
      </c>
      <c r="R189" s="32">
        <f t="shared" si="18"/>
        <v>0.33333333333333331</v>
      </c>
      <c r="S189" s="13">
        <v>18</v>
      </c>
      <c r="T189" s="13">
        <v>16</v>
      </c>
      <c r="U189" s="32">
        <f t="shared" si="19"/>
        <v>0.52941176470588236</v>
      </c>
      <c r="V189" s="13">
        <v>6</v>
      </c>
      <c r="W189" s="13">
        <v>3</v>
      </c>
      <c r="X189" s="16">
        <f t="shared" si="20"/>
        <v>0.66666666666666663</v>
      </c>
      <c r="Y189" s="16">
        <f>COUNTA(J189:W189)/2</f>
        <v>7</v>
      </c>
      <c r="Z189" s="16">
        <f>J189+M189+P189+S189+V189</f>
        <v>36</v>
      </c>
      <c r="AA189" s="16">
        <f t="shared" si="21"/>
        <v>35</v>
      </c>
      <c r="AB189" s="16">
        <f t="shared" si="22"/>
        <v>71</v>
      </c>
      <c r="AC189" s="24">
        <f t="shared" si="23"/>
        <v>0.50704225352112675</v>
      </c>
      <c r="AD189" s="11" t="s">
        <v>522</v>
      </c>
      <c r="AE189" s="11" t="s">
        <v>72</v>
      </c>
      <c r="AF189" s="11" t="s">
        <v>73</v>
      </c>
      <c r="AG189" s="13">
        <v>3</v>
      </c>
    </row>
    <row r="190" spans="1:33">
      <c r="A190" s="14" t="s">
        <v>523</v>
      </c>
      <c r="B190" s="10" t="s">
        <v>34</v>
      </c>
      <c r="C190" s="10" t="s">
        <v>502</v>
      </c>
      <c r="D190" s="10" t="s">
        <v>72</v>
      </c>
      <c r="E190" s="10" t="s">
        <v>73</v>
      </c>
      <c r="F190" s="10" t="s">
        <v>360</v>
      </c>
      <c r="G190" s="10" t="s">
        <v>39</v>
      </c>
      <c r="H190" s="34">
        <v>1</v>
      </c>
      <c r="I190" s="28">
        <v>75</v>
      </c>
      <c r="J190" s="16">
        <v>6</v>
      </c>
      <c r="K190" s="16">
        <v>1</v>
      </c>
      <c r="L190" s="32">
        <f t="shared" si="16"/>
        <v>0.8571428571428571</v>
      </c>
      <c r="M190" s="16">
        <v>6</v>
      </c>
      <c r="N190" s="16">
        <v>3</v>
      </c>
      <c r="O190" s="32">
        <f t="shared" si="17"/>
        <v>0.66666666666666663</v>
      </c>
      <c r="P190" s="16"/>
      <c r="Q190" s="16"/>
      <c r="R190" s="32" t="e">
        <f t="shared" si="18"/>
        <v>#DIV/0!</v>
      </c>
      <c r="S190" s="16"/>
      <c r="T190" s="16"/>
      <c r="U190" s="32" t="e">
        <f t="shared" si="19"/>
        <v>#DIV/0!</v>
      </c>
      <c r="V190" s="16"/>
      <c r="W190" s="16"/>
      <c r="X190" s="16" t="e">
        <f t="shared" si="20"/>
        <v>#DIV/0!</v>
      </c>
      <c r="Y190" s="16">
        <f>COUNTA(J190:W190)/2</f>
        <v>4</v>
      </c>
      <c r="Z190" s="16">
        <f>J190+M190+P190+S190+V190</f>
        <v>12</v>
      </c>
      <c r="AA190" s="16">
        <f t="shared" si="21"/>
        <v>4</v>
      </c>
      <c r="AB190" s="16">
        <f t="shared" si="22"/>
        <v>16</v>
      </c>
      <c r="AC190" s="24">
        <f t="shared" si="23"/>
        <v>0.75</v>
      </c>
      <c r="AD190" s="10" t="s">
        <v>514</v>
      </c>
      <c r="AE190" s="10" t="s">
        <v>72</v>
      </c>
      <c r="AF190" s="10" t="s">
        <v>73</v>
      </c>
      <c r="AG190" s="16">
        <v>2</v>
      </c>
    </row>
    <row r="191" spans="1:33">
      <c r="A191" s="14" t="s">
        <v>523</v>
      </c>
      <c r="B191" s="10" t="s">
        <v>43</v>
      </c>
      <c r="C191" s="10" t="s">
        <v>522</v>
      </c>
      <c r="D191" s="10" t="s">
        <v>72</v>
      </c>
      <c r="E191" s="10" t="s">
        <v>73</v>
      </c>
      <c r="F191" s="10" t="s">
        <v>524</v>
      </c>
      <c r="G191" s="10" t="s">
        <v>39</v>
      </c>
      <c r="H191" s="34">
        <v>4</v>
      </c>
      <c r="I191" s="28">
        <v>110</v>
      </c>
      <c r="J191" s="16">
        <v>6</v>
      </c>
      <c r="K191" s="16">
        <v>1</v>
      </c>
      <c r="L191" s="32">
        <f t="shared" si="16"/>
        <v>0.8571428571428571</v>
      </c>
      <c r="M191" s="16">
        <v>6</v>
      </c>
      <c r="N191" s="16">
        <v>3</v>
      </c>
      <c r="O191" s="32">
        <f t="shared" si="17"/>
        <v>0.66666666666666663</v>
      </c>
      <c r="P191" s="16">
        <v>6</v>
      </c>
      <c r="Q191" s="16">
        <v>1</v>
      </c>
      <c r="R191" s="32">
        <f t="shared" si="18"/>
        <v>0.8571428571428571</v>
      </c>
      <c r="S191" s="16"/>
      <c r="T191" s="16"/>
      <c r="U191" s="32" t="e">
        <f t="shared" si="19"/>
        <v>#DIV/0!</v>
      </c>
      <c r="V191" s="16"/>
      <c r="W191" s="16"/>
      <c r="X191" s="16" t="e">
        <f t="shared" si="20"/>
        <v>#DIV/0!</v>
      </c>
      <c r="Y191" s="16">
        <f>COUNTA(J191:W191)/2</f>
        <v>5</v>
      </c>
      <c r="Z191" s="16">
        <f>J191+M191+P191+S191+V191</f>
        <v>18</v>
      </c>
      <c r="AA191" s="16">
        <f t="shared" si="21"/>
        <v>5</v>
      </c>
      <c r="AB191" s="16">
        <f t="shared" si="22"/>
        <v>23</v>
      </c>
      <c r="AC191" s="24">
        <f t="shared" si="23"/>
        <v>0.78260869565217395</v>
      </c>
      <c r="AD191" s="10" t="s">
        <v>525</v>
      </c>
      <c r="AE191" s="10" t="s">
        <v>72</v>
      </c>
      <c r="AF191" s="10" t="s">
        <v>73</v>
      </c>
      <c r="AG191" s="16">
        <v>8</v>
      </c>
    </row>
    <row r="192" spans="1:33">
      <c r="A192" s="9" t="s">
        <v>526</v>
      </c>
      <c r="B192" s="10" t="s">
        <v>34</v>
      </c>
      <c r="C192" s="11" t="s">
        <v>502</v>
      </c>
      <c r="D192" s="11" t="s">
        <v>72</v>
      </c>
      <c r="E192" s="11" t="s">
        <v>73</v>
      </c>
      <c r="F192" s="11" t="s">
        <v>527</v>
      </c>
      <c r="G192" s="10" t="s">
        <v>39</v>
      </c>
      <c r="H192" s="35">
        <v>2</v>
      </c>
      <c r="I192" s="29">
        <v>110</v>
      </c>
      <c r="J192" s="13">
        <v>1</v>
      </c>
      <c r="K192" s="13">
        <v>6</v>
      </c>
      <c r="L192" s="32">
        <f t="shared" si="16"/>
        <v>0.14285714285714285</v>
      </c>
      <c r="M192" s="13">
        <v>8</v>
      </c>
      <c r="N192" s="13">
        <v>6</v>
      </c>
      <c r="O192" s="32">
        <f t="shared" si="17"/>
        <v>0.5714285714285714</v>
      </c>
      <c r="P192" s="13">
        <v>6</v>
      </c>
      <c r="Q192" s="13">
        <v>4</v>
      </c>
      <c r="R192" s="32">
        <f t="shared" si="18"/>
        <v>0.6</v>
      </c>
      <c r="S192" s="13"/>
      <c r="T192" s="13"/>
      <c r="U192" s="32" t="e">
        <f t="shared" si="19"/>
        <v>#DIV/0!</v>
      </c>
      <c r="V192" s="13"/>
      <c r="W192" s="13"/>
      <c r="X192" s="16" t="e">
        <f t="shared" si="20"/>
        <v>#DIV/0!</v>
      </c>
      <c r="Y192" s="16">
        <f>COUNTA(J192:W192)/2</f>
        <v>5</v>
      </c>
      <c r="Z192" s="16">
        <f>J192+M192+P192+S192+V192</f>
        <v>15</v>
      </c>
      <c r="AA192" s="16">
        <f t="shared" si="21"/>
        <v>16</v>
      </c>
      <c r="AB192" s="16">
        <f t="shared" si="22"/>
        <v>31</v>
      </c>
      <c r="AC192" s="24">
        <f t="shared" si="23"/>
        <v>0.4838709677419355</v>
      </c>
      <c r="AD192" s="11" t="s">
        <v>514</v>
      </c>
      <c r="AE192" s="11" t="s">
        <v>72</v>
      </c>
      <c r="AF192" s="11" t="s">
        <v>73</v>
      </c>
      <c r="AG192" s="13">
        <v>3</v>
      </c>
    </row>
    <row r="193" spans="1:33">
      <c r="A193" s="9" t="s">
        <v>526</v>
      </c>
      <c r="B193" s="10" t="s">
        <v>43</v>
      </c>
      <c r="C193" s="11" t="s">
        <v>528</v>
      </c>
      <c r="D193" s="11" t="s">
        <v>72</v>
      </c>
      <c r="E193" s="11" t="s">
        <v>73</v>
      </c>
      <c r="F193" s="11" t="s">
        <v>529</v>
      </c>
      <c r="G193" s="10" t="s">
        <v>39</v>
      </c>
      <c r="H193" s="35">
        <v>1</v>
      </c>
      <c r="I193" s="29">
        <v>150</v>
      </c>
      <c r="J193" s="13">
        <v>11</v>
      </c>
      <c r="K193" s="13">
        <v>9</v>
      </c>
      <c r="L193" s="32">
        <f t="shared" si="16"/>
        <v>0.55000000000000004</v>
      </c>
      <c r="M193" s="13">
        <v>2</v>
      </c>
      <c r="N193" s="13">
        <v>6</v>
      </c>
      <c r="O193" s="32">
        <f t="shared" si="17"/>
        <v>0.25</v>
      </c>
      <c r="P193" s="13">
        <v>6</v>
      </c>
      <c r="Q193" s="13">
        <v>2</v>
      </c>
      <c r="R193" s="32">
        <f t="shared" si="18"/>
        <v>0.75</v>
      </c>
      <c r="S193" s="13">
        <v>6</v>
      </c>
      <c r="T193" s="13">
        <v>3</v>
      </c>
      <c r="U193" s="32">
        <f t="shared" si="19"/>
        <v>0.66666666666666663</v>
      </c>
      <c r="V193" s="13"/>
      <c r="W193" s="13"/>
      <c r="X193" s="16" t="e">
        <f t="shared" si="20"/>
        <v>#DIV/0!</v>
      </c>
      <c r="Y193" s="16">
        <f>COUNTA(J193:W193)/2</f>
        <v>6</v>
      </c>
      <c r="Z193" s="16">
        <f>J193+M193+P193+S193+V193</f>
        <v>25</v>
      </c>
      <c r="AA193" s="16">
        <f t="shared" si="21"/>
        <v>20</v>
      </c>
      <c r="AB193" s="16">
        <f t="shared" si="22"/>
        <v>45</v>
      </c>
      <c r="AC193" s="24">
        <f t="shared" si="23"/>
        <v>0.55555555555555558</v>
      </c>
      <c r="AD193" s="11" t="s">
        <v>520</v>
      </c>
      <c r="AE193" s="11" t="s">
        <v>72</v>
      </c>
      <c r="AF193" s="11" t="s">
        <v>73</v>
      </c>
      <c r="AG193" s="13">
        <v>2</v>
      </c>
    </row>
    <row r="194" spans="1:33">
      <c r="A194" s="14" t="s">
        <v>530</v>
      </c>
      <c r="B194" s="10" t="s">
        <v>34</v>
      </c>
      <c r="C194" s="10" t="s">
        <v>504</v>
      </c>
      <c r="D194" s="10" t="s">
        <v>72</v>
      </c>
      <c r="E194" s="10" t="s">
        <v>73</v>
      </c>
      <c r="F194" s="10" t="s">
        <v>531</v>
      </c>
      <c r="G194" s="10" t="s">
        <v>39</v>
      </c>
      <c r="H194" s="34">
        <v>3</v>
      </c>
      <c r="I194" s="28">
        <v>110</v>
      </c>
      <c r="J194" s="16">
        <v>6</v>
      </c>
      <c r="K194" s="16">
        <v>3</v>
      </c>
      <c r="L194" s="32">
        <f t="shared" si="16"/>
        <v>0.66666666666666663</v>
      </c>
      <c r="M194" s="16">
        <v>3</v>
      </c>
      <c r="N194" s="16">
        <v>6</v>
      </c>
      <c r="O194" s="32">
        <f t="shared" si="17"/>
        <v>0.33333333333333331</v>
      </c>
      <c r="P194" s="16">
        <v>8</v>
      </c>
      <c r="Q194" s="16">
        <v>6</v>
      </c>
      <c r="R194" s="32">
        <f t="shared" si="18"/>
        <v>0.5714285714285714</v>
      </c>
      <c r="S194" s="16"/>
      <c r="T194" s="16"/>
      <c r="U194" s="32" t="e">
        <f t="shared" si="19"/>
        <v>#DIV/0!</v>
      </c>
      <c r="V194" s="16"/>
      <c r="W194" s="16"/>
      <c r="X194" s="16" t="e">
        <f t="shared" si="20"/>
        <v>#DIV/0!</v>
      </c>
      <c r="Y194" s="16">
        <f>COUNTA(J194:W194)/2</f>
        <v>5</v>
      </c>
      <c r="Z194" s="16">
        <f>J194+M194+P194+S194+V194</f>
        <v>17</v>
      </c>
      <c r="AA194" s="16">
        <f t="shared" si="21"/>
        <v>15</v>
      </c>
      <c r="AB194" s="16">
        <f t="shared" si="22"/>
        <v>32</v>
      </c>
      <c r="AC194" s="24">
        <f t="shared" si="23"/>
        <v>0.53125</v>
      </c>
      <c r="AD194" s="10" t="s">
        <v>514</v>
      </c>
      <c r="AE194" s="10" t="s">
        <v>72</v>
      </c>
      <c r="AF194" s="10" t="s">
        <v>73</v>
      </c>
      <c r="AG194" s="16">
        <v>2</v>
      </c>
    </row>
    <row r="195" spans="1:33">
      <c r="A195" s="14" t="s">
        <v>530</v>
      </c>
      <c r="B195" s="10" t="s">
        <v>43</v>
      </c>
      <c r="C195" s="10" t="s">
        <v>528</v>
      </c>
      <c r="D195" s="10" t="s">
        <v>72</v>
      </c>
      <c r="E195" s="10" t="s">
        <v>73</v>
      </c>
      <c r="F195" s="10" t="s">
        <v>277</v>
      </c>
      <c r="G195" s="10" t="s">
        <v>39</v>
      </c>
      <c r="H195" s="34">
        <v>1</v>
      </c>
      <c r="I195" s="28">
        <v>200</v>
      </c>
      <c r="J195" s="16">
        <v>6</v>
      </c>
      <c r="K195" s="16">
        <v>3</v>
      </c>
      <c r="L195" s="32">
        <f t="shared" ref="L195:L213" si="24">J195/(J195+K195)</f>
        <v>0.66666666666666663</v>
      </c>
      <c r="M195" s="16">
        <v>6</v>
      </c>
      <c r="N195" s="16">
        <v>4</v>
      </c>
      <c r="O195" s="32">
        <f t="shared" ref="O195:O213" si="25">M195/(M195+N195)</f>
        <v>0.6</v>
      </c>
      <c r="P195" s="16">
        <v>3</v>
      </c>
      <c r="Q195" s="16">
        <v>6</v>
      </c>
      <c r="R195" s="32">
        <f t="shared" ref="R195:R213" si="26">P195/(P195+Q195)</f>
        <v>0.33333333333333331</v>
      </c>
      <c r="S195" s="16">
        <v>5</v>
      </c>
      <c r="T195" s="16">
        <v>7</v>
      </c>
      <c r="U195" s="32">
        <f t="shared" ref="U195:U213" si="27">S195/(S195+T195)</f>
        <v>0.41666666666666669</v>
      </c>
      <c r="V195" s="16">
        <v>6</v>
      </c>
      <c r="W195" s="16">
        <v>3</v>
      </c>
      <c r="X195" s="16">
        <f t="shared" ref="X195:X213" si="28">V195/(V195+W195)</f>
        <v>0.66666666666666663</v>
      </c>
      <c r="Y195" s="16">
        <f>COUNTA(J195:W195)/2</f>
        <v>7</v>
      </c>
      <c r="Z195" s="16">
        <f>J195+M195+P195+S195+V195</f>
        <v>26</v>
      </c>
      <c r="AA195" s="16">
        <f t="shared" ref="AA195:AA213" si="29">K195+N195+Q195+T195+W195</f>
        <v>23</v>
      </c>
      <c r="AB195" s="16">
        <f t="shared" ref="AB195:AB213" si="30">Z195+AA195</f>
        <v>49</v>
      </c>
      <c r="AC195" s="24">
        <f t="shared" ref="AC195:AC213" si="31">Z195/SUM(Z195,AA195)</f>
        <v>0.53061224489795922</v>
      </c>
      <c r="AD195" s="10" t="s">
        <v>512</v>
      </c>
      <c r="AE195" s="10" t="s">
        <v>72</v>
      </c>
      <c r="AF195" s="10" t="s">
        <v>73</v>
      </c>
      <c r="AG195" s="16">
        <v>4</v>
      </c>
    </row>
    <row r="196" spans="1:33">
      <c r="A196" s="9" t="s">
        <v>532</v>
      </c>
      <c r="B196" s="10" t="s">
        <v>34</v>
      </c>
      <c r="C196" s="11" t="s">
        <v>486</v>
      </c>
      <c r="D196" s="11" t="s">
        <v>72</v>
      </c>
      <c r="E196" s="11" t="s">
        <v>73</v>
      </c>
      <c r="F196" s="11" t="s">
        <v>210</v>
      </c>
      <c r="G196" s="10" t="s">
        <v>39</v>
      </c>
      <c r="H196" s="35" t="s">
        <v>91</v>
      </c>
      <c r="I196" s="29">
        <v>75</v>
      </c>
      <c r="J196" s="13">
        <v>6</v>
      </c>
      <c r="K196" s="13">
        <v>1</v>
      </c>
      <c r="L196" s="32">
        <f t="shared" si="24"/>
        <v>0.8571428571428571</v>
      </c>
      <c r="M196" s="13">
        <v>7</v>
      </c>
      <c r="N196" s="13">
        <v>5</v>
      </c>
      <c r="O196" s="32">
        <f t="shared" si="25"/>
        <v>0.58333333333333337</v>
      </c>
      <c r="P196" s="13"/>
      <c r="Q196" s="13"/>
      <c r="R196" s="32" t="e">
        <f t="shared" si="26"/>
        <v>#DIV/0!</v>
      </c>
      <c r="S196" s="13"/>
      <c r="T196" s="13"/>
      <c r="U196" s="32" t="e">
        <f t="shared" si="27"/>
        <v>#DIV/0!</v>
      </c>
      <c r="V196" s="13"/>
      <c r="W196" s="13"/>
      <c r="X196" s="16" t="e">
        <f t="shared" si="28"/>
        <v>#DIV/0!</v>
      </c>
      <c r="Y196" s="16">
        <f>COUNTA(J196:W196)/2</f>
        <v>4</v>
      </c>
      <c r="Z196" s="16">
        <f>J196+M196+P196+S196+V196</f>
        <v>13</v>
      </c>
      <c r="AA196" s="16">
        <f t="shared" si="29"/>
        <v>6</v>
      </c>
      <c r="AB196" s="16">
        <f t="shared" si="30"/>
        <v>19</v>
      </c>
      <c r="AC196" s="24">
        <f t="shared" si="31"/>
        <v>0.68421052631578949</v>
      </c>
      <c r="AD196" s="11" t="s">
        <v>514</v>
      </c>
      <c r="AE196" s="11" t="s">
        <v>72</v>
      </c>
      <c r="AF196" s="11" t="s">
        <v>73</v>
      </c>
      <c r="AG196" s="13" t="s">
        <v>91</v>
      </c>
    </row>
    <row r="197" spans="1:33">
      <c r="A197" s="9" t="s">
        <v>532</v>
      </c>
      <c r="B197" s="10" t="s">
        <v>43</v>
      </c>
      <c r="C197" s="11" t="s">
        <v>533</v>
      </c>
      <c r="D197" s="11" t="s">
        <v>72</v>
      </c>
      <c r="E197" s="11" t="s">
        <v>73</v>
      </c>
      <c r="F197" s="11" t="s">
        <v>534</v>
      </c>
      <c r="G197" s="10" t="s">
        <v>39</v>
      </c>
      <c r="H197" s="35" t="s">
        <v>91</v>
      </c>
      <c r="I197" s="29">
        <v>110</v>
      </c>
      <c r="J197" s="13">
        <v>6</v>
      </c>
      <c r="K197" s="13">
        <v>1</v>
      </c>
      <c r="L197" s="32">
        <f t="shared" si="24"/>
        <v>0.8571428571428571</v>
      </c>
      <c r="M197" s="13">
        <v>6</v>
      </c>
      <c r="N197" s="13">
        <v>1</v>
      </c>
      <c r="O197" s="32">
        <f t="shared" si="25"/>
        <v>0.8571428571428571</v>
      </c>
      <c r="P197" s="13">
        <v>6</v>
      </c>
      <c r="Q197" s="13">
        <v>3</v>
      </c>
      <c r="R197" s="32">
        <f t="shared" si="26"/>
        <v>0.66666666666666663</v>
      </c>
      <c r="S197" s="13"/>
      <c r="T197" s="13"/>
      <c r="U197" s="32" t="e">
        <f t="shared" si="27"/>
        <v>#DIV/0!</v>
      </c>
      <c r="V197" s="13"/>
      <c r="W197" s="13"/>
      <c r="X197" s="16" t="e">
        <f t="shared" si="28"/>
        <v>#DIV/0!</v>
      </c>
      <c r="Y197" s="16">
        <f>COUNTA(J197:W197)/2</f>
        <v>5</v>
      </c>
      <c r="Z197" s="16">
        <f>J197+M197+P197+S197+V197</f>
        <v>18</v>
      </c>
      <c r="AA197" s="16">
        <f t="shared" si="29"/>
        <v>5</v>
      </c>
      <c r="AB197" s="16">
        <f t="shared" si="30"/>
        <v>23</v>
      </c>
      <c r="AC197" s="24">
        <f t="shared" si="31"/>
        <v>0.78260869565217395</v>
      </c>
      <c r="AD197" s="11" t="s">
        <v>535</v>
      </c>
      <c r="AE197" s="11" t="s">
        <v>72</v>
      </c>
      <c r="AF197" s="11" t="s">
        <v>73</v>
      </c>
      <c r="AG197" s="13" t="s">
        <v>91</v>
      </c>
    </row>
    <row r="198" spans="1:33">
      <c r="A198" s="14" t="s">
        <v>536</v>
      </c>
      <c r="B198" s="10" t="s">
        <v>34</v>
      </c>
      <c r="C198" s="10" t="s">
        <v>486</v>
      </c>
      <c r="D198" s="10" t="s">
        <v>72</v>
      </c>
      <c r="E198" s="10" t="s">
        <v>73</v>
      </c>
      <c r="F198" s="10" t="s">
        <v>537</v>
      </c>
      <c r="G198" s="10" t="s">
        <v>39</v>
      </c>
      <c r="H198" s="35" t="s">
        <v>91</v>
      </c>
      <c r="I198" s="28">
        <v>75</v>
      </c>
      <c r="J198" s="16">
        <v>6</v>
      </c>
      <c r="K198" s="16">
        <v>3</v>
      </c>
      <c r="L198" s="32">
        <f t="shared" si="24"/>
        <v>0.66666666666666663</v>
      </c>
      <c r="M198" s="16">
        <v>10</v>
      </c>
      <c r="N198" s="16">
        <v>8</v>
      </c>
      <c r="O198" s="32">
        <f t="shared" si="25"/>
        <v>0.55555555555555558</v>
      </c>
      <c r="P198" s="16"/>
      <c r="Q198" s="16"/>
      <c r="R198" s="32" t="e">
        <f t="shared" si="26"/>
        <v>#DIV/0!</v>
      </c>
      <c r="S198" s="16"/>
      <c r="T198" s="16"/>
      <c r="U198" s="32" t="e">
        <f t="shared" si="27"/>
        <v>#DIV/0!</v>
      </c>
      <c r="V198" s="16"/>
      <c r="W198" s="16"/>
      <c r="X198" s="16" t="e">
        <f t="shared" si="28"/>
        <v>#DIV/0!</v>
      </c>
      <c r="Y198" s="16">
        <f>COUNTA(J198:W198)/2</f>
        <v>4</v>
      </c>
      <c r="Z198" s="16">
        <f>J198+M198+P198+S198+V198</f>
        <v>16</v>
      </c>
      <c r="AA198" s="16">
        <f t="shared" si="29"/>
        <v>11</v>
      </c>
      <c r="AB198" s="16">
        <f t="shared" si="30"/>
        <v>27</v>
      </c>
      <c r="AC198" s="24">
        <f t="shared" si="31"/>
        <v>0.59259259259259256</v>
      </c>
      <c r="AD198" s="10" t="s">
        <v>514</v>
      </c>
      <c r="AE198" s="10" t="s">
        <v>72</v>
      </c>
      <c r="AF198" s="10" t="s">
        <v>73</v>
      </c>
      <c r="AG198" s="13" t="s">
        <v>91</v>
      </c>
    </row>
    <row r="199" spans="1:33">
      <c r="A199" s="14" t="s">
        <v>536</v>
      </c>
      <c r="B199" s="10" t="s">
        <v>43</v>
      </c>
      <c r="C199" s="10" t="s">
        <v>528</v>
      </c>
      <c r="D199" s="10" t="s">
        <v>72</v>
      </c>
      <c r="E199" s="10" t="s">
        <v>73</v>
      </c>
      <c r="F199" s="10" t="s">
        <v>538</v>
      </c>
      <c r="G199" s="10" t="s">
        <v>39</v>
      </c>
      <c r="H199" s="35" t="s">
        <v>91</v>
      </c>
      <c r="I199" s="28">
        <v>200</v>
      </c>
      <c r="J199" s="16">
        <v>6</v>
      </c>
      <c r="K199" s="16">
        <v>0</v>
      </c>
      <c r="L199" s="32">
        <f t="shared" si="24"/>
        <v>1</v>
      </c>
      <c r="M199" s="16">
        <v>3</v>
      </c>
      <c r="N199" s="16">
        <v>6</v>
      </c>
      <c r="O199" s="32">
        <f t="shared" si="25"/>
        <v>0.33333333333333331</v>
      </c>
      <c r="P199" s="16">
        <v>3</v>
      </c>
      <c r="Q199" s="16">
        <v>6</v>
      </c>
      <c r="R199" s="32">
        <f t="shared" si="26"/>
        <v>0.33333333333333331</v>
      </c>
      <c r="S199" s="16">
        <v>6</v>
      </c>
      <c r="T199" s="16">
        <v>3</v>
      </c>
      <c r="U199" s="32">
        <f t="shared" si="27"/>
        <v>0.66666666666666663</v>
      </c>
      <c r="V199" s="16">
        <v>6</v>
      </c>
      <c r="W199" s="16">
        <v>2</v>
      </c>
      <c r="X199" s="16">
        <f t="shared" si="28"/>
        <v>0.75</v>
      </c>
      <c r="Y199" s="16">
        <f>COUNTA(J199:W199)/2</f>
        <v>7</v>
      </c>
      <c r="Z199" s="16">
        <f>J199+M199+P199+S199+V199</f>
        <v>24</v>
      </c>
      <c r="AA199" s="16">
        <f t="shared" si="29"/>
        <v>17</v>
      </c>
      <c r="AB199" s="16">
        <f t="shared" si="30"/>
        <v>41</v>
      </c>
      <c r="AC199" s="24">
        <f t="shared" si="31"/>
        <v>0.58536585365853655</v>
      </c>
      <c r="AD199" s="10" t="s">
        <v>520</v>
      </c>
      <c r="AE199" s="10" t="s">
        <v>72</v>
      </c>
      <c r="AF199" s="10" t="s">
        <v>73</v>
      </c>
      <c r="AG199" s="13" t="s">
        <v>91</v>
      </c>
    </row>
    <row r="200" spans="1:33">
      <c r="A200" s="9" t="s">
        <v>539</v>
      </c>
      <c r="B200" s="10" t="s">
        <v>43</v>
      </c>
      <c r="C200" s="11" t="s">
        <v>540</v>
      </c>
      <c r="D200" s="11" t="s">
        <v>72</v>
      </c>
      <c r="E200" s="11" t="s">
        <v>73</v>
      </c>
      <c r="F200" s="11" t="s">
        <v>541</v>
      </c>
      <c r="G200" s="10" t="s">
        <v>39</v>
      </c>
      <c r="H200" s="35" t="s">
        <v>91</v>
      </c>
      <c r="I200" s="29">
        <v>110</v>
      </c>
      <c r="J200" s="13">
        <v>7</v>
      </c>
      <c r="K200" s="13">
        <v>5</v>
      </c>
      <c r="L200" s="32">
        <f t="shared" si="24"/>
        <v>0.58333333333333337</v>
      </c>
      <c r="M200" s="13">
        <v>6</v>
      </c>
      <c r="N200" s="13">
        <v>1</v>
      </c>
      <c r="O200" s="32">
        <f t="shared" si="25"/>
        <v>0.8571428571428571</v>
      </c>
      <c r="P200" s="13">
        <v>6</v>
      </c>
      <c r="Q200" s="13">
        <v>4</v>
      </c>
      <c r="R200" s="32">
        <f t="shared" si="26"/>
        <v>0.6</v>
      </c>
      <c r="S200" s="13"/>
      <c r="T200" s="13"/>
      <c r="U200" s="32" t="e">
        <f t="shared" si="27"/>
        <v>#DIV/0!</v>
      </c>
      <c r="V200" s="13"/>
      <c r="W200" s="13"/>
      <c r="X200" s="16" t="e">
        <f t="shared" si="28"/>
        <v>#DIV/0!</v>
      </c>
      <c r="Y200" s="16">
        <f>COUNTA(J200:W200)/2</f>
        <v>5</v>
      </c>
      <c r="Z200" s="16">
        <f>J200+M200+P200+S200+V200</f>
        <v>19</v>
      </c>
      <c r="AA200" s="16">
        <f t="shared" si="29"/>
        <v>10</v>
      </c>
      <c r="AB200" s="16">
        <f t="shared" si="30"/>
        <v>29</v>
      </c>
      <c r="AC200" s="24">
        <f t="shared" si="31"/>
        <v>0.65517241379310343</v>
      </c>
      <c r="AD200" s="11" t="s">
        <v>542</v>
      </c>
      <c r="AE200" s="11" t="s">
        <v>72</v>
      </c>
      <c r="AF200" s="11" t="s">
        <v>73</v>
      </c>
      <c r="AG200" s="13" t="s">
        <v>91</v>
      </c>
    </row>
    <row r="201" spans="1:33">
      <c r="A201" s="14" t="s">
        <v>543</v>
      </c>
      <c r="B201" s="10" t="s">
        <v>43</v>
      </c>
      <c r="C201" s="10" t="s">
        <v>533</v>
      </c>
      <c r="D201" s="10" t="s">
        <v>72</v>
      </c>
      <c r="E201" s="10" t="s">
        <v>73</v>
      </c>
      <c r="F201" s="10" t="s">
        <v>544</v>
      </c>
      <c r="G201" s="10" t="s">
        <v>39</v>
      </c>
      <c r="H201" s="35" t="s">
        <v>91</v>
      </c>
      <c r="I201" s="28">
        <v>200</v>
      </c>
      <c r="J201" s="16">
        <v>6</v>
      </c>
      <c r="K201" s="16">
        <v>3</v>
      </c>
      <c r="L201" s="32">
        <f t="shared" si="24"/>
        <v>0.66666666666666663</v>
      </c>
      <c r="M201" s="16">
        <v>4</v>
      </c>
      <c r="N201" s="16">
        <v>6</v>
      </c>
      <c r="O201" s="32">
        <f t="shared" si="25"/>
        <v>0.4</v>
      </c>
      <c r="P201" s="16">
        <v>6</v>
      </c>
      <c r="Q201" s="16">
        <v>8</v>
      </c>
      <c r="R201" s="32">
        <f t="shared" si="26"/>
        <v>0.42857142857142855</v>
      </c>
      <c r="S201" s="16">
        <v>6</v>
      </c>
      <c r="T201" s="16">
        <v>1</v>
      </c>
      <c r="U201" s="32">
        <f t="shared" si="27"/>
        <v>0.8571428571428571</v>
      </c>
      <c r="V201" s="16">
        <v>6</v>
      </c>
      <c r="W201" s="16">
        <v>3</v>
      </c>
      <c r="X201" s="16">
        <f t="shared" si="28"/>
        <v>0.66666666666666663</v>
      </c>
      <c r="Y201" s="16">
        <f>COUNTA(J201:W201)/2</f>
        <v>7</v>
      </c>
      <c r="Z201" s="16">
        <f>J201+M201+P201+S201+V201</f>
        <v>28</v>
      </c>
      <c r="AA201" s="16">
        <f t="shared" si="29"/>
        <v>21</v>
      </c>
      <c r="AB201" s="16">
        <f t="shared" si="30"/>
        <v>49</v>
      </c>
      <c r="AC201" s="24">
        <f t="shared" si="31"/>
        <v>0.5714285714285714</v>
      </c>
      <c r="AD201" s="10" t="s">
        <v>545</v>
      </c>
      <c r="AE201" s="10" t="s">
        <v>72</v>
      </c>
      <c r="AF201" s="10" t="s">
        <v>73</v>
      </c>
      <c r="AG201" s="13" t="s">
        <v>91</v>
      </c>
    </row>
    <row r="202" spans="1:33">
      <c r="A202" s="9" t="s">
        <v>546</v>
      </c>
      <c r="B202" s="10" t="s">
        <v>43</v>
      </c>
      <c r="C202" s="11" t="s">
        <v>547</v>
      </c>
      <c r="D202" s="11" t="s">
        <v>127</v>
      </c>
      <c r="E202" s="11" t="s">
        <v>128</v>
      </c>
      <c r="F202" s="11" t="s">
        <v>548</v>
      </c>
      <c r="G202" s="10" t="s">
        <v>39</v>
      </c>
      <c r="H202" s="35" t="s">
        <v>91</v>
      </c>
      <c r="I202" s="29">
        <v>110</v>
      </c>
      <c r="J202" s="13">
        <v>6</v>
      </c>
      <c r="K202" s="13">
        <v>4</v>
      </c>
      <c r="L202" s="32">
        <f t="shared" si="24"/>
        <v>0.6</v>
      </c>
      <c r="M202" s="13">
        <v>6</v>
      </c>
      <c r="N202" s="13">
        <v>0</v>
      </c>
      <c r="O202" s="32">
        <f t="shared" si="25"/>
        <v>1</v>
      </c>
      <c r="P202" s="13">
        <v>6</v>
      </c>
      <c r="Q202" s="13">
        <v>3</v>
      </c>
      <c r="R202" s="32">
        <f t="shared" si="26"/>
        <v>0.66666666666666663</v>
      </c>
      <c r="S202" s="13"/>
      <c r="T202" s="13"/>
      <c r="U202" s="32" t="e">
        <f t="shared" si="27"/>
        <v>#DIV/0!</v>
      </c>
      <c r="V202" s="13"/>
      <c r="W202" s="13"/>
      <c r="X202" s="16" t="e">
        <f t="shared" si="28"/>
        <v>#DIV/0!</v>
      </c>
      <c r="Y202" s="16">
        <f>COUNTA(J202:W202)/2</f>
        <v>5</v>
      </c>
      <c r="Z202" s="16">
        <f>J202+M202+P202+S202+V202</f>
        <v>18</v>
      </c>
      <c r="AA202" s="16">
        <f t="shared" si="29"/>
        <v>7</v>
      </c>
      <c r="AB202" s="16">
        <f t="shared" si="30"/>
        <v>25</v>
      </c>
      <c r="AC202" s="24">
        <f t="shared" si="31"/>
        <v>0.72</v>
      </c>
      <c r="AD202" s="11" t="s">
        <v>549</v>
      </c>
      <c r="AE202" s="11" t="s">
        <v>72</v>
      </c>
      <c r="AF202" s="11" t="s">
        <v>73</v>
      </c>
      <c r="AG202" s="13" t="s">
        <v>91</v>
      </c>
    </row>
    <row r="203" spans="1:33">
      <c r="A203" s="14" t="s">
        <v>550</v>
      </c>
      <c r="B203" s="10" t="s">
        <v>43</v>
      </c>
      <c r="C203" s="10" t="s">
        <v>551</v>
      </c>
      <c r="D203" s="10" t="s">
        <v>127</v>
      </c>
      <c r="E203" s="10" t="s">
        <v>128</v>
      </c>
      <c r="F203" s="10" t="s">
        <v>552</v>
      </c>
      <c r="G203" s="10" t="s">
        <v>39</v>
      </c>
      <c r="H203" s="35" t="s">
        <v>91</v>
      </c>
      <c r="I203" s="28">
        <v>150</v>
      </c>
      <c r="J203" s="16">
        <v>4</v>
      </c>
      <c r="K203" s="16">
        <v>6</v>
      </c>
      <c r="L203" s="32">
        <f t="shared" si="24"/>
        <v>0.4</v>
      </c>
      <c r="M203" s="16">
        <v>6</v>
      </c>
      <c r="N203" s="16">
        <v>1</v>
      </c>
      <c r="O203" s="32">
        <f t="shared" si="25"/>
        <v>0.8571428571428571</v>
      </c>
      <c r="P203" s="16">
        <v>6</v>
      </c>
      <c r="Q203" s="16">
        <v>1</v>
      </c>
      <c r="R203" s="32">
        <f t="shared" si="26"/>
        <v>0.8571428571428571</v>
      </c>
      <c r="S203" s="16">
        <v>6</v>
      </c>
      <c r="T203" s="16">
        <v>4</v>
      </c>
      <c r="U203" s="32">
        <f t="shared" si="27"/>
        <v>0.6</v>
      </c>
      <c r="V203" s="16"/>
      <c r="W203" s="16"/>
      <c r="X203" s="16" t="e">
        <f t="shared" si="28"/>
        <v>#DIV/0!</v>
      </c>
      <c r="Y203" s="16">
        <f>COUNTA(J203:W203)/2</f>
        <v>6</v>
      </c>
      <c r="Z203" s="16">
        <f>J203+M203+P203+S203+V203</f>
        <v>22</v>
      </c>
      <c r="AA203" s="16">
        <f t="shared" si="29"/>
        <v>12</v>
      </c>
      <c r="AB203" s="16">
        <f t="shared" si="30"/>
        <v>34</v>
      </c>
      <c r="AC203" s="24">
        <f t="shared" si="31"/>
        <v>0.6470588235294118</v>
      </c>
      <c r="AD203" s="10" t="s">
        <v>553</v>
      </c>
      <c r="AE203" s="10" t="s">
        <v>72</v>
      </c>
      <c r="AF203" s="10" t="s">
        <v>73</v>
      </c>
      <c r="AG203" s="13" t="s">
        <v>91</v>
      </c>
    </row>
    <row r="204" spans="1:33">
      <c r="A204" s="9" t="s">
        <v>554</v>
      </c>
      <c r="B204" s="10" t="s">
        <v>43</v>
      </c>
      <c r="C204" s="11" t="s">
        <v>555</v>
      </c>
      <c r="D204" s="11" t="s">
        <v>72</v>
      </c>
      <c r="E204" s="11" t="s">
        <v>73</v>
      </c>
      <c r="F204" s="11" t="s">
        <v>556</v>
      </c>
      <c r="G204" s="10" t="s">
        <v>39</v>
      </c>
      <c r="H204" s="35" t="s">
        <v>91</v>
      </c>
      <c r="I204" s="29">
        <v>150</v>
      </c>
      <c r="J204" s="13">
        <v>6</v>
      </c>
      <c r="K204" s="13">
        <v>4</v>
      </c>
      <c r="L204" s="32">
        <f t="shared" si="24"/>
        <v>0.6</v>
      </c>
      <c r="M204" s="13">
        <v>6</v>
      </c>
      <c r="N204" s="13">
        <v>3</v>
      </c>
      <c r="O204" s="32">
        <f t="shared" si="25"/>
        <v>0.66666666666666663</v>
      </c>
      <c r="P204" s="13">
        <v>5</v>
      </c>
      <c r="Q204" s="13">
        <v>7</v>
      </c>
      <c r="R204" s="32">
        <f t="shared" si="26"/>
        <v>0.41666666666666669</v>
      </c>
      <c r="S204" s="13">
        <v>6</v>
      </c>
      <c r="T204" s="13">
        <v>1</v>
      </c>
      <c r="U204" s="32">
        <f t="shared" si="27"/>
        <v>0.8571428571428571</v>
      </c>
      <c r="V204" s="13"/>
      <c r="W204" s="13"/>
      <c r="X204" s="16" t="e">
        <f t="shared" si="28"/>
        <v>#DIV/0!</v>
      </c>
      <c r="Y204" s="16">
        <f>COUNTA(J204:W204)/2</f>
        <v>6</v>
      </c>
      <c r="Z204" s="16">
        <f>J204+M204+P204+S204+V204</f>
        <v>23</v>
      </c>
      <c r="AA204" s="16">
        <f t="shared" si="29"/>
        <v>15</v>
      </c>
      <c r="AB204" s="16">
        <f t="shared" si="30"/>
        <v>38</v>
      </c>
      <c r="AC204" s="24">
        <f t="shared" si="31"/>
        <v>0.60526315789473684</v>
      </c>
      <c r="AD204" s="11" t="s">
        <v>520</v>
      </c>
      <c r="AE204" s="11" t="s">
        <v>72</v>
      </c>
      <c r="AF204" s="11" t="s">
        <v>73</v>
      </c>
      <c r="AG204" s="13" t="s">
        <v>91</v>
      </c>
    </row>
    <row r="205" spans="1:33">
      <c r="A205" s="14" t="s">
        <v>557</v>
      </c>
      <c r="B205" s="10" t="s">
        <v>43</v>
      </c>
      <c r="C205" s="10" t="s">
        <v>558</v>
      </c>
      <c r="D205" s="10" t="s">
        <v>72</v>
      </c>
      <c r="E205" s="10" t="s">
        <v>73</v>
      </c>
      <c r="F205" s="10" t="s">
        <v>559</v>
      </c>
      <c r="G205" s="10" t="s">
        <v>39</v>
      </c>
      <c r="H205" s="35" t="s">
        <v>91</v>
      </c>
      <c r="I205" s="28">
        <v>150</v>
      </c>
      <c r="J205" s="16">
        <v>2</v>
      </c>
      <c r="K205" s="16">
        <v>6</v>
      </c>
      <c r="L205" s="32">
        <f t="shared" si="24"/>
        <v>0.25</v>
      </c>
      <c r="M205" s="16">
        <v>6</v>
      </c>
      <c r="N205" s="16">
        <v>1</v>
      </c>
      <c r="O205" s="32">
        <f t="shared" si="25"/>
        <v>0.8571428571428571</v>
      </c>
      <c r="P205" s="16">
        <v>6</v>
      </c>
      <c r="Q205" s="16">
        <v>3</v>
      </c>
      <c r="R205" s="32">
        <f t="shared" si="26"/>
        <v>0.66666666666666663</v>
      </c>
      <c r="S205" s="16">
        <v>6</v>
      </c>
      <c r="T205" s="16">
        <v>2</v>
      </c>
      <c r="U205" s="32">
        <f t="shared" si="27"/>
        <v>0.75</v>
      </c>
      <c r="V205" s="16"/>
      <c r="W205" s="16"/>
      <c r="X205" s="16" t="e">
        <f t="shared" si="28"/>
        <v>#DIV/0!</v>
      </c>
      <c r="Y205" s="16">
        <f>COUNTA(J205:W205)/2</f>
        <v>6</v>
      </c>
      <c r="Z205" s="16">
        <f>J205+M205+P205+S205+V205</f>
        <v>20</v>
      </c>
      <c r="AA205" s="16">
        <f t="shared" si="29"/>
        <v>12</v>
      </c>
      <c r="AB205" s="16">
        <f t="shared" si="30"/>
        <v>32</v>
      </c>
      <c r="AC205" s="24">
        <f t="shared" si="31"/>
        <v>0.625</v>
      </c>
      <c r="AD205" s="10" t="s">
        <v>560</v>
      </c>
      <c r="AE205" s="10" t="s">
        <v>348</v>
      </c>
      <c r="AF205" s="10" t="s">
        <v>349</v>
      </c>
      <c r="AG205" s="13" t="s">
        <v>91</v>
      </c>
    </row>
    <row r="206" spans="1:33">
      <c r="A206" s="9" t="s">
        <v>561</v>
      </c>
      <c r="B206" s="10" t="s">
        <v>43</v>
      </c>
      <c r="C206" s="11" t="s">
        <v>562</v>
      </c>
      <c r="D206" s="11" t="s">
        <v>127</v>
      </c>
      <c r="E206" s="11" t="s">
        <v>128</v>
      </c>
      <c r="F206" s="11" t="s">
        <v>563</v>
      </c>
      <c r="G206" s="10" t="s">
        <v>39</v>
      </c>
      <c r="H206" s="35" t="s">
        <v>91</v>
      </c>
      <c r="I206" s="29">
        <v>200</v>
      </c>
      <c r="J206" s="13">
        <v>3</v>
      </c>
      <c r="K206" s="13">
        <v>6</v>
      </c>
      <c r="L206" s="32">
        <f t="shared" si="24"/>
        <v>0.33333333333333331</v>
      </c>
      <c r="M206" s="13">
        <v>6</v>
      </c>
      <c r="N206" s="13">
        <v>3</v>
      </c>
      <c r="O206" s="32">
        <f t="shared" si="25"/>
        <v>0.66666666666666663</v>
      </c>
      <c r="P206" s="13">
        <v>1</v>
      </c>
      <c r="Q206" s="13">
        <v>6</v>
      </c>
      <c r="R206" s="32">
        <f t="shared" si="26"/>
        <v>0.14285714285714285</v>
      </c>
      <c r="S206" s="13">
        <v>6</v>
      </c>
      <c r="T206" s="13">
        <v>1</v>
      </c>
      <c r="U206" s="32">
        <f t="shared" si="27"/>
        <v>0.8571428571428571</v>
      </c>
      <c r="V206" s="13">
        <v>7</v>
      </c>
      <c r="W206" s="13">
        <v>5</v>
      </c>
      <c r="X206" s="16">
        <f t="shared" si="28"/>
        <v>0.58333333333333337</v>
      </c>
      <c r="Y206" s="16">
        <f>COUNTA(J206:W206)/2</f>
        <v>7</v>
      </c>
      <c r="Z206" s="16">
        <f>J206+M206+P206+S206+V206</f>
        <v>23</v>
      </c>
      <c r="AA206" s="16">
        <f t="shared" si="29"/>
        <v>21</v>
      </c>
      <c r="AB206" s="16">
        <f t="shared" si="30"/>
        <v>44</v>
      </c>
      <c r="AC206" s="24">
        <f t="shared" si="31"/>
        <v>0.52272727272727271</v>
      </c>
      <c r="AD206" s="11" t="s">
        <v>564</v>
      </c>
      <c r="AE206" s="11" t="s">
        <v>127</v>
      </c>
      <c r="AF206" s="11" t="s">
        <v>128</v>
      </c>
      <c r="AG206" s="13" t="s">
        <v>91</v>
      </c>
    </row>
    <row r="207" spans="1:33">
      <c r="A207" s="14" t="s">
        <v>565</v>
      </c>
      <c r="B207" s="10" t="s">
        <v>43</v>
      </c>
      <c r="C207" s="10" t="s">
        <v>566</v>
      </c>
      <c r="D207" s="10" t="s">
        <v>72</v>
      </c>
      <c r="E207" s="10" t="s">
        <v>73</v>
      </c>
      <c r="F207" s="10" t="s">
        <v>567</v>
      </c>
      <c r="G207" s="10" t="s">
        <v>39</v>
      </c>
      <c r="H207" s="35" t="s">
        <v>91</v>
      </c>
      <c r="I207" s="28">
        <v>110</v>
      </c>
      <c r="J207" s="16">
        <v>6</v>
      </c>
      <c r="K207" s="16">
        <v>1</v>
      </c>
      <c r="L207" s="32">
        <f t="shared" si="24"/>
        <v>0.8571428571428571</v>
      </c>
      <c r="M207" s="16">
        <v>6</v>
      </c>
      <c r="N207" s="16">
        <v>2</v>
      </c>
      <c r="O207" s="32">
        <f t="shared" si="25"/>
        <v>0.75</v>
      </c>
      <c r="P207" s="16">
        <v>6</v>
      </c>
      <c r="Q207" s="16">
        <v>3</v>
      </c>
      <c r="R207" s="32">
        <f t="shared" si="26"/>
        <v>0.66666666666666663</v>
      </c>
      <c r="S207" s="16"/>
      <c r="T207" s="16"/>
      <c r="U207" s="32" t="e">
        <f t="shared" si="27"/>
        <v>#DIV/0!</v>
      </c>
      <c r="V207" s="16"/>
      <c r="W207" s="16"/>
      <c r="X207" s="16" t="e">
        <f t="shared" si="28"/>
        <v>#DIV/0!</v>
      </c>
      <c r="Y207" s="16">
        <f>COUNTA(J207:W207)/2</f>
        <v>5</v>
      </c>
      <c r="Z207" s="16">
        <f>J207+M207+P207+S207+V207</f>
        <v>18</v>
      </c>
      <c r="AA207" s="16">
        <f t="shared" si="29"/>
        <v>6</v>
      </c>
      <c r="AB207" s="16">
        <f t="shared" si="30"/>
        <v>24</v>
      </c>
      <c r="AC207" s="24">
        <f t="shared" si="31"/>
        <v>0.75</v>
      </c>
      <c r="AD207" s="10" t="s">
        <v>553</v>
      </c>
      <c r="AE207" s="10" t="s">
        <v>72</v>
      </c>
      <c r="AF207" s="10" t="s">
        <v>73</v>
      </c>
      <c r="AG207" s="13" t="s">
        <v>91</v>
      </c>
    </row>
    <row r="208" spans="1:33">
      <c r="A208" s="9" t="s">
        <v>568</v>
      </c>
      <c r="B208" s="10" t="s">
        <v>43</v>
      </c>
      <c r="C208" s="11" t="s">
        <v>569</v>
      </c>
      <c r="D208" s="11" t="s">
        <v>72</v>
      </c>
      <c r="E208" s="11" t="s">
        <v>73</v>
      </c>
      <c r="F208" s="11" t="s">
        <v>570</v>
      </c>
      <c r="G208" s="10" t="s">
        <v>39</v>
      </c>
      <c r="H208" s="35" t="s">
        <v>91</v>
      </c>
      <c r="I208" s="29">
        <v>110</v>
      </c>
      <c r="J208" s="13">
        <v>6</v>
      </c>
      <c r="K208" s="13">
        <v>4</v>
      </c>
      <c r="L208" s="32">
        <f t="shared" si="24"/>
        <v>0.6</v>
      </c>
      <c r="M208" s="13">
        <v>6</v>
      </c>
      <c r="N208" s="13">
        <v>3</v>
      </c>
      <c r="O208" s="32">
        <f t="shared" si="25"/>
        <v>0.66666666666666663</v>
      </c>
      <c r="P208" s="13">
        <v>6</v>
      </c>
      <c r="Q208" s="13">
        <v>2</v>
      </c>
      <c r="R208" s="32">
        <f t="shared" si="26"/>
        <v>0.75</v>
      </c>
      <c r="S208" s="13"/>
      <c r="T208" s="13"/>
      <c r="U208" s="32" t="e">
        <f t="shared" si="27"/>
        <v>#DIV/0!</v>
      </c>
      <c r="V208" s="13"/>
      <c r="W208" s="13"/>
      <c r="X208" s="16" t="e">
        <f t="shared" si="28"/>
        <v>#DIV/0!</v>
      </c>
      <c r="Y208" s="16">
        <f>COUNTA(J208:W208)/2</f>
        <v>5</v>
      </c>
      <c r="Z208" s="16">
        <f>J208+M208+P208+S208+V208</f>
        <v>18</v>
      </c>
      <c r="AA208" s="16">
        <f t="shared" si="29"/>
        <v>9</v>
      </c>
      <c r="AB208" s="16">
        <f t="shared" si="30"/>
        <v>27</v>
      </c>
      <c r="AC208" s="24">
        <f t="shared" si="31"/>
        <v>0.66666666666666663</v>
      </c>
      <c r="AD208" s="11" t="s">
        <v>553</v>
      </c>
      <c r="AE208" s="11" t="s">
        <v>72</v>
      </c>
      <c r="AF208" s="11" t="s">
        <v>73</v>
      </c>
      <c r="AG208" s="13" t="s">
        <v>91</v>
      </c>
    </row>
    <row r="209" spans="1:33">
      <c r="A209" s="14" t="s">
        <v>571</v>
      </c>
      <c r="B209" s="10" t="s">
        <v>43</v>
      </c>
      <c r="C209" s="10" t="s">
        <v>572</v>
      </c>
      <c r="D209" s="10" t="s">
        <v>348</v>
      </c>
      <c r="E209" s="10" t="s">
        <v>349</v>
      </c>
      <c r="F209" s="10" t="s">
        <v>573</v>
      </c>
      <c r="G209" s="10" t="s">
        <v>39</v>
      </c>
      <c r="H209" s="35" t="s">
        <v>91</v>
      </c>
      <c r="I209" s="28">
        <v>110</v>
      </c>
      <c r="J209" s="16">
        <v>6</v>
      </c>
      <c r="K209" s="16">
        <v>1</v>
      </c>
      <c r="L209" s="32">
        <f t="shared" si="24"/>
        <v>0.8571428571428571</v>
      </c>
      <c r="M209" s="16">
        <v>7</v>
      </c>
      <c r="N209" s="16">
        <v>5</v>
      </c>
      <c r="O209" s="32">
        <f t="shared" si="25"/>
        <v>0.58333333333333337</v>
      </c>
      <c r="P209" s="16">
        <v>6</v>
      </c>
      <c r="Q209" s="16">
        <v>2</v>
      </c>
      <c r="R209" s="32">
        <f t="shared" si="26"/>
        <v>0.75</v>
      </c>
      <c r="S209" s="16"/>
      <c r="T209" s="16"/>
      <c r="U209" s="32" t="e">
        <f t="shared" si="27"/>
        <v>#DIV/0!</v>
      </c>
      <c r="V209" s="16"/>
      <c r="W209" s="16"/>
      <c r="X209" s="16" t="e">
        <f t="shared" si="28"/>
        <v>#DIV/0!</v>
      </c>
      <c r="Y209" s="16">
        <f>COUNTA(J209:W209)/2</f>
        <v>5</v>
      </c>
      <c r="Z209" s="16">
        <f>J209+M209+P209+S209+V209</f>
        <v>19</v>
      </c>
      <c r="AA209" s="16">
        <f t="shared" si="29"/>
        <v>8</v>
      </c>
      <c r="AB209" s="16">
        <f t="shared" si="30"/>
        <v>27</v>
      </c>
      <c r="AC209" s="24">
        <f t="shared" si="31"/>
        <v>0.70370370370370372</v>
      </c>
      <c r="AD209" s="10" t="s">
        <v>558</v>
      </c>
      <c r="AE209" s="10" t="s">
        <v>72</v>
      </c>
      <c r="AF209" s="10" t="s">
        <v>73</v>
      </c>
      <c r="AG209" s="13" t="s">
        <v>91</v>
      </c>
    </row>
    <row r="210" spans="1:33">
      <c r="A210" s="9" t="s">
        <v>574</v>
      </c>
      <c r="B210" s="10" t="s">
        <v>43</v>
      </c>
      <c r="C210" s="11" t="s">
        <v>575</v>
      </c>
      <c r="D210" s="11" t="s">
        <v>36</v>
      </c>
      <c r="E210" s="11" t="s">
        <v>37</v>
      </c>
      <c r="F210" s="11" t="s">
        <v>576</v>
      </c>
      <c r="G210" s="10" t="s">
        <v>39</v>
      </c>
      <c r="H210" s="35" t="s">
        <v>91</v>
      </c>
      <c r="I210" s="29">
        <v>200</v>
      </c>
      <c r="J210" s="13">
        <v>3</v>
      </c>
      <c r="K210" s="13">
        <v>6</v>
      </c>
      <c r="L210" s="32">
        <f t="shared" si="24"/>
        <v>0.33333333333333331</v>
      </c>
      <c r="M210" s="13">
        <v>3</v>
      </c>
      <c r="N210" s="13">
        <v>6</v>
      </c>
      <c r="O210" s="32">
        <f t="shared" si="25"/>
        <v>0.33333333333333331</v>
      </c>
      <c r="P210" s="13">
        <v>6</v>
      </c>
      <c r="Q210" s="13">
        <v>0</v>
      </c>
      <c r="R210" s="32">
        <f t="shared" si="26"/>
        <v>1</v>
      </c>
      <c r="S210" s="13">
        <v>6</v>
      </c>
      <c r="T210" s="13">
        <v>2</v>
      </c>
      <c r="U210" s="32">
        <f t="shared" si="27"/>
        <v>0.75</v>
      </c>
      <c r="V210" s="13">
        <v>6</v>
      </c>
      <c r="W210" s="13">
        <v>3</v>
      </c>
      <c r="X210" s="16">
        <f t="shared" si="28"/>
        <v>0.66666666666666663</v>
      </c>
      <c r="Y210" s="16">
        <f>COUNTA(J210:W210)/2</f>
        <v>7</v>
      </c>
      <c r="Z210" s="16">
        <f>J210+M210+P210+S210+V210</f>
        <v>24</v>
      </c>
      <c r="AA210" s="16">
        <f t="shared" si="29"/>
        <v>17</v>
      </c>
      <c r="AB210" s="16">
        <f t="shared" si="30"/>
        <v>41</v>
      </c>
      <c r="AC210" s="24">
        <f t="shared" si="31"/>
        <v>0.58536585365853655</v>
      </c>
      <c r="AD210" s="11" t="s">
        <v>577</v>
      </c>
      <c r="AE210" s="11" t="s">
        <v>72</v>
      </c>
      <c r="AF210" s="11" t="s">
        <v>73</v>
      </c>
      <c r="AG210" s="13" t="s">
        <v>91</v>
      </c>
    </row>
    <row r="211" spans="1:33">
      <c r="A211" s="14" t="s">
        <v>578</v>
      </c>
      <c r="B211" s="10" t="s">
        <v>43</v>
      </c>
      <c r="C211" s="10" t="s">
        <v>553</v>
      </c>
      <c r="D211" s="10" t="s">
        <v>72</v>
      </c>
      <c r="E211" s="10" t="s">
        <v>73</v>
      </c>
      <c r="F211" s="10" t="s">
        <v>579</v>
      </c>
      <c r="G211" s="10" t="s">
        <v>39</v>
      </c>
      <c r="H211" s="35" t="s">
        <v>91</v>
      </c>
      <c r="I211" s="28">
        <v>110</v>
      </c>
      <c r="J211" s="16">
        <v>6</v>
      </c>
      <c r="K211" s="16">
        <v>3</v>
      </c>
      <c r="L211" s="32">
        <f t="shared" si="24"/>
        <v>0.66666666666666663</v>
      </c>
      <c r="M211" s="16">
        <v>6</v>
      </c>
      <c r="N211" s="16">
        <v>4</v>
      </c>
      <c r="O211" s="32">
        <f t="shared" si="25"/>
        <v>0.6</v>
      </c>
      <c r="P211" s="16">
        <v>6</v>
      </c>
      <c r="Q211" s="16">
        <v>4</v>
      </c>
      <c r="R211" s="32">
        <f t="shared" si="26"/>
        <v>0.6</v>
      </c>
      <c r="S211" s="16"/>
      <c r="T211" s="16"/>
      <c r="U211" s="32" t="e">
        <f t="shared" si="27"/>
        <v>#DIV/0!</v>
      </c>
      <c r="V211" s="16"/>
      <c r="W211" s="16"/>
      <c r="X211" s="16" t="e">
        <f t="shared" si="28"/>
        <v>#DIV/0!</v>
      </c>
      <c r="Y211" s="16">
        <f>COUNTA(J211:W211)/2</f>
        <v>5</v>
      </c>
      <c r="Z211" s="16">
        <f>J211+M211+P211+S211+V211</f>
        <v>18</v>
      </c>
      <c r="AA211" s="16">
        <f t="shared" si="29"/>
        <v>11</v>
      </c>
      <c r="AB211" s="16">
        <f t="shared" si="30"/>
        <v>29</v>
      </c>
      <c r="AC211" s="24">
        <f t="shared" si="31"/>
        <v>0.62068965517241381</v>
      </c>
      <c r="AD211" s="10" t="s">
        <v>560</v>
      </c>
      <c r="AE211" s="10" t="s">
        <v>348</v>
      </c>
      <c r="AF211" s="10" t="s">
        <v>349</v>
      </c>
      <c r="AG211" s="13" t="s">
        <v>91</v>
      </c>
    </row>
    <row r="212" spans="1:33">
      <c r="A212" s="9" t="s">
        <v>580</v>
      </c>
      <c r="B212" s="10" t="s">
        <v>43</v>
      </c>
      <c r="C212" s="11" t="s">
        <v>572</v>
      </c>
      <c r="D212" s="11" t="s">
        <v>348</v>
      </c>
      <c r="E212" s="11" t="s">
        <v>349</v>
      </c>
      <c r="F212" s="11" t="s">
        <v>581</v>
      </c>
      <c r="G212" s="10" t="s">
        <v>39</v>
      </c>
      <c r="H212" s="35" t="s">
        <v>91</v>
      </c>
      <c r="I212" s="29">
        <v>110</v>
      </c>
      <c r="J212" s="13">
        <v>6</v>
      </c>
      <c r="K212" s="13">
        <v>0</v>
      </c>
      <c r="L212" s="32">
        <f t="shared" si="24"/>
        <v>1</v>
      </c>
      <c r="M212" s="13">
        <v>6</v>
      </c>
      <c r="N212" s="13">
        <v>4</v>
      </c>
      <c r="O212" s="32">
        <f t="shared" si="25"/>
        <v>0.6</v>
      </c>
      <c r="P212" s="13">
        <v>6</v>
      </c>
      <c r="Q212" s="13">
        <v>4</v>
      </c>
      <c r="R212" s="32">
        <f t="shared" si="26"/>
        <v>0.6</v>
      </c>
      <c r="S212" s="13"/>
      <c r="T212" s="13"/>
      <c r="U212" s="32" t="e">
        <f t="shared" si="27"/>
        <v>#DIV/0!</v>
      </c>
      <c r="V212" s="13"/>
      <c r="W212" s="13"/>
      <c r="X212" s="16" t="e">
        <f t="shared" si="28"/>
        <v>#DIV/0!</v>
      </c>
      <c r="Y212" s="16">
        <f>COUNTA(J212:W212)/2</f>
        <v>5</v>
      </c>
      <c r="Z212" s="16">
        <f>J212+M212+P212+S212+V212</f>
        <v>18</v>
      </c>
      <c r="AA212" s="16">
        <f t="shared" si="29"/>
        <v>8</v>
      </c>
      <c r="AB212" s="16">
        <f t="shared" si="30"/>
        <v>26</v>
      </c>
      <c r="AC212" s="24">
        <f t="shared" si="31"/>
        <v>0.69230769230769229</v>
      </c>
      <c r="AD212" s="11" t="s">
        <v>582</v>
      </c>
      <c r="AE212" s="11" t="s">
        <v>348</v>
      </c>
      <c r="AF212" s="11" t="s">
        <v>349</v>
      </c>
      <c r="AG212" s="13" t="s">
        <v>91</v>
      </c>
    </row>
    <row r="213" spans="1:33">
      <c r="A213" s="14" t="s">
        <v>583</v>
      </c>
      <c r="B213" s="10" t="s">
        <v>43</v>
      </c>
      <c r="C213" s="10" t="s">
        <v>569</v>
      </c>
      <c r="D213" s="10" t="s">
        <v>72</v>
      </c>
      <c r="E213" s="10" t="s">
        <v>73</v>
      </c>
      <c r="F213" s="10" t="s">
        <v>584</v>
      </c>
      <c r="G213" s="10" t="s">
        <v>39</v>
      </c>
      <c r="H213" s="35" t="s">
        <v>91</v>
      </c>
      <c r="I213" s="28">
        <v>150</v>
      </c>
      <c r="J213" s="16">
        <v>4</v>
      </c>
      <c r="K213" s="16">
        <v>6</v>
      </c>
      <c r="L213" s="32">
        <f t="shared" si="24"/>
        <v>0.4</v>
      </c>
      <c r="M213" s="16">
        <v>6</v>
      </c>
      <c r="N213" s="16">
        <v>3</v>
      </c>
      <c r="O213" s="32">
        <f t="shared" si="25"/>
        <v>0.66666666666666663</v>
      </c>
      <c r="P213" s="16">
        <v>6</v>
      </c>
      <c r="Q213" s="16">
        <v>4</v>
      </c>
      <c r="R213" s="32">
        <f t="shared" si="26"/>
        <v>0.6</v>
      </c>
      <c r="S213" s="16">
        <v>6</v>
      </c>
      <c r="T213" s="16">
        <v>4</v>
      </c>
      <c r="U213" s="32">
        <f t="shared" si="27"/>
        <v>0.6</v>
      </c>
      <c r="V213" s="16"/>
      <c r="W213" s="16"/>
      <c r="X213" s="16" t="e">
        <f t="shared" si="28"/>
        <v>#DIV/0!</v>
      </c>
      <c r="Y213" s="16">
        <f>COUNTA(J213:W213)/2</f>
        <v>6</v>
      </c>
      <c r="Z213" s="16">
        <f>J213+M213+P213+S213+V213</f>
        <v>22</v>
      </c>
      <c r="AA213" s="16">
        <f t="shared" si="29"/>
        <v>17</v>
      </c>
      <c r="AB213" s="16">
        <f t="shared" si="30"/>
        <v>39</v>
      </c>
      <c r="AC213" s="24">
        <f t="shared" si="31"/>
        <v>0.5641025641025641</v>
      </c>
      <c r="AD213" s="10" t="s">
        <v>585</v>
      </c>
      <c r="AE213" s="10" t="s">
        <v>72</v>
      </c>
      <c r="AF213" s="10" t="s">
        <v>73</v>
      </c>
      <c r="AG213" s="13" t="s">
        <v>91</v>
      </c>
    </row>
    <row r="214" spans="1:33" ht="15" customHeight="1">
      <c r="I214" s="31"/>
    </row>
    <row r="215" spans="1:33" ht="15" customHeight="1">
      <c r="I215" s="31"/>
    </row>
    <row r="216" spans="1:33" ht="15" customHeight="1">
      <c r="I216" s="31"/>
    </row>
    <row r="217" spans="1:33" ht="15" customHeight="1">
      <c r="I217" s="31"/>
    </row>
    <row r="218" spans="1:33" ht="15" customHeight="1">
      <c r="I218" s="31"/>
    </row>
    <row r="219" spans="1:33" ht="15" customHeight="1">
      <c r="I219" s="31"/>
    </row>
    <row r="220" spans="1:33" ht="15" customHeight="1">
      <c r="I220" s="31"/>
    </row>
    <row r="221" spans="1:33" ht="15" customHeight="1">
      <c r="I221" s="31"/>
    </row>
    <row r="222" spans="1:33" ht="15" customHeight="1">
      <c r="I222" s="31"/>
    </row>
    <row r="223" spans="1:33" ht="15" customHeight="1">
      <c r="I223" s="31"/>
    </row>
    <row r="224" spans="1:33" ht="15" customHeight="1">
      <c r="I224" s="31"/>
    </row>
    <row r="225" spans="9:9" ht="15" customHeight="1">
      <c r="I225" s="31"/>
    </row>
    <row r="226" spans="9:9" ht="15" customHeight="1">
      <c r="I226" s="31"/>
    </row>
    <row r="227" spans="9:9" ht="15" customHeight="1">
      <c r="I227" s="31"/>
    </row>
    <row r="228" spans="9:9" ht="15" customHeight="1">
      <c r="I228" s="31"/>
    </row>
    <row r="229" spans="9:9" ht="15" customHeight="1">
      <c r="I229" s="31"/>
    </row>
    <row r="230" spans="9:9" ht="15" customHeight="1">
      <c r="I230" s="31"/>
    </row>
    <row r="231" spans="9:9" ht="15" customHeight="1">
      <c r="I231" s="31"/>
    </row>
    <row r="232" spans="9:9" ht="15" customHeight="1">
      <c r="I232" s="31"/>
    </row>
    <row r="233" spans="9:9" ht="15" customHeight="1">
      <c r="I233" s="31"/>
    </row>
    <row r="234" spans="9:9" ht="15" customHeight="1">
      <c r="I234" s="31"/>
    </row>
    <row r="235" spans="9:9" ht="15" customHeight="1">
      <c r="I235" s="31"/>
    </row>
    <row r="236" spans="9:9" ht="15" customHeight="1">
      <c r="I236" s="31"/>
    </row>
    <row r="237" spans="9:9" ht="15" customHeight="1">
      <c r="I237" s="31"/>
    </row>
    <row r="238" spans="9:9" ht="15" customHeight="1">
      <c r="I238" s="31"/>
    </row>
    <row r="239" spans="9:9" ht="15" customHeight="1">
      <c r="I239" s="31"/>
    </row>
    <row r="240" spans="9:9" ht="15" customHeight="1">
      <c r="I240" s="31"/>
    </row>
    <row r="241" spans="9:9" ht="15" customHeight="1">
      <c r="I241" s="31"/>
    </row>
    <row r="242" spans="9:9" ht="15" customHeight="1">
      <c r="I242" s="31"/>
    </row>
    <row r="243" spans="9:9" ht="15" customHeight="1">
      <c r="I243" s="31"/>
    </row>
    <row r="244" spans="9:9" ht="15" customHeight="1">
      <c r="I244" s="31"/>
    </row>
    <row r="245" spans="9:9" ht="15" customHeight="1">
      <c r="I245" s="31"/>
    </row>
    <row r="246" spans="9:9" ht="15" customHeight="1">
      <c r="I246" s="31"/>
    </row>
    <row r="247" spans="9:9" ht="15" customHeight="1">
      <c r="I247" s="31"/>
    </row>
    <row r="248" spans="9:9" ht="15" customHeight="1">
      <c r="I248" s="31"/>
    </row>
    <row r="249" spans="9:9" ht="15" customHeight="1">
      <c r="I249" s="31"/>
    </row>
    <row r="250" spans="9:9" ht="15" customHeight="1">
      <c r="I250" s="31"/>
    </row>
    <row r="251" spans="9:9" ht="15" customHeight="1">
      <c r="I251" s="31"/>
    </row>
    <row r="252" spans="9:9" ht="15" customHeight="1">
      <c r="I252" s="31"/>
    </row>
    <row r="253" spans="9:9" ht="15" customHeight="1">
      <c r="I253" s="31"/>
    </row>
    <row r="254" spans="9:9" ht="15" customHeight="1">
      <c r="I254" s="31"/>
    </row>
    <row r="255" spans="9:9" ht="15" customHeight="1">
      <c r="I255" s="31"/>
    </row>
    <row r="256" spans="9:9" ht="15" customHeight="1">
      <c r="I256" s="31"/>
    </row>
    <row r="257" spans="9:9" ht="15" customHeight="1">
      <c r="I257" s="31"/>
    </row>
    <row r="258" spans="9:9" ht="15" customHeight="1">
      <c r="I258" s="31"/>
    </row>
    <row r="259" spans="9:9" ht="15" customHeight="1">
      <c r="I259" s="31"/>
    </row>
    <row r="260" spans="9:9" ht="15" customHeight="1">
      <c r="I260" s="31"/>
    </row>
    <row r="261" spans="9:9" ht="15" customHeight="1">
      <c r="I261" s="31"/>
    </row>
    <row r="262" spans="9:9" ht="15" customHeight="1">
      <c r="I262" s="31"/>
    </row>
    <row r="263" spans="9:9" ht="15" customHeight="1">
      <c r="I263" s="31"/>
    </row>
    <row r="264" spans="9:9" ht="15" customHeight="1">
      <c r="I264" s="31"/>
    </row>
    <row r="265" spans="9:9" ht="15" customHeight="1">
      <c r="I265" s="31"/>
    </row>
    <row r="266" spans="9:9" ht="15" customHeight="1">
      <c r="I266" s="31"/>
    </row>
    <row r="267" spans="9:9" ht="15" customHeight="1">
      <c r="I267" s="31"/>
    </row>
    <row r="268" spans="9:9" ht="15" customHeight="1">
      <c r="I268" s="31"/>
    </row>
    <row r="269" spans="9:9" ht="15" customHeight="1">
      <c r="I269" s="31"/>
    </row>
    <row r="270" spans="9:9" ht="15" customHeight="1">
      <c r="I270" s="31"/>
    </row>
    <row r="271" spans="9:9" ht="15" customHeight="1">
      <c r="I271" s="31"/>
    </row>
    <row r="272" spans="9:9" ht="15" customHeight="1">
      <c r="I272" s="31"/>
    </row>
    <row r="273" spans="9:9" ht="15" customHeight="1">
      <c r="I273" s="31"/>
    </row>
    <row r="274" spans="9:9" ht="15" customHeight="1">
      <c r="I274" s="31"/>
    </row>
    <row r="275" spans="9:9" ht="15" customHeight="1">
      <c r="I275" s="31"/>
    </row>
    <row r="276" spans="9:9" ht="15" customHeight="1">
      <c r="I276" s="31"/>
    </row>
    <row r="277" spans="9:9" ht="15" customHeight="1">
      <c r="I277" s="31"/>
    </row>
    <row r="278" spans="9:9" ht="15" customHeight="1">
      <c r="I278" s="31"/>
    </row>
    <row r="279" spans="9:9" ht="15" customHeight="1">
      <c r="I279" s="31"/>
    </row>
    <row r="280" spans="9:9" ht="15" customHeight="1">
      <c r="I280" s="31"/>
    </row>
    <row r="281" spans="9:9" ht="15" customHeight="1">
      <c r="I281" s="31"/>
    </row>
    <row r="282" spans="9:9" ht="15" customHeight="1">
      <c r="I282" s="31"/>
    </row>
    <row r="283" spans="9:9" ht="15" customHeight="1">
      <c r="I283" s="31"/>
    </row>
    <row r="284" spans="9:9" ht="15" customHeight="1">
      <c r="I284" s="31"/>
    </row>
    <row r="285" spans="9:9" ht="15" customHeight="1">
      <c r="I285" s="31"/>
    </row>
    <row r="286" spans="9:9" ht="15" customHeight="1">
      <c r="I286" s="31"/>
    </row>
    <row r="287" spans="9:9" ht="15" customHeight="1">
      <c r="I287" s="31"/>
    </row>
    <row r="288" spans="9:9" ht="15" customHeight="1">
      <c r="I288" s="31"/>
    </row>
    <row r="289" spans="9:9" ht="15" customHeight="1">
      <c r="I289" s="31"/>
    </row>
    <row r="290" spans="9:9" ht="15" customHeight="1">
      <c r="I290" s="31"/>
    </row>
    <row r="291" spans="9:9" ht="15" customHeight="1">
      <c r="I291" s="31"/>
    </row>
    <row r="292" spans="9:9" ht="15" customHeight="1">
      <c r="I292" s="31"/>
    </row>
    <row r="293" spans="9:9" ht="15" customHeight="1">
      <c r="I293" s="31"/>
    </row>
    <row r="294" spans="9:9" ht="15" customHeight="1">
      <c r="I294" s="31"/>
    </row>
    <row r="295" spans="9:9" ht="15" customHeight="1">
      <c r="I295" s="31"/>
    </row>
    <row r="296" spans="9:9" ht="15" customHeight="1">
      <c r="I296" s="31"/>
    </row>
    <row r="297" spans="9:9" ht="15" customHeight="1">
      <c r="I297" s="31"/>
    </row>
    <row r="298" spans="9:9" ht="15" customHeight="1">
      <c r="I298" s="31"/>
    </row>
    <row r="299" spans="9:9" ht="15" customHeight="1">
      <c r="I299" s="31"/>
    </row>
    <row r="300" spans="9:9" ht="15" customHeight="1">
      <c r="I300" s="31"/>
    </row>
    <row r="301" spans="9:9" ht="15" customHeight="1">
      <c r="I301" s="31"/>
    </row>
    <row r="302" spans="9:9" ht="15" customHeight="1">
      <c r="I302" s="31"/>
    </row>
    <row r="303" spans="9:9" ht="15" customHeight="1">
      <c r="I303" s="31"/>
    </row>
    <row r="304" spans="9:9" ht="15" customHeight="1">
      <c r="I304" s="31"/>
    </row>
    <row r="305" spans="9:9" ht="15" customHeight="1">
      <c r="I305" s="31"/>
    </row>
    <row r="306" spans="9:9" ht="15" customHeight="1">
      <c r="I306" s="31"/>
    </row>
    <row r="307" spans="9:9" ht="15" customHeight="1">
      <c r="I307" s="31"/>
    </row>
    <row r="308" spans="9:9" ht="15" customHeight="1">
      <c r="I308" s="31"/>
    </row>
    <row r="309" spans="9:9" ht="15" customHeight="1">
      <c r="I309" s="31"/>
    </row>
    <row r="310" spans="9:9" ht="15" customHeight="1">
      <c r="I310" s="31"/>
    </row>
    <row r="311" spans="9:9" ht="15" customHeight="1">
      <c r="I311" s="31"/>
    </row>
    <row r="312" spans="9:9" ht="15" customHeight="1">
      <c r="I312" s="31"/>
    </row>
    <row r="313" spans="9:9" ht="15" customHeight="1">
      <c r="I313" s="31"/>
    </row>
    <row r="314" spans="9:9" ht="15" customHeight="1">
      <c r="I314" s="31"/>
    </row>
    <row r="315" spans="9:9" ht="15" customHeight="1">
      <c r="I315" s="31"/>
    </row>
    <row r="316" spans="9:9" ht="15" customHeight="1">
      <c r="I316" s="31"/>
    </row>
    <row r="317" spans="9:9" ht="15" customHeight="1">
      <c r="I317" s="31"/>
    </row>
    <row r="318" spans="9:9" ht="15" customHeight="1">
      <c r="I318" s="31"/>
    </row>
    <row r="319" spans="9:9" ht="15" customHeight="1">
      <c r="I319" s="31"/>
    </row>
    <row r="320" spans="9:9" ht="15" customHeight="1">
      <c r="I320" s="31"/>
    </row>
    <row r="321" spans="9:9" ht="15" customHeight="1">
      <c r="I321" s="31"/>
    </row>
    <row r="322" spans="9:9" ht="15" customHeight="1">
      <c r="I322" s="31"/>
    </row>
    <row r="323" spans="9:9" ht="15" customHeight="1">
      <c r="I323" s="31"/>
    </row>
    <row r="324" spans="9:9" ht="15" customHeight="1">
      <c r="I324" s="31"/>
    </row>
    <row r="325" spans="9:9" ht="15" customHeight="1">
      <c r="I325" s="31"/>
    </row>
    <row r="326" spans="9:9" ht="15" customHeight="1">
      <c r="I326" s="31"/>
    </row>
    <row r="327" spans="9:9" ht="15" customHeight="1">
      <c r="I327" s="31"/>
    </row>
    <row r="328" spans="9:9" ht="15" customHeight="1">
      <c r="I328" s="31"/>
    </row>
    <row r="329" spans="9:9" ht="15" customHeight="1">
      <c r="I329" s="31"/>
    </row>
    <row r="330" spans="9:9" ht="15" customHeight="1">
      <c r="I330" s="31"/>
    </row>
    <row r="331" spans="9:9" ht="15" customHeight="1">
      <c r="I331" s="31"/>
    </row>
    <row r="332" spans="9:9" ht="15" customHeight="1">
      <c r="I332" s="31"/>
    </row>
    <row r="333" spans="9:9" ht="15" customHeight="1">
      <c r="I333" s="31"/>
    </row>
    <row r="334" spans="9:9" ht="15" customHeight="1">
      <c r="I334" s="31"/>
    </row>
    <row r="335" spans="9:9" ht="15" customHeight="1">
      <c r="I335" s="31"/>
    </row>
    <row r="336" spans="9:9" ht="15" customHeight="1">
      <c r="I336" s="31"/>
    </row>
    <row r="337" spans="9:9" ht="15" customHeight="1">
      <c r="I337" s="31"/>
    </row>
    <row r="338" spans="9:9" ht="15" customHeight="1">
      <c r="I338" s="31"/>
    </row>
    <row r="339" spans="9:9" ht="15" customHeight="1">
      <c r="I339" s="31"/>
    </row>
    <row r="340" spans="9:9" ht="15" customHeight="1">
      <c r="I340" s="31"/>
    </row>
    <row r="341" spans="9:9" ht="15" customHeight="1">
      <c r="I341" s="31"/>
    </row>
    <row r="342" spans="9:9" ht="15" customHeight="1">
      <c r="I342" s="31"/>
    </row>
    <row r="343" spans="9:9" ht="15" customHeight="1">
      <c r="I343" s="31"/>
    </row>
    <row r="344" spans="9:9" ht="15" customHeight="1">
      <c r="I344" s="31"/>
    </row>
    <row r="345" spans="9:9" ht="15" customHeight="1">
      <c r="I345" s="31"/>
    </row>
    <row r="346" spans="9:9" ht="15" customHeight="1">
      <c r="I346" s="31"/>
    </row>
    <row r="347" spans="9:9" ht="15" customHeight="1">
      <c r="I347" s="31"/>
    </row>
    <row r="348" spans="9:9" ht="15" customHeight="1">
      <c r="I348" s="31"/>
    </row>
    <row r="349" spans="9:9" ht="15" customHeight="1">
      <c r="I349" s="31"/>
    </row>
    <row r="350" spans="9:9" ht="15" customHeight="1">
      <c r="I350" s="31"/>
    </row>
    <row r="351" spans="9:9" ht="15" customHeight="1">
      <c r="I351" s="31"/>
    </row>
    <row r="352" spans="9:9" ht="15" customHeight="1">
      <c r="I352" s="31"/>
    </row>
    <row r="353" spans="9:9" ht="15" customHeight="1">
      <c r="I353" s="31"/>
    </row>
    <row r="354" spans="9:9" ht="15" customHeight="1">
      <c r="I354" s="31"/>
    </row>
    <row r="355" spans="9:9" ht="15" customHeight="1">
      <c r="I355" s="31"/>
    </row>
    <row r="356" spans="9:9" ht="15" customHeight="1">
      <c r="I356" s="31"/>
    </row>
    <row r="357" spans="9:9" ht="15" customHeight="1">
      <c r="I357" s="31"/>
    </row>
    <row r="358" spans="9:9" ht="15" customHeight="1">
      <c r="I358" s="31"/>
    </row>
    <row r="359" spans="9:9" ht="15" customHeight="1">
      <c r="I359" s="31"/>
    </row>
    <row r="360" spans="9:9" ht="15" customHeight="1">
      <c r="I360" s="31"/>
    </row>
    <row r="361" spans="9:9" ht="15" customHeight="1">
      <c r="I361" s="31"/>
    </row>
    <row r="362" spans="9:9" ht="15" customHeight="1">
      <c r="I362" s="31"/>
    </row>
    <row r="363" spans="9:9" ht="15" customHeight="1">
      <c r="I363" s="31"/>
    </row>
    <row r="364" spans="9:9" ht="15" customHeight="1">
      <c r="I364" s="31"/>
    </row>
    <row r="365" spans="9:9" ht="15" customHeight="1">
      <c r="I365" s="31"/>
    </row>
    <row r="366" spans="9:9" ht="15" customHeight="1">
      <c r="I366" s="31"/>
    </row>
    <row r="367" spans="9:9" ht="15" customHeight="1">
      <c r="I367" s="31"/>
    </row>
    <row r="368" spans="9:9" ht="15" customHeight="1">
      <c r="I368" s="31"/>
    </row>
    <row r="369" spans="9:9" ht="15" customHeight="1">
      <c r="I369" s="31"/>
    </row>
    <row r="370" spans="9:9" ht="15" customHeight="1">
      <c r="I370" s="31"/>
    </row>
    <row r="371" spans="9:9" ht="15" customHeight="1">
      <c r="I371" s="31"/>
    </row>
    <row r="372" spans="9:9" ht="15" customHeight="1">
      <c r="I372" s="31"/>
    </row>
    <row r="373" spans="9:9" ht="15" customHeight="1">
      <c r="I373" s="31"/>
    </row>
    <row r="374" spans="9:9" ht="15" customHeight="1">
      <c r="I374" s="31"/>
    </row>
    <row r="375" spans="9:9" ht="15" customHeight="1">
      <c r="I375" s="31"/>
    </row>
    <row r="376" spans="9:9" ht="15" customHeight="1">
      <c r="I376" s="31"/>
    </row>
    <row r="377" spans="9:9" ht="15" customHeight="1">
      <c r="I377" s="31"/>
    </row>
    <row r="378" spans="9:9" ht="15" customHeight="1">
      <c r="I378" s="31"/>
    </row>
    <row r="379" spans="9:9" ht="15" customHeight="1">
      <c r="I379" s="31"/>
    </row>
    <row r="380" spans="9:9" ht="15" customHeight="1">
      <c r="I380" s="31"/>
    </row>
    <row r="381" spans="9:9" ht="15" customHeight="1">
      <c r="I381" s="31"/>
    </row>
    <row r="382" spans="9:9" ht="15" customHeight="1">
      <c r="I382" s="31"/>
    </row>
    <row r="383" spans="9:9" ht="15" customHeight="1">
      <c r="I383" s="31"/>
    </row>
    <row r="384" spans="9:9" ht="15" customHeight="1">
      <c r="I384" s="31"/>
    </row>
    <row r="385" spans="9:9" ht="15" customHeight="1">
      <c r="I385" s="31"/>
    </row>
    <row r="386" spans="9:9" ht="15" customHeight="1">
      <c r="I386" s="31"/>
    </row>
    <row r="387" spans="9:9" ht="15" customHeight="1">
      <c r="I387" s="31"/>
    </row>
    <row r="388" spans="9:9" ht="15" customHeight="1">
      <c r="I388" s="31"/>
    </row>
    <row r="389" spans="9:9" ht="15" customHeight="1">
      <c r="I389" s="31"/>
    </row>
    <row r="390" spans="9:9" ht="15" customHeight="1">
      <c r="I390" s="31"/>
    </row>
    <row r="391" spans="9:9" ht="15" customHeight="1">
      <c r="I391" s="31"/>
    </row>
    <row r="392" spans="9:9" ht="15" customHeight="1">
      <c r="I392" s="31"/>
    </row>
    <row r="393" spans="9:9" ht="15" customHeight="1">
      <c r="I393" s="31"/>
    </row>
    <row r="394" spans="9:9" ht="15" customHeight="1">
      <c r="I394" s="31"/>
    </row>
    <row r="395" spans="9:9" ht="15" customHeight="1">
      <c r="I395" s="31"/>
    </row>
    <row r="396" spans="9:9" ht="15" customHeight="1">
      <c r="I396" s="31"/>
    </row>
    <row r="397" spans="9:9" ht="15" customHeight="1">
      <c r="I397" s="31"/>
    </row>
    <row r="398" spans="9:9" ht="15" customHeight="1">
      <c r="I398" s="31"/>
    </row>
    <row r="399" spans="9:9" ht="15" customHeight="1">
      <c r="I399" s="31"/>
    </row>
    <row r="400" spans="9:9" ht="15" customHeight="1">
      <c r="I400" s="31"/>
    </row>
    <row r="401" spans="9:9" ht="15" customHeight="1">
      <c r="I401" s="31"/>
    </row>
    <row r="402" spans="9:9" ht="15" customHeight="1">
      <c r="I402" s="31"/>
    </row>
    <row r="403" spans="9:9" ht="15" customHeight="1">
      <c r="I403" s="31"/>
    </row>
    <row r="404" spans="9:9" ht="15" customHeight="1">
      <c r="I404" s="31"/>
    </row>
    <row r="405" spans="9:9" ht="15" customHeight="1">
      <c r="I405" s="31"/>
    </row>
    <row r="406" spans="9:9" ht="15" customHeight="1">
      <c r="I406" s="31"/>
    </row>
    <row r="407" spans="9:9" ht="15" customHeight="1">
      <c r="I407" s="31"/>
    </row>
    <row r="408" spans="9:9" ht="15" customHeight="1">
      <c r="I408" s="31"/>
    </row>
    <row r="409" spans="9:9" ht="15" customHeight="1">
      <c r="I409" s="31"/>
    </row>
    <row r="410" spans="9:9" ht="15" customHeight="1">
      <c r="I410" s="31"/>
    </row>
    <row r="411" spans="9:9" ht="15" customHeight="1">
      <c r="I411" s="31"/>
    </row>
    <row r="412" spans="9:9" ht="15" customHeight="1">
      <c r="I412" s="31"/>
    </row>
    <row r="413" spans="9:9" ht="15" customHeight="1">
      <c r="I413" s="31"/>
    </row>
    <row r="414" spans="9:9" ht="15" customHeight="1">
      <c r="I414" s="31"/>
    </row>
    <row r="415" spans="9:9" ht="15" customHeight="1">
      <c r="I415" s="31"/>
    </row>
    <row r="416" spans="9:9" ht="15" customHeight="1">
      <c r="I416" s="31"/>
    </row>
    <row r="417" spans="9:9" ht="15" customHeight="1">
      <c r="I417" s="31"/>
    </row>
    <row r="418" spans="9:9" ht="15" customHeight="1">
      <c r="I418" s="31"/>
    </row>
    <row r="419" spans="9:9" ht="15" customHeight="1">
      <c r="I419" s="31"/>
    </row>
    <row r="420" spans="9:9" ht="15" customHeight="1">
      <c r="I420" s="31"/>
    </row>
    <row r="421" spans="9:9" ht="15" customHeight="1">
      <c r="I421" s="31"/>
    </row>
    <row r="422" spans="9:9" ht="15" customHeight="1">
      <c r="I422" s="31"/>
    </row>
    <row r="423" spans="9:9" ht="15" customHeight="1">
      <c r="I423" s="31"/>
    </row>
    <row r="424" spans="9:9" ht="15" customHeight="1">
      <c r="I424" s="31"/>
    </row>
    <row r="425" spans="9:9" ht="15" customHeight="1">
      <c r="I425" s="31"/>
    </row>
    <row r="426" spans="9:9" ht="15" customHeight="1">
      <c r="I426" s="31"/>
    </row>
    <row r="427" spans="9:9" ht="15" customHeight="1">
      <c r="I427" s="31"/>
    </row>
    <row r="428" spans="9:9" ht="15" customHeight="1">
      <c r="I428" s="31"/>
    </row>
    <row r="429" spans="9:9" ht="15" customHeight="1">
      <c r="I429" s="31"/>
    </row>
    <row r="430" spans="9:9" ht="15" customHeight="1">
      <c r="I430" s="31"/>
    </row>
    <row r="431" spans="9:9" ht="15" customHeight="1">
      <c r="I431" s="31"/>
    </row>
    <row r="432" spans="9:9" ht="15" customHeight="1">
      <c r="I432" s="31"/>
    </row>
    <row r="433" spans="9:9" ht="15" customHeight="1">
      <c r="I433" s="31"/>
    </row>
    <row r="434" spans="9:9" ht="15" customHeight="1">
      <c r="I434" s="31"/>
    </row>
    <row r="435" spans="9:9" ht="15" customHeight="1">
      <c r="I435" s="31"/>
    </row>
    <row r="436" spans="9:9" ht="15" customHeight="1">
      <c r="I436" s="31"/>
    </row>
    <row r="437" spans="9:9" ht="15" customHeight="1">
      <c r="I437" s="31"/>
    </row>
    <row r="438" spans="9:9" ht="15" customHeight="1">
      <c r="I438" s="31"/>
    </row>
    <row r="439" spans="9:9" ht="15" customHeight="1">
      <c r="I439" s="31"/>
    </row>
    <row r="440" spans="9:9" ht="15" customHeight="1">
      <c r="I440" s="31"/>
    </row>
    <row r="441" spans="9:9" ht="15" customHeight="1">
      <c r="I441" s="31"/>
    </row>
    <row r="442" spans="9:9" ht="15" customHeight="1">
      <c r="I442" s="31"/>
    </row>
    <row r="443" spans="9:9" ht="15" customHeight="1">
      <c r="I443" s="31"/>
    </row>
    <row r="444" spans="9:9" ht="15" customHeight="1">
      <c r="I444" s="31"/>
    </row>
    <row r="445" spans="9:9" ht="15" customHeight="1">
      <c r="I445" s="31"/>
    </row>
    <row r="446" spans="9:9" ht="15" customHeight="1">
      <c r="I446" s="31"/>
    </row>
    <row r="447" spans="9:9" ht="15" customHeight="1">
      <c r="I447" s="31"/>
    </row>
    <row r="448" spans="9:9" ht="15" customHeight="1">
      <c r="I448" s="31"/>
    </row>
    <row r="449" spans="9:9" ht="15" customHeight="1">
      <c r="I449" s="31"/>
    </row>
    <row r="450" spans="9:9" ht="15" customHeight="1">
      <c r="I450" s="31"/>
    </row>
    <row r="451" spans="9:9" ht="15" customHeight="1">
      <c r="I451" s="31"/>
    </row>
    <row r="452" spans="9:9" ht="15" customHeight="1">
      <c r="I452" s="31"/>
    </row>
    <row r="453" spans="9:9" ht="15" customHeight="1">
      <c r="I453" s="31"/>
    </row>
    <row r="454" spans="9:9" ht="15" customHeight="1">
      <c r="I454" s="31"/>
    </row>
    <row r="455" spans="9:9" ht="15" customHeight="1">
      <c r="I455" s="31"/>
    </row>
    <row r="456" spans="9:9" ht="15" customHeight="1">
      <c r="I456" s="31"/>
    </row>
    <row r="457" spans="9:9" ht="15" customHeight="1">
      <c r="I457" s="31"/>
    </row>
    <row r="458" spans="9:9" ht="15" customHeight="1">
      <c r="I458" s="31"/>
    </row>
    <row r="459" spans="9:9" ht="15" customHeight="1">
      <c r="I459" s="31"/>
    </row>
    <row r="460" spans="9:9" ht="15" customHeight="1">
      <c r="I460" s="31"/>
    </row>
    <row r="461" spans="9:9" ht="15" customHeight="1">
      <c r="I461" s="31"/>
    </row>
    <row r="462" spans="9:9" ht="15" customHeight="1">
      <c r="I462" s="31"/>
    </row>
    <row r="463" spans="9:9" ht="15" customHeight="1">
      <c r="I463" s="31"/>
    </row>
    <row r="464" spans="9:9" ht="15" customHeight="1">
      <c r="I464" s="31"/>
    </row>
    <row r="465" spans="9:9" ht="15" customHeight="1">
      <c r="I465" s="31"/>
    </row>
    <row r="466" spans="9:9" ht="15" customHeight="1">
      <c r="I466" s="31"/>
    </row>
    <row r="467" spans="9:9" ht="15" customHeight="1">
      <c r="I467" s="31"/>
    </row>
    <row r="468" spans="9:9" ht="15" customHeight="1">
      <c r="I468" s="31"/>
    </row>
    <row r="469" spans="9:9" ht="15" customHeight="1">
      <c r="I469" s="31"/>
    </row>
    <row r="470" spans="9:9" ht="15" customHeight="1">
      <c r="I470" s="31"/>
    </row>
    <row r="471" spans="9:9" ht="15" customHeight="1">
      <c r="I471" s="31"/>
    </row>
    <row r="472" spans="9:9" ht="15" customHeight="1">
      <c r="I472" s="31"/>
    </row>
    <row r="473" spans="9:9" ht="15" customHeight="1">
      <c r="I473" s="31"/>
    </row>
    <row r="474" spans="9:9" ht="15" customHeight="1">
      <c r="I474" s="31"/>
    </row>
    <row r="475" spans="9:9" ht="15" customHeight="1">
      <c r="I475" s="31"/>
    </row>
    <row r="476" spans="9:9" ht="15" customHeight="1">
      <c r="I476" s="31"/>
    </row>
    <row r="477" spans="9:9" ht="15" customHeight="1">
      <c r="I477" s="31"/>
    </row>
    <row r="478" spans="9:9" ht="15" customHeight="1">
      <c r="I478" s="31"/>
    </row>
    <row r="479" spans="9:9" ht="15" customHeight="1">
      <c r="I479" s="31"/>
    </row>
    <row r="480" spans="9:9" ht="15" customHeight="1">
      <c r="I480" s="31"/>
    </row>
    <row r="481" spans="9:9" ht="15" customHeight="1">
      <c r="I481" s="31"/>
    </row>
    <row r="482" spans="9:9" ht="15" customHeight="1">
      <c r="I482" s="31"/>
    </row>
    <row r="483" spans="9:9" ht="15" customHeight="1">
      <c r="I483" s="31"/>
    </row>
    <row r="484" spans="9:9" ht="15" customHeight="1">
      <c r="I484" s="31"/>
    </row>
    <row r="485" spans="9:9" ht="15" customHeight="1">
      <c r="I485" s="31"/>
    </row>
    <row r="486" spans="9:9" ht="15" customHeight="1">
      <c r="I486" s="31"/>
    </row>
    <row r="487" spans="9:9" ht="15" customHeight="1">
      <c r="I487" s="31"/>
    </row>
    <row r="488" spans="9:9" ht="15" customHeight="1">
      <c r="I488" s="31"/>
    </row>
    <row r="489" spans="9:9" ht="15" customHeight="1">
      <c r="I489" s="31"/>
    </row>
    <row r="490" spans="9:9" ht="15" customHeight="1">
      <c r="I490" s="31"/>
    </row>
    <row r="491" spans="9:9" ht="15" customHeight="1">
      <c r="I491" s="31"/>
    </row>
    <row r="492" spans="9:9" ht="15" customHeight="1">
      <c r="I492" s="31"/>
    </row>
    <row r="493" spans="9:9" ht="15" customHeight="1">
      <c r="I493" s="31"/>
    </row>
    <row r="494" spans="9:9" ht="15" customHeight="1">
      <c r="I494" s="31"/>
    </row>
    <row r="495" spans="9:9" ht="15" customHeight="1">
      <c r="I495" s="31"/>
    </row>
    <row r="496" spans="9:9" ht="15" customHeight="1">
      <c r="I496" s="31"/>
    </row>
    <row r="497" spans="9:9" ht="15" customHeight="1">
      <c r="I497" s="31"/>
    </row>
    <row r="498" spans="9:9" ht="15" customHeight="1">
      <c r="I498" s="31"/>
    </row>
    <row r="499" spans="9:9" ht="15" customHeight="1">
      <c r="I499" s="31"/>
    </row>
    <row r="500" spans="9:9" ht="15" customHeight="1">
      <c r="I500" s="31"/>
    </row>
    <row r="501" spans="9:9" ht="15" customHeight="1">
      <c r="I501" s="31"/>
    </row>
    <row r="502" spans="9:9" ht="15" customHeight="1">
      <c r="I502" s="31"/>
    </row>
    <row r="503" spans="9:9" ht="15" customHeight="1">
      <c r="I503" s="31"/>
    </row>
    <row r="504" spans="9:9" ht="15" customHeight="1">
      <c r="I504" s="31"/>
    </row>
    <row r="505" spans="9:9" ht="15" customHeight="1">
      <c r="I505" s="31"/>
    </row>
    <row r="506" spans="9:9" ht="15" customHeight="1">
      <c r="I506" s="31"/>
    </row>
    <row r="507" spans="9:9" ht="15" customHeight="1">
      <c r="I507" s="31"/>
    </row>
    <row r="508" spans="9:9" ht="15" customHeight="1">
      <c r="I508" s="31"/>
    </row>
    <row r="509" spans="9:9" ht="15" customHeight="1">
      <c r="I509" s="31"/>
    </row>
    <row r="510" spans="9:9" ht="15" customHeight="1">
      <c r="I510" s="31"/>
    </row>
    <row r="511" spans="9:9" ht="15" customHeight="1">
      <c r="I511" s="31"/>
    </row>
    <row r="512" spans="9:9" ht="15" customHeight="1">
      <c r="I512" s="31"/>
    </row>
    <row r="513" spans="9:9" ht="15" customHeight="1">
      <c r="I513" s="31"/>
    </row>
    <row r="514" spans="9:9" ht="15" customHeight="1">
      <c r="I514" s="31"/>
    </row>
    <row r="515" spans="9:9" ht="15" customHeight="1">
      <c r="I515" s="31"/>
    </row>
    <row r="516" spans="9:9" ht="15" customHeight="1">
      <c r="I516" s="31"/>
    </row>
    <row r="517" spans="9:9" ht="15" customHeight="1">
      <c r="I517" s="31"/>
    </row>
    <row r="518" spans="9:9" ht="15" customHeight="1">
      <c r="I518" s="31"/>
    </row>
    <row r="519" spans="9:9" ht="15" customHeight="1">
      <c r="I519" s="31"/>
    </row>
    <row r="520" spans="9:9" ht="15" customHeight="1">
      <c r="I520" s="31"/>
    </row>
    <row r="521" spans="9:9" ht="15" customHeight="1">
      <c r="I521" s="31"/>
    </row>
    <row r="522" spans="9:9" ht="15" customHeight="1">
      <c r="I522" s="31"/>
    </row>
    <row r="523" spans="9:9" ht="15" customHeight="1">
      <c r="I523" s="31"/>
    </row>
    <row r="524" spans="9:9" ht="15" customHeight="1">
      <c r="I524" s="31"/>
    </row>
    <row r="525" spans="9:9" ht="15" customHeight="1">
      <c r="I525" s="31"/>
    </row>
    <row r="526" spans="9:9" ht="15" customHeight="1">
      <c r="I526" s="31"/>
    </row>
    <row r="527" spans="9:9" ht="15" customHeight="1">
      <c r="I527" s="31"/>
    </row>
    <row r="528" spans="9:9" ht="15" customHeight="1">
      <c r="I528" s="31"/>
    </row>
    <row r="529" spans="9:9" ht="15" customHeight="1">
      <c r="I529" s="31"/>
    </row>
    <row r="530" spans="9:9" ht="15" customHeight="1">
      <c r="I530" s="31"/>
    </row>
    <row r="531" spans="9:9" ht="15" customHeight="1">
      <c r="I531" s="31"/>
    </row>
    <row r="532" spans="9:9" ht="15" customHeight="1">
      <c r="I532" s="31"/>
    </row>
    <row r="533" spans="9:9" ht="15" customHeight="1">
      <c r="I533" s="31"/>
    </row>
    <row r="534" spans="9:9" ht="15" customHeight="1">
      <c r="I534" s="31"/>
    </row>
    <row r="535" spans="9:9" ht="15" customHeight="1">
      <c r="I535" s="31"/>
    </row>
    <row r="536" spans="9:9" ht="15" customHeight="1">
      <c r="I536" s="31"/>
    </row>
    <row r="537" spans="9:9" ht="15" customHeight="1">
      <c r="I537" s="31"/>
    </row>
    <row r="538" spans="9:9" ht="15" customHeight="1">
      <c r="I538" s="31"/>
    </row>
    <row r="539" spans="9:9" ht="15" customHeight="1">
      <c r="I539" s="31"/>
    </row>
    <row r="540" spans="9:9" ht="15" customHeight="1">
      <c r="I540" s="31"/>
    </row>
    <row r="541" spans="9:9" ht="15" customHeight="1">
      <c r="I541" s="31"/>
    </row>
    <row r="542" spans="9:9" ht="15" customHeight="1">
      <c r="I542" s="31"/>
    </row>
    <row r="543" spans="9:9" ht="15" customHeight="1">
      <c r="I543" s="31"/>
    </row>
    <row r="544" spans="9:9" ht="15" customHeight="1">
      <c r="I544" s="31"/>
    </row>
    <row r="545" spans="9:9" ht="15" customHeight="1">
      <c r="I545" s="31"/>
    </row>
    <row r="546" spans="9:9" ht="15" customHeight="1">
      <c r="I546" s="31"/>
    </row>
    <row r="547" spans="9:9" ht="15" customHeight="1">
      <c r="I547" s="31"/>
    </row>
    <row r="548" spans="9:9" ht="15" customHeight="1">
      <c r="I548" s="31"/>
    </row>
    <row r="549" spans="9:9" ht="15" customHeight="1">
      <c r="I549" s="31"/>
    </row>
    <row r="550" spans="9:9" ht="15" customHeight="1">
      <c r="I550" s="31"/>
    </row>
    <row r="551" spans="9:9" ht="15" customHeight="1">
      <c r="I551" s="31"/>
    </row>
    <row r="552" spans="9:9" ht="15" customHeight="1">
      <c r="I552" s="31"/>
    </row>
    <row r="553" spans="9:9" ht="15" customHeight="1">
      <c r="I553" s="31"/>
    </row>
    <row r="554" spans="9:9" ht="15" customHeight="1">
      <c r="I554" s="31"/>
    </row>
    <row r="555" spans="9:9" ht="15" customHeight="1">
      <c r="I555" s="31"/>
    </row>
    <row r="556" spans="9:9" ht="15" customHeight="1">
      <c r="I556" s="31"/>
    </row>
    <row r="557" spans="9:9" ht="15" customHeight="1">
      <c r="I557" s="31"/>
    </row>
    <row r="558" spans="9:9" ht="15" customHeight="1">
      <c r="I558" s="31"/>
    </row>
    <row r="559" spans="9:9" ht="15" customHeight="1">
      <c r="I559" s="31"/>
    </row>
    <row r="560" spans="9:9" ht="15" customHeight="1">
      <c r="I560" s="31"/>
    </row>
    <row r="561" spans="9:9" ht="15" customHeight="1">
      <c r="I561" s="31"/>
    </row>
    <row r="562" spans="9:9" ht="15" customHeight="1">
      <c r="I562" s="31"/>
    </row>
    <row r="563" spans="9:9" ht="15" customHeight="1">
      <c r="I563" s="31"/>
    </row>
    <row r="564" spans="9:9" ht="15" customHeight="1">
      <c r="I564" s="31"/>
    </row>
    <row r="565" spans="9:9" ht="15" customHeight="1">
      <c r="I565" s="31"/>
    </row>
    <row r="566" spans="9:9" ht="15" customHeight="1">
      <c r="I566" s="31"/>
    </row>
    <row r="567" spans="9:9" ht="15" customHeight="1">
      <c r="I567" s="31"/>
    </row>
    <row r="568" spans="9:9" ht="15" customHeight="1">
      <c r="I568" s="31"/>
    </row>
    <row r="569" spans="9:9" ht="15" customHeight="1">
      <c r="I569" s="31"/>
    </row>
    <row r="570" spans="9:9" ht="15" customHeight="1">
      <c r="I570" s="31"/>
    </row>
    <row r="571" spans="9:9" ht="15" customHeight="1">
      <c r="I571" s="31"/>
    </row>
    <row r="572" spans="9:9" ht="15" customHeight="1">
      <c r="I572" s="31"/>
    </row>
    <row r="573" spans="9:9" ht="15" customHeight="1">
      <c r="I573" s="31"/>
    </row>
    <row r="574" spans="9:9" ht="15" customHeight="1">
      <c r="I574" s="31"/>
    </row>
    <row r="575" spans="9:9" ht="15" customHeight="1">
      <c r="I575" s="31"/>
    </row>
    <row r="576" spans="9:9" ht="15" customHeight="1">
      <c r="I576" s="31"/>
    </row>
    <row r="577" spans="9:9" ht="15" customHeight="1">
      <c r="I577" s="31"/>
    </row>
    <row r="578" spans="9:9" ht="15" customHeight="1">
      <c r="I578" s="31"/>
    </row>
    <row r="579" spans="9:9" ht="15" customHeight="1">
      <c r="I579" s="31"/>
    </row>
    <row r="580" spans="9:9" ht="15" customHeight="1">
      <c r="I580" s="31"/>
    </row>
    <row r="581" spans="9:9" ht="15" customHeight="1">
      <c r="I581" s="31"/>
    </row>
    <row r="582" spans="9:9" ht="15" customHeight="1">
      <c r="I582" s="31"/>
    </row>
    <row r="583" spans="9:9" ht="15" customHeight="1">
      <c r="I583" s="31"/>
    </row>
    <row r="584" spans="9:9" ht="15" customHeight="1">
      <c r="I584" s="31"/>
    </row>
    <row r="585" spans="9:9" ht="15" customHeight="1">
      <c r="I585" s="31"/>
    </row>
    <row r="586" spans="9:9" ht="15" customHeight="1">
      <c r="I586" s="31"/>
    </row>
    <row r="587" spans="9:9" ht="15" customHeight="1">
      <c r="I587" s="31"/>
    </row>
    <row r="588" spans="9:9" ht="15" customHeight="1">
      <c r="I588" s="31"/>
    </row>
    <row r="589" spans="9:9" ht="15" customHeight="1">
      <c r="I589" s="31"/>
    </row>
    <row r="590" spans="9:9" ht="15" customHeight="1">
      <c r="I590" s="31"/>
    </row>
    <row r="591" spans="9:9" ht="15" customHeight="1">
      <c r="I591" s="31"/>
    </row>
    <row r="592" spans="9:9" ht="15" customHeight="1">
      <c r="I592" s="31"/>
    </row>
    <row r="593" spans="9:9" ht="15" customHeight="1">
      <c r="I593" s="31"/>
    </row>
    <row r="594" spans="9:9" ht="15" customHeight="1">
      <c r="I594" s="31"/>
    </row>
    <row r="595" spans="9:9" ht="15" customHeight="1">
      <c r="I595" s="31"/>
    </row>
    <row r="596" spans="9:9" ht="15" customHeight="1">
      <c r="I596" s="31"/>
    </row>
    <row r="597" spans="9:9" ht="15" customHeight="1">
      <c r="I597" s="31"/>
    </row>
    <row r="598" spans="9:9" ht="15" customHeight="1">
      <c r="I598" s="31"/>
    </row>
    <row r="599" spans="9:9" ht="15" customHeight="1">
      <c r="I599" s="31"/>
    </row>
    <row r="600" spans="9:9" ht="15" customHeight="1">
      <c r="I600" s="31"/>
    </row>
    <row r="601" spans="9:9" ht="15" customHeight="1">
      <c r="I601" s="31"/>
    </row>
    <row r="602" spans="9:9" ht="15" customHeight="1">
      <c r="I602" s="31"/>
    </row>
    <row r="603" spans="9:9" ht="15" customHeight="1">
      <c r="I603" s="31"/>
    </row>
    <row r="604" spans="9:9" ht="15" customHeight="1">
      <c r="I604" s="31"/>
    </row>
    <row r="605" spans="9:9" ht="15" customHeight="1">
      <c r="I605" s="31"/>
    </row>
    <row r="606" spans="9:9" ht="15" customHeight="1">
      <c r="I606" s="31"/>
    </row>
    <row r="607" spans="9:9" ht="15" customHeight="1">
      <c r="I607" s="31"/>
    </row>
    <row r="608" spans="9:9" ht="15" customHeight="1">
      <c r="I608" s="31"/>
    </row>
    <row r="609" spans="9:9" ht="15" customHeight="1">
      <c r="I609" s="31"/>
    </row>
    <row r="610" spans="9:9" ht="15" customHeight="1">
      <c r="I610" s="31"/>
    </row>
    <row r="611" spans="9:9" ht="15" customHeight="1">
      <c r="I611" s="31"/>
    </row>
    <row r="612" spans="9:9" ht="15" customHeight="1">
      <c r="I612" s="31"/>
    </row>
    <row r="613" spans="9:9" ht="15" customHeight="1">
      <c r="I613" s="31"/>
    </row>
    <row r="614" spans="9:9" ht="15" customHeight="1">
      <c r="I614" s="31"/>
    </row>
    <row r="615" spans="9:9" ht="15" customHeight="1">
      <c r="I615" s="31"/>
    </row>
    <row r="616" spans="9:9" ht="15" customHeight="1">
      <c r="I616" s="31"/>
    </row>
    <row r="617" spans="9:9" ht="15" customHeight="1">
      <c r="I617" s="31"/>
    </row>
    <row r="618" spans="9:9" ht="15" customHeight="1">
      <c r="I618" s="31"/>
    </row>
    <row r="619" spans="9:9" ht="15" customHeight="1">
      <c r="I619" s="31"/>
    </row>
    <row r="620" spans="9:9" ht="15" customHeight="1">
      <c r="I620" s="31"/>
    </row>
    <row r="621" spans="9:9" ht="15" customHeight="1">
      <c r="I621" s="31"/>
    </row>
    <row r="622" spans="9:9" ht="15" customHeight="1">
      <c r="I622" s="31"/>
    </row>
    <row r="623" spans="9:9" ht="15" customHeight="1">
      <c r="I623" s="31"/>
    </row>
    <row r="624" spans="9:9" ht="15" customHeight="1">
      <c r="I624" s="31"/>
    </row>
    <row r="625" spans="9:9" ht="15" customHeight="1">
      <c r="I625" s="31"/>
    </row>
    <row r="626" spans="9:9" ht="15" customHeight="1">
      <c r="I626" s="31"/>
    </row>
    <row r="627" spans="9:9" ht="15" customHeight="1">
      <c r="I627" s="31"/>
    </row>
    <row r="628" spans="9:9" ht="15" customHeight="1">
      <c r="I628" s="31"/>
    </row>
    <row r="629" spans="9:9" ht="15" customHeight="1">
      <c r="I629" s="31"/>
    </row>
    <row r="630" spans="9:9" ht="15" customHeight="1">
      <c r="I630" s="31"/>
    </row>
    <row r="631" spans="9:9" ht="15" customHeight="1">
      <c r="I631" s="31"/>
    </row>
    <row r="632" spans="9:9" ht="15" customHeight="1">
      <c r="I632" s="31"/>
    </row>
    <row r="633" spans="9:9" ht="15" customHeight="1">
      <c r="I633" s="31"/>
    </row>
    <row r="634" spans="9:9" ht="15" customHeight="1">
      <c r="I634" s="31"/>
    </row>
    <row r="635" spans="9:9" ht="15" customHeight="1">
      <c r="I635" s="31"/>
    </row>
    <row r="636" spans="9:9" ht="15" customHeight="1">
      <c r="I636" s="31"/>
    </row>
    <row r="637" spans="9:9" ht="15" customHeight="1">
      <c r="I637" s="31"/>
    </row>
    <row r="638" spans="9:9" ht="15" customHeight="1">
      <c r="I638" s="31"/>
    </row>
    <row r="639" spans="9:9" ht="15" customHeight="1">
      <c r="I639" s="31"/>
    </row>
    <row r="640" spans="9:9" ht="15" customHeight="1">
      <c r="I640" s="31"/>
    </row>
    <row r="641" spans="9:9" ht="15" customHeight="1">
      <c r="I641" s="31"/>
    </row>
    <row r="642" spans="9:9" ht="15" customHeight="1">
      <c r="I642" s="31"/>
    </row>
    <row r="643" spans="9:9" ht="15" customHeight="1">
      <c r="I643" s="31"/>
    </row>
    <row r="644" spans="9:9" ht="15" customHeight="1">
      <c r="I644" s="31"/>
    </row>
    <row r="645" spans="9:9" ht="15" customHeight="1">
      <c r="I645" s="31"/>
    </row>
    <row r="646" spans="9:9" ht="15" customHeight="1">
      <c r="I646" s="31"/>
    </row>
    <row r="647" spans="9:9" ht="15" customHeight="1">
      <c r="I647" s="31"/>
    </row>
    <row r="648" spans="9:9" ht="15" customHeight="1">
      <c r="I648" s="31"/>
    </row>
    <row r="649" spans="9:9" ht="15" customHeight="1">
      <c r="I649" s="31"/>
    </row>
    <row r="650" spans="9:9" ht="15" customHeight="1">
      <c r="I650" s="31"/>
    </row>
    <row r="651" spans="9:9" ht="15" customHeight="1">
      <c r="I651" s="31"/>
    </row>
    <row r="652" spans="9:9" ht="15" customHeight="1">
      <c r="I652" s="31"/>
    </row>
    <row r="653" spans="9:9" ht="15" customHeight="1">
      <c r="I653" s="31"/>
    </row>
    <row r="654" spans="9:9" ht="15" customHeight="1">
      <c r="I654" s="31"/>
    </row>
    <row r="655" spans="9:9" ht="15" customHeight="1">
      <c r="I655" s="31"/>
    </row>
    <row r="656" spans="9:9" ht="15" customHeight="1">
      <c r="I656" s="31"/>
    </row>
    <row r="657" spans="9:9" ht="15" customHeight="1">
      <c r="I657" s="31"/>
    </row>
    <row r="658" spans="9:9" ht="15" customHeight="1">
      <c r="I658" s="31"/>
    </row>
    <row r="659" spans="9:9" ht="15" customHeight="1">
      <c r="I659" s="31"/>
    </row>
    <row r="660" spans="9:9" ht="15" customHeight="1">
      <c r="I660" s="31"/>
    </row>
    <row r="661" spans="9:9" ht="15" customHeight="1">
      <c r="I661" s="31"/>
    </row>
    <row r="662" spans="9:9" ht="15" customHeight="1">
      <c r="I662" s="31"/>
    </row>
    <row r="663" spans="9:9" ht="15" customHeight="1">
      <c r="I663" s="31"/>
    </row>
    <row r="664" spans="9:9" ht="15" customHeight="1">
      <c r="I664" s="31"/>
    </row>
    <row r="665" spans="9:9" ht="15" customHeight="1">
      <c r="I665" s="31"/>
    </row>
    <row r="666" spans="9:9" ht="15" customHeight="1">
      <c r="I666" s="31"/>
    </row>
    <row r="667" spans="9:9" ht="15" customHeight="1">
      <c r="I667" s="31"/>
    </row>
    <row r="668" spans="9:9" ht="15" customHeight="1">
      <c r="I668" s="31"/>
    </row>
    <row r="669" spans="9:9" ht="15" customHeight="1">
      <c r="I669" s="31"/>
    </row>
    <row r="670" spans="9:9" ht="15" customHeight="1">
      <c r="I670" s="31"/>
    </row>
    <row r="671" spans="9:9" ht="15" customHeight="1">
      <c r="I671" s="31"/>
    </row>
    <row r="672" spans="9:9" ht="15" customHeight="1">
      <c r="I672" s="31"/>
    </row>
    <row r="673" spans="9:9" ht="15" customHeight="1">
      <c r="I673" s="31"/>
    </row>
    <row r="674" spans="9:9" ht="15" customHeight="1">
      <c r="I674" s="31"/>
    </row>
    <row r="675" spans="9:9" ht="15" customHeight="1">
      <c r="I675" s="31"/>
    </row>
    <row r="676" spans="9:9" ht="15" customHeight="1">
      <c r="I676" s="31"/>
    </row>
    <row r="677" spans="9:9" ht="15" customHeight="1">
      <c r="I677" s="31"/>
    </row>
    <row r="678" spans="9:9" ht="15" customHeight="1">
      <c r="I678" s="31"/>
    </row>
    <row r="679" spans="9:9" ht="15" customHeight="1">
      <c r="I679" s="31"/>
    </row>
    <row r="680" spans="9:9" ht="15" customHeight="1">
      <c r="I680" s="31"/>
    </row>
    <row r="681" spans="9:9" ht="15" customHeight="1">
      <c r="I681" s="31"/>
    </row>
    <row r="682" spans="9:9" ht="15" customHeight="1">
      <c r="I682" s="31"/>
    </row>
    <row r="683" spans="9:9" ht="15" customHeight="1">
      <c r="I683" s="31"/>
    </row>
    <row r="684" spans="9:9" ht="15" customHeight="1">
      <c r="I684" s="31"/>
    </row>
    <row r="685" spans="9:9" ht="15" customHeight="1">
      <c r="I685" s="31"/>
    </row>
    <row r="686" spans="9:9" ht="15" customHeight="1">
      <c r="I686" s="31"/>
    </row>
    <row r="687" spans="9:9" ht="15" customHeight="1">
      <c r="I687" s="31"/>
    </row>
    <row r="688" spans="9:9" ht="15" customHeight="1">
      <c r="I688" s="31"/>
    </row>
    <row r="689" spans="9:9" ht="15" customHeight="1">
      <c r="I689" s="31"/>
    </row>
    <row r="690" spans="9:9" ht="15" customHeight="1">
      <c r="I690" s="31"/>
    </row>
    <row r="691" spans="9:9" ht="15" customHeight="1">
      <c r="I691" s="31"/>
    </row>
    <row r="692" spans="9:9" ht="15" customHeight="1">
      <c r="I692" s="31"/>
    </row>
    <row r="693" spans="9:9" ht="15" customHeight="1">
      <c r="I693" s="31"/>
    </row>
    <row r="694" spans="9:9" ht="15" customHeight="1">
      <c r="I694" s="31"/>
    </row>
    <row r="695" spans="9:9" ht="15" customHeight="1">
      <c r="I695" s="31"/>
    </row>
    <row r="696" spans="9:9" ht="15" customHeight="1">
      <c r="I696" s="31"/>
    </row>
    <row r="697" spans="9:9" ht="15" customHeight="1">
      <c r="I697" s="31"/>
    </row>
    <row r="698" spans="9:9" ht="15" customHeight="1">
      <c r="I698" s="31"/>
    </row>
    <row r="699" spans="9:9" ht="15" customHeight="1">
      <c r="I699" s="31"/>
    </row>
    <row r="700" spans="9:9" ht="15" customHeight="1">
      <c r="I700" s="31"/>
    </row>
    <row r="701" spans="9:9" ht="15" customHeight="1">
      <c r="I701" s="31"/>
    </row>
    <row r="702" spans="9:9" ht="15" customHeight="1">
      <c r="I702" s="31"/>
    </row>
    <row r="703" spans="9:9" ht="15" customHeight="1">
      <c r="I703" s="31"/>
    </row>
    <row r="704" spans="9:9" ht="15" customHeight="1">
      <c r="I704" s="31"/>
    </row>
    <row r="705" spans="9:9" ht="15" customHeight="1">
      <c r="I705" s="31"/>
    </row>
    <row r="706" spans="9:9" ht="15" customHeight="1">
      <c r="I706" s="31"/>
    </row>
    <row r="707" spans="9:9" ht="15" customHeight="1">
      <c r="I707" s="31"/>
    </row>
    <row r="708" spans="9:9" ht="15" customHeight="1">
      <c r="I708" s="31"/>
    </row>
    <row r="709" spans="9:9" ht="15" customHeight="1">
      <c r="I709" s="31"/>
    </row>
    <row r="710" spans="9:9" ht="15" customHeight="1">
      <c r="I710" s="31"/>
    </row>
    <row r="711" spans="9:9" ht="15" customHeight="1">
      <c r="I711" s="31"/>
    </row>
    <row r="712" spans="9:9" ht="15" customHeight="1">
      <c r="I712" s="31"/>
    </row>
    <row r="713" spans="9:9" ht="15" customHeight="1">
      <c r="I713" s="31"/>
    </row>
    <row r="714" spans="9:9" ht="15" customHeight="1">
      <c r="I714" s="31"/>
    </row>
    <row r="715" spans="9:9" ht="15" customHeight="1">
      <c r="I715" s="31"/>
    </row>
    <row r="716" spans="9:9" ht="15" customHeight="1">
      <c r="I716" s="31"/>
    </row>
    <row r="717" spans="9:9" ht="15" customHeight="1">
      <c r="I717" s="31"/>
    </row>
    <row r="718" spans="9:9" ht="15" customHeight="1">
      <c r="I718" s="31"/>
    </row>
    <row r="719" spans="9:9" ht="15" customHeight="1">
      <c r="I719" s="31"/>
    </row>
    <row r="720" spans="9:9" ht="15" customHeight="1">
      <c r="I720" s="31"/>
    </row>
    <row r="721" spans="9:9" ht="15" customHeight="1">
      <c r="I721" s="31"/>
    </row>
    <row r="722" spans="9:9" ht="15" customHeight="1">
      <c r="I722" s="31"/>
    </row>
    <row r="723" spans="9:9" ht="15" customHeight="1">
      <c r="I723" s="31"/>
    </row>
    <row r="724" spans="9:9" ht="15" customHeight="1">
      <c r="I724" s="31"/>
    </row>
    <row r="725" spans="9:9" ht="15" customHeight="1">
      <c r="I725" s="31"/>
    </row>
    <row r="726" spans="9:9" ht="15" customHeight="1">
      <c r="I726" s="31"/>
    </row>
    <row r="727" spans="9:9" ht="15" customHeight="1">
      <c r="I727" s="31"/>
    </row>
    <row r="728" spans="9:9" ht="15" customHeight="1">
      <c r="I728" s="31"/>
    </row>
    <row r="729" spans="9:9" ht="15" customHeight="1">
      <c r="I729" s="31"/>
    </row>
    <row r="730" spans="9:9" ht="15" customHeight="1">
      <c r="I730" s="31"/>
    </row>
    <row r="731" spans="9:9" ht="15" customHeight="1">
      <c r="I731" s="31"/>
    </row>
    <row r="732" spans="9:9" ht="15" customHeight="1">
      <c r="I732" s="31"/>
    </row>
    <row r="733" spans="9:9" ht="15" customHeight="1">
      <c r="I733" s="31"/>
    </row>
    <row r="734" spans="9:9" ht="15" customHeight="1">
      <c r="I734" s="31"/>
    </row>
    <row r="735" spans="9:9" ht="15" customHeight="1">
      <c r="I735" s="31"/>
    </row>
    <row r="736" spans="9:9" ht="15" customHeight="1">
      <c r="I736" s="31"/>
    </row>
    <row r="737" spans="9:9" ht="15" customHeight="1">
      <c r="I737" s="31"/>
    </row>
    <row r="738" spans="9:9" ht="15" customHeight="1">
      <c r="I738" s="31"/>
    </row>
    <row r="739" spans="9:9" ht="15" customHeight="1">
      <c r="I739" s="31"/>
    </row>
    <row r="740" spans="9:9" ht="15" customHeight="1">
      <c r="I740" s="31"/>
    </row>
    <row r="741" spans="9:9" ht="15" customHeight="1">
      <c r="I741" s="31"/>
    </row>
    <row r="742" spans="9:9" ht="15" customHeight="1">
      <c r="I742" s="31"/>
    </row>
    <row r="743" spans="9:9" ht="15" customHeight="1">
      <c r="I743" s="31"/>
    </row>
    <row r="744" spans="9:9" ht="15" customHeight="1">
      <c r="I744" s="31"/>
    </row>
    <row r="745" spans="9:9" ht="15" customHeight="1">
      <c r="I745" s="31"/>
    </row>
    <row r="746" spans="9:9" ht="15" customHeight="1">
      <c r="I746" s="31"/>
    </row>
    <row r="747" spans="9:9" ht="15" customHeight="1">
      <c r="I747" s="31"/>
    </row>
    <row r="748" spans="9:9" ht="15" customHeight="1">
      <c r="I748" s="31"/>
    </row>
    <row r="749" spans="9:9" ht="15" customHeight="1">
      <c r="I749" s="31"/>
    </row>
    <row r="750" spans="9:9" ht="15" customHeight="1">
      <c r="I750" s="31"/>
    </row>
    <row r="751" spans="9:9" ht="15" customHeight="1">
      <c r="I751" s="31"/>
    </row>
    <row r="752" spans="9:9" ht="15" customHeight="1">
      <c r="I752" s="31"/>
    </row>
    <row r="753" spans="9:9" ht="15" customHeight="1">
      <c r="I753" s="31"/>
    </row>
    <row r="754" spans="9:9" ht="15" customHeight="1">
      <c r="I754" s="31"/>
    </row>
    <row r="755" spans="9:9" ht="15" customHeight="1">
      <c r="I755" s="31"/>
    </row>
    <row r="756" spans="9:9" ht="15" customHeight="1">
      <c r="I756" s="31"/>
    </row>
    <row r="757" spans="9:9" ht="15" customHeight="1">
      <c r="I757" s="31"/>
    </row>
    <row r="758" spans="9:9" ht="15" customHeight="1">
      <c r="I758" s="31"/>
    </row>
    <row r="759" spans="9:9" ht="15" customHeight="1">
      <c r="I759" s="31"/>
    </row>
    <row r="760" spans="9:9" ht="15" customHeight="1">
      <c r="I760" s="31"/>
    </row>
    <row r="761" spans="9:9" ht="15" customHeight="1">
      <c r="I761" s="31"/>
    </row>
    <row r="762" spans="9:9" ht="15" customHeight="1">
      <c r="I762" s="31"/>
    </row>
    <row r="763" spans="9:9" ht="15" customHeight="1">
      <c r="I763" s="31"/>
    </row>
    <row r="764" spans="9:9" ht="15" customHeight="1">
      <c r="I764" s="31"/>
    </row>
    <row r="765" spans="9:9" ht="15" customHeight="1">
      <c r="I765" s="31"/>
    </row>
    <row r="766" spans="9:9" ht="15" customHeight="1">
      <c r="I766" s="31"/>
    </row>
    <row r="767" spans="9:9" ht="15" customHeight="1">
      <c r="I767" s="31"/>
    </row>
    <row r="768" spans="9:9" ht="15" customHeight="1">
      <c r="I768" s="31"/>
    </row>
    <row r="769" spans="9:9" ht="15" customHeight="1">
      <c r="I769" s="31"/>
    </row>
    <row r="770" spans="9:9" ht="15" customHeight="1">
      <c r="I770" s="31"/>
    </row>
    <row r="771" spans="9:9" ht="15" customHeight="1">
      <c r="I771" s="31"/>
    </row>
    <row r="772" spans="9:9" ht="15" customHeight="1">
      <c r="I772" s="31"/>
    </row>
    <row r="773" spans="9:9" ht="15" customHeight="1">
      <c r="I773" s="31"/>
    </row>
    <row r="774" spans="9:9" ht="15" customHeight="1">
      <c r="I774" s="31"/>
    </row>
    <row r="775" spans="9:9" ht="15" customHeight="1">
      <c r="I775" s="31"/>
    </row>
    <row r="776" spans="9:9" ht="15" customHeight="1">
      <c r="I776" s="31"/>
    </row>
    <row r="777" spans="9:9" ht="15" customHeight="1">
      <c r="I777" s="31"/>
    </row>
    <row r="778" spans="9:9" ht="15" customHeight="1">
      <c r="I778" s="31"/>
    </row>
    <row r="779" spans="9:9" ht="15" customHeight="1">
      <c r="I779" s="31"/>
    </row>
    <row r="780" spans="9:9" ht="15" customHeight="1">
      <c r="I780" s="31"/>
    </row>
    <row r="781" spans="9:9" ht="15" customHeight="1">
      <c r="I781" s="31"/>
    </row>
    <row r="782" spans="9:9" ht="15" customHeight="1">
      <c r="I782" s="31"/>
    </row>
    <row r="783" spans="9:9" ht="15" customHeight="1">
      <c r="I783" s="31"/>
    </row>
    <row r="784" spans="9:9" ht="15" customHeight="1">
      <c r="I784" s="31"/>
    </row>
    <row r="785" spans="9:9" ht="15" customHeight="1">
      <c r="I785" s="31"/>
    </row>
    <row r="786" spans="9:9" ht="15" customHeight="1">
      <c r="I786" s="31"/>
    </row>
    <row r="787" spans="9:9" ht="15" customHeight="1">
      <c r="I787" s="31"/>
    </row>
    <row r="788" spans="9:9" ht="15" customHeight="1">
      <c r="I788" s="31"/>
    </row>
    <row r="789" spans="9:9" ht="15" customHeight="1">
      <c r="I789" s="31"/>
    </row>
    <row r="790" spans="9:9" ht="15" customHeight="1">
      <c r="I790" s="31"/>
    </row>
    <row r="791" spans="9:9" ht="15" customHeight="1">
      <c r="I791" s="31"/>
    </row>
    <row r="792" spans="9:9" ht="15" customHeight="1">
      <c r="I792" s="31"/>
    </row>
    <row r="793" spans="9:9" ht="15" customHeight="1">
      <c r="I793" s="31"/>
    </row>
    <row r="794" spans="9:9" ht="15" customHeight="1">
      <c r="I794" s="31"/>
    </row>
    <row r="795" spans="9:9" ht="15" customHeight="1">
      <c r="I795" s="31"/>
    </row>
    <row r="796" spans="9:9" ht="15" customHeight="1">
      <c r="I796" s="31"/>
    </row>
    <row r="797" spans="9:9" ht="15" customHeight="1">
      <c r="I797" s="31"/>
    </row>
    <row r="798" spans="9:9" ht="15" customHeight="1">
      <c r="I798" s="31"/>
    </row>
    <row r="799" spans="9:9" ht="15" customHeight="1">
      <c r="I799" s="31"/>
    </row>
    <row r="800" spans="9:9" ht="15" customHeight="1">
      <c r="I800" s="31"/>
    </row>
    <row r="801" spans="9:9" ht="15" customHeight="1">
      <c r="I801" s="31"/>
    </row>
    <row r="802" spans="9:9" ht="15" customHeight="1">
      <c r="I802" s="31"/>
    </row>
    <row r="803" spans="9:9" ht="15" customHeight="1">
      <c r="I803" s="31"/>
    </row>
    <row r="804" spans="9:9" ht="15" customHeight="1">
      <c r="I804" s="31"/>
    </row>
    <row r="805" spans="9:9" ht="15" customHeight="1">
      <c r="I805" s="31"/>
    </row>
    <row r="806" spans="9:9" ht="15" customHeight="1">
      <c r="I806" s="31"/>
    </row>
    <row r="807" spans="9:9" ht="15" customHeight="1">
      <c r="I807" s="31"/>
    </row>
    <row r="808" spans="9:9" ht="15" customHeight="1">
      <c r="I808" s="31"/>
    </row>
    <row r="809" spans="9:9" ht="15" customHeight="1">
      <c r="I809" s="31"/>
    </row>
    <row r="810" spans="9:9" ht="15" customHeight="1">
      <c r="I810" s="31"/>
    </row>
    <row r="811" spans="9:9" ht="15" customHeight="1">
      <c r="I811" s="31"/>
    </row>
    <row r="812" spans="9:9" ht="15" customHeight="1">
      <c r="I812" s="31"/>
    </row>
    <row r="813" spans="9:9" ht="15" customHeight="1">
      <c r="I813" s="31"/>
    </row>
    <row r="814" spans="9:9" ht="15" customHeight="1">
      <c r="I814" s="31"/>
    </row>
    <row r="815" spans="9:9" ht="15" customHeight="1">
      <c r="I815" s="31"/>
    </row>
    <row r="816" spans="9:9" ht="15" customHeight="1">
      <c r="I816" s="31"/>
    </row>
    <row r="817" spans="9:9" ht="15" customHeight="1">
      <c r="I817" s="31"/>
    </row>
    <row r="818" spans="9:9" ht="15" customHeight="1">
      <c r="I818" s="31"/>
    </row>
    <row r="819" spans="9:9" ht="15" customHeight="1">
      <c r="I819" s="31"/>
    </row>
    <row r="820" spans="9:9" ht="15" customHeight="1">
      <c r="I820" s="31"/>
    </row>
    <row r="821" spans="9:9" ht="15" customHeight="1">
      <c r="I821" s="31"/>
    </row>
    <row r="822" spans="9:9" ht="15" customHeight="1">
      <c r="I822" s="31"/>
    </row>
    <row r="823" spans="9:9" ht="15" customHeight="1">
      <c r="I823" s="31"/>
    </row>
    <row r="824" spans="9:9" ht="15" customHeight="1">
      <c r="I824" s="31"/>
    </row>
    <row r="825" spans="9:9" ht="15" customHeight="1">
      <c r="I825" s="31"/>
    </row>
    <row r="826" spans="9:9" ht="15" customHeight="1">
      <c r="I826" s="31"/>
    </row>
    <row r="827" spans="9:9" ht="15" customHeight="1">
      <c r="I827" s="31"/>
    </row>
    <row r="828" spans="9:9" ht="15" customHeight="1">
      <c r="I828" s="31"/>
    </row>
    <row r="829" spans="9:9" ht="15" customHeight="1">
      <c r="I829" s="31"/>
    </row>
    <row r="830" spans="9:9" ht="15" customHeight="1">
      <c r="I830" s="31"/>
    </row>
    <row r="831" spans="9:9" ht="15" customHeight="1">
      <c r="I831" s="31"/>
    </row>
    <row r="832" spans="9:9" ht="15" customHeight="1">
      <c r="I832" s="31"/>
    </row>
    <row r="833" spans="9:9" ht="15" customHeight="1">
      <c r="I833" s="31"/>
    </row>
    <row r="834" spans="9:9" ht="15" customHeight="1">
      <c r="I834" s="31"/>
    </row>
    <row r="835" spans="9:9" ht="15" customHeight="1">
      <c r="I835" s="31"/>
    </row>
    <row r="836" spans="9:9" ht="15" customHeight="1">
      <c r="I836" s="31"/>
    </row>
    <row r="837" spans="9:9" ht="15" customHeight="1">
      <c r="I837" s="31"/>
    </row>
    <row r="838" spans="9:9" ht="15" customHeight="1">
      <c r="I838" s="31"/>
    </row>
    <row r="839" spans="9:9" ht="15" customHeight="1">
      <c r="I839" s="31"/>
    </row>
    <row r="840" spans="9:9" ht="15" customHeight="1">
      <c r="I840" s="31"/>
    </row>
    <row r="841" spans="9:9" ht="15" customHeight="1">
      <c r="I841" s="31"/>
    </row>
    <row r="842" spans="9:9" ht="15" customHeight="1">
      <c r="I842" s="31"/>
    </row>
    <row r="843" spans="9:9" ht="15" customHeight="1">
      <c r="I843" s="31"/>
    </row>
    <row r="844" spans="9:9" ht="15" customHeight="1">
      <c r="I844" s="31"/>
    </row>
    <row r="845" spans="9:9" ht="15" customHeight="1">
      <c r="I845" s="31"/>
    </row>
    <row r="846" spans="9:9" ht="15" customHeight="1">
      <c r="I846" s="31"/>
    </row>
    <row r="847" spans="9:9" ht="15" customHeight="1">
      <c r="I847" s="31"/>
    </row>
    <row r="848" spans="9:9" ht="15" customHeight="1">
      <c r="I848" s="31"/>
    </row>
    <row r="849" spans="9:9" ht="15" customHeight="1">
      <c r="I849" s="31"/>
    </row>
    <row r="850" spans="9:9" ht="15" customHeight="1">
      <c r="I850" s="31"/>
    </row>
    <row r="851" spans="9:9" ht="15" customHeight="1">
      <c r="I851" s="31"/>
    </row>
    <row r="852" spans="9:9" ht="15" customHeight="1">
      <c r="I852" s="31"/>
    </row>
    <row r="853" spans="9:9" ht="15" customHeight="1">
      <c r="I853" s="31"/>
    </row>
    <row r="854" spans="9:9" ht="15" customHeight="1">
      <c r="I854" s="31"/>
    </row>
    <row r="855" spans="9:9" ht="15" customHeight="1">
      <c r="I855" s="31"/>
    </row>
    <row r="856" spans="9:9" ht="15" customHeight="1">
      <c r="I856" s="31"/>
    </row>
    <row r="857" spans="9:9" ht="15" customHeight="1">
      <c r="I857" s="31"/>
    </row>
    <row r="858" spans="9:9" ht="15" customHeight="1">
      <c r="I858" s="31"/>
    </row>
    <row r="859" spans="9:9" ht="15" customHeight="1">
      <c r="I859" s="31"/>
    </row>
    <row r="860" spans="9:9" ht="15" customHeight="1">
      <c r="I860" s="31"/>
    </row>
    <row r="861" spans="9:9" ht="15" customHeight="1">
      <c r="I861" s="31"/>
    </row>
    <row r="862" spans="9:9" ht="15" customHeight="1">
      <c r="I862" s="31"/>
    </row>
    <row r="863" spans="9:9" ht="15" customHeight="1">
      <c r="I863" s="31"/>
    </row>
    <row r="864" spans="9:9" ht="15" customHeight="1">
      <c r="I864" s="31"/>
    </row>
    <row r="865" spans="9:9" ht="15" customHeight="1">
      <c r="I865" s="31"/>
    </row>
    <row r="866" spans="9:9" ht="15" customHeight="1">
      <c r="I866" s="31"/>
    </row>
    <row r="867" spans="9:9" ht="15" customHeight="1">
      <c r="I867" s="31"/>
    </row>
    <row r="868" spans="9:9" ht="15" customHeight="1">
      <c r="I868" s="31"/>
    </row>
    <row r="869" spans="9:9" ht="15" customHeight="1">
      <c r="I869" s="31"/>
    </row>
    <row r="870" spans="9:9" ht="15" customHeight="1">
      <c r="I870" s="31"/>
    </row>
    <row r="871" spans="9:9" ht="15" customHeight="1">
      <c r="I871" s="31"/>
    </row>
    <row r="872" spans="9:9" ht="15" customHeight="1">
      <c r="I872" s="31"/>
    </row>
    <row r="873" spans="9:9" ht="15" customHeight="1">
      <c r="I873" s="31"/>
    </row>
    <row r="874" spans="9:9" ht="15" customHeight="1">
      <c r="I874" s="31"/>
    </row>
    <row r="875" spans="9:9" ht="15" customHeight="1">
      <c r="I875" s="31"/>
    </row>
    <row r="876" spans="9:9" ht="15" customHeight="1">
      <c r="I876" s="31"/>
    </row>
    <row r="877" spans="9:9" ht="15" customHeight="1">
      <c r="I877" s="31"/>
    </row>
    <row r="878" spans="9:9" ht="15" customHeight="1">
      <c r="I878" s="31"/>
    </row>
    <row r="879" spans="9:9" ht="15" customHeight="1">
      <c r="I879" s="31"/>
    </row>
    <row r="880" spans="9:9" ht="15" customHeight="1">
      <c r="I880" s="31"/>
    </row>
    <row r="881" spans="9:9" ht="15" customHeight="1">
      <c r="I881" s="31"/>
    </row>
    <row r="882" spans="9:9" ht="15" customHeight="1">
      <c r="I882" s="31"/>
    </row>
    <row r="883" spans="9:9" ht="15" customHeight="1">
      <c r="I883" s="31"/>
    </row>
    <row r="884" spans="9:9" ht="15" customHeight="1">
      <c r="I884" s="31"/>
    </row>
    <row r="885" spans="9:9" ht="15" customHeight="1">
      <c r="I885" s="31"/>
    </row>
    <row r="886" spans="9:9" ht="15" customHeight="1">
      <c r="I886" s="31"/>
    </row>
    <row r="887" spans="9:9" ht="15" customHeight="1">
      <c r="I887" s="31"/>
    </row>
    <row r="888" spans="9:9" ht="15" customHeight="1">
      <c r="I888" s="31"/>
    </row>
    <row r="889" spans="9:9" ht="15" customHeight="1">
      <c r="I889" s="31"/>
    </row>
    <row r="890" spans="9:9" ht="15" customHeight="1">
      <c r="I890" s="31"/>
    </row>
    <row r="891" spans="9:9" ht="15" customHeight="1">
      <c r="I891" s="31"/>
    </row>
    <row r="892" spans="9:9" ht="15" customHeight="1">
      <c r="I892" s="31"/>
    </row>
    <row r="893" spans="9:9" ht="15" customHeight="1">
      <c r="I893" s="31"/>
    </row>
    <row r="894" spans="9:9" ht="15" customHeight="1">
      <c r="I894" s="31"/>
    </row>
    <row r="895" spans="9:9" ht="15" customHeight="1">
      <c r="I895" s="31"/>
    </row>
    <row r="896" spans="9:9" ht="15" customHeight="1">
      <c r="I896" s="31"/>
    </row>
    <row r="897" spans="9:9" ht="15" customHeight="1">
      <c r="I897" s="31"/>
    </row>
    <row r="898" spans="9:9" ht="15" customHeight="1">
      <c r="I898" s="31"/>
    </row>
    <row r="899" spans="9:9" ht="15" customHeight="1">
      <c r="I899" s="31"/>
    </row>
    <row r="900" spans="9:9" ht="15" customHeight="1">
      <c r="I900" s="31"/>
    </row>
    <row r="901" spans="9:9" ht="15" customHeight="1">
      <c r="I901" s="31"/>
    </row>
    <row r="902" spans="9:9" ht="15" customHeight="1">
      <c r="I902" s="31"/>
    </row>
    <row r="903" spans="9:9" ht="15" customHeight="1">
      <c r="I903" s="31"/>
    </row>
    <row r="904" spans="9:9" ht="15" customHeight="1">
      <c r="I904" s="31"/>
    </row>
    <row r="905" spans="9:9" ht="15" customHeight="1">
      <c r="I905" s="31"/>
    </row>
    <row r="906" spans="9:9" ht="15" customHeight="1">
      <c r="I906" s="31"/>
    </row>
    <row r="907" spans="9:9" ht="15" customHeight="1">
      <c r="I907" s="31"/>
    </row>
    <row r="908" spans="9:9" ht="15" customHeight="1">
      <c r="I908" s="31"/>
    </row>
    <row r="909" spans="9:9" ht="15" customHeight="1">
      <c r="I909" s="31"/>
    </row>
    <row r="910" spans="9:9" ht="15" customHeight="1">
      <c r="I910" s="31"/>
    </row>
    <row r="911" spans="9:9" ht="15" customHeight="1">
      <c r="I911" s="31"/>
    </row>
    <row r="912" spans="9:9" ht="15" customHeight="1">
      <c r="I912" s="31"/>
    </row>
    <row r="913" spans="9:9" ht="15" customHeight="1">
      <c r="I913" s="31"/>
    </row>
    <row r="914" spans="9:9" ht="15" customHeight="1">
      <c r="I914" s="31"/>
    </row>
    <row r="915" spans="9:9" ht="15" customHeight="1">
      <c r="I915" s="31"/>
    </row>
    <row r="916" spans="9:9" ht="15" customHeight="1">
      <c r="I916" s="31"/>
    </row>
    <row r="917" spans="9:9" ht="15" customHeight="1">
      <c r="I917" s="31"/>
    </row>
    <row r="918" spans="9:9" ht="15" customHeight="1">
      <c r="I918" s="31"/>
    </row>
    <row r="919" spans="9:9" ht="15" customHeight="1">
      <c r="I919" s="31"/>
    </row>
    <row r="920" spans="9:9" ht="15" customHeight="1">
      <c r="I920" s="31"/>
    </row>
    <row r="921" spans="9:9" ht="15" customHeight="1">
      <c r="I921" s="31"/>
    </row>
    <row r="922" spans="9:9" ht="15" customHeight="1">
      <c r="I922" s="31"/>
    </row>
    <row r="923" spans="9:9" ht="15" customHeight="1">
      <c r="I923" s="31"/>
    </row>
    <row r="924" spans="9:9" ht="15" customHeight="1">
      <c r="I924" s="31"/>
    </row>
    <row r="925" spans="9:9" ht="15" customHeight="1">
      <c r="I925" s="31"/>
    </row>
    <row r="926" spans="9:9" ht="15" customHeight="1">
      <c r="I926" s="31"/>
    </row>
    <row r="927" spans="9:9" ht="15" customHeight="1">
      <c r="I927" s="31"/>
    </row>
    <row r="928" spans="9:9" ht="15" customHeight="1">
      <c r="I928" s="31"/>
    </row>
    <row r="929" spans="9:9" ht="15" customHeight="1">
      <c r="I929" s="31"/>
    </row>
    <row r="930" spans="9:9" ht="15" customHeight="1">
      <c r="I930" s="31"/>
    </row>
    <row r="931" spans="9:9" ht="15" customHeight="1">
      <c r="I931" s="31"/>
    </row>
    <row r="932" spans="9:9" ht="15" customHeight="1">
      <c r="I932" s="31"/>
    </row>
    <row r="933" spans="9:9" ht="15" customHeight="1">
      <c r="I933" s="31"/>
    </row>
    <row r="934" spans="9:9" ht="15" customHeight="1">
      <c r="I934" s="31"/>
    </row>
    <row r="935" spans="9:9" ht="15" customHeight="1">
      <c r="I935" s="31"/>
    </row>
    <row r="936" spans="9:9" ht="15" customHeight="1">
      <c r="I936" s="31"/>
    </row>
    <row r="937" spans="9:9" ht="15" customHeight="1">
      <c r="I937" s="31"/>
    </row>
    <row r="938" spans="9:9" ht="15" customHeight="1">
      <c r="I938" s="31"/>
    </row>
    <row r="939" spans="9:9" ht="15" customHeight="1">
      <c r="I939" s="31"/>
    </row>
    <row r="940" spans="9:9" ht="15" customHeight="1">
      <c r="I940" s="31"/>
    </row>
    <row r="941" spans="9:9" ht="15" customHeight="1">
      <c r="I941" s="31"/>
    </row>
    <row r="942" spans="9:9" ht="15" customHeight="1">
      <c r="I942" s="31"/>
    </row>
    <row r="943" spans="9:9" ht="15" customHeight="1">
      <c r="I943" s="31"/>
    </row>
    <row r="944" spans="9:9" ht="15" customHeight="1">
      <c r="I944" s="31"/>
    </row>
    <row r="945" spans="9:9" ht="15" customHeight="1">
      <c r="I945" s="31"/>
    </row>
    <row r="946" spans="9:9" ht="15" customHeight="1">
      <c r="I946" s="31"/>
    </row>
    <row r="947" spans="9:9" ht="15" customHeight="1">
      <c r="I947" s="31"/>
    </row>
    <row r="948" spans="9:9" ht="15" customHeight="1">
      <c r="I948" s="31"/>
    </row>
    <row r="949" spans="9:9" ht="15" customHeight="1">
      <c r="I949" s="31"/>
    </row>
    <row r="950" spans="9:9" ht="15" customHeight="1">
      <c r="I950" s="31"/>
    </row>
    <row r="951" spans="9:9" ht="15" customHeight="1">
      <c r="I951" s="31"/>
    </row>
    <row r="952" spans="9:9" ht="15" customHeight="1">
      <c r="I952" s="31"/>
    </row>
    <row r="953" spans="9:9" ht="15" customHeight="1">
      <c r="I953" s="31"/>
    </row>
    <row r="954" spans="9:9" ht="15" customHeight="1">
      <c r="I954" s="31"/>
    </row>
    <row r="955" spans="9:9" ht="15" customHeight="1">
      <c r="I955" s="31"/>
    </row>
    <row r="956" spans="9:9" ht="15" customHeight="1">
      <c r="I956" s="31"/>
    </row>
    <row r="957" spans="9:9" ht="15" customHeight="1">
      <c r="I957" s="31"/>
    </row>
    <row r="958" spans="9:9" ht="15" customHeight="1">
      <c r="I958" s="31"/>
    </row>
    <row r="959" spans="9:9" ht="15" customHeight="1">
      <c r="I959" s="31"/>
    </row>
    <row r="960" spans="9:9" ht="15" customHeight="1">
      <c r="I960" s="31"/>
    </row>
    <row r="961" spans="9:9" ht="15" customHeight="1">
      <c r="I961" s="31"/>
    </row>
    <row r="962" spans="9:9" ht="15" customHeight="1">
      <c r="I962" s="31"/>
    </row>
    <row r="963" spans="9:9" ht="15" customHeight="1">
      <c r="I963" s="31"/>
    </row>
    <row r="964" spans="9:9" ht="15" customHeight="1">
      <c r="I964" s="31"/>
    </row>
    <row r="965" spans="9:9" ht="15" customHeight="1">
      <c r="I965" s="31"/>
    </row>
    <row r="966" spans="9:9" ht="15" customHeight="1">
      <c r="I966" s="31"/>
    </row>
    <row r="967" spans="9:9" ht="15" customHeight="1">
      <c r="I967" s="31"/>
    </row>
    <row r="968" spans="9:9" ht="15" customHeight="1">
      <c r="I968" s="31"/>
    </row>
    <row r="969" spans="9:9" ht="15" customHeight="1">
      <c r="I969" s="31"/>
    </row>
    <row r="970" spans="9:9" ht="15" customHeight="1">
      <c r="I970" s="31"/>
    </row>
    <row r="971" spans="9:9" ht="15" customHeight="1">
      <c r="I971" s="31"/>
    </row>
    <row r="972" spans="9:9" ht="15" customHeight="1">
      <c r="I972" s="31"/>
    </row>
    <row r="973" spans="9:9" ht="15" customHeight="1">
      <c r="I973" s="31"/>
    </row>
    <row r="974" spans="9:9" ht="15" customHeight="1">
      <c r="I974" s="31"/>
    </row>
    <row r="975" spans="9:9" ht="15" customHeight="1">
      <c r="I975" s="31"/>
    </row>
    <row r="976" spans="9:9" ht="15" customHeight="1">
      <c r="I976" s="31"/>
    </row>
    <row r="977" spans="9:9" ht="15" customHeight="1">
      <c r="I977" s="31"/>
    </row>
    <row r="978" spans="9:9" ht="15" customHeight="1">
      <c r="I978" s="31"/>
    </row>
    <row r="979" spans="9:9" ht="15" customHeight="1">
      <c r="I979" s="31"/>
    </row>
    <row r="980" spans="9:9" ht="15" customHeight="1">
      <c r="I980" s="31"/>
    </row>
    <row r="981" spans="9:9" ht="15" customHeight="1">
      <c r="I981" s="31"/>
    </row>
    <row r="982" spans="9:9" ht="15" customHeight="1">
      <c r="I982" s="31"/>
    </row>
    <row r="983" spans="9:9" ht="15" customHeight="1">
      <c r="I983" s="31"/>
    </row>
    <row r="984" spans="9:9" ht="15" customHeight="1">
      <c r="I984" s="31"/>
    </row>
    <row r="985" spans="9:9" ht="15" customHeight="1">
      <c r="I985" s="31"/>
    </row>
    <row r="986" spans="9:9" ht="15" customHeight="1">
      <c r="I986" s="31"/>
    </row>
    <row r="987" spans="9:9" ht="15" customHeight="1">
      <c r="I987" s="31"/>
    </row>
    <row r="988" spans="9:9" ht="15" customHeight="1">
      <c r="I988" s="31"/>
    </row>
    <row r="989" spans="9:9" ht="15" customHeight="1">
      <c r="I989" s="31"/>
    </row>
    <row r="990" spans="9:9" ht="15" customHeight="1">
      <c r="I990" s="31"/>
    </row>
    <row r="991" spans="9:9" ht="15" customHeight="1">
      <c r="I991" s="31"/>
    </row>
    <row r="992" spans="9:9" ht="15" customHeight="1">
      <c r="I992" s="31"/>
    </row>
    <row r="993" spans="9:9" ht="15" customHeight="1">
      <c r="I993" s="31"/>
    </row>
    <row r="994" spans="9:9" ht="15" customHeight="1">
      <c r="I994" s="31"/>
    </row>
    <row r="995" spans="9:9" ht="15" customHeight="1">
      <c r="I995" s="31"/>
    </row>
    <row r="996" spans="9:9" ht="15" customHeight="1">
      <c r="I996" s="31"/>
    </row>
    <row r="997" spans="9:9" ht="15" customHeight="1">
      <c r="I997" s="31"/>
    </row>
    <row r="998" spans="9:9" ht="15" customHeight="1">
      <c r="I998" s="31"/>
    </row>
    <row r="999" spans="9:9" ht="15" customHeight="1">
      <c r="I999" s="31"/>
    </row>
    <row r="1000" spans="9:9" ht="15" customHeight="1">
      <c r="I1000" s="28"/>
    </row>
  </sheetData>
  <sortState xmlns:xlrd2="http://schemas.microsoft.com/office/spreadsheetml/2017/richdata2" ref="A8:AE213">
    <sortCondition descending="1" ref="A8:A213"/>
    <sortCondition descending="1" ref="B8:B213"/>
  </sortState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E1768C-C00F-4C10-A106-D6AFA384EC29}">
  <dimension ref="A1:B112"/>
  <sheetViews>
    <sheetView workbookViewId="0">
      <selection activeCell="B2" sqref="B2:B8"/>
    </sheetView>
  </sheetViews>
  <sheetFormatPr defaultRowHeight="15"/>
  <cols>
    <col min="1" max="1" width="20.85546875" bestFit="1" customWidth="1"/>
    <col min="2" max="2" width="16.28515625" customWidth="1"/>
    <col min="3" max="3" width="18.5703125" bestFit="1" customWidth="1"/>
    <col min="4" max="4" width="17.85546875" bestFit="1" customWidth="1"/>
    <col min="5" max="5" width="12.7109375" bestFit="1" customWidth="1"/>
    <col min="6" max="6" width="16.5703125" bestFit="1" customWidth="1"/>
    <col min="7" max="7" width="16.7109375" bestFit="1" customWidth="1"/>
    <col min="8" max="8" width="16.28515625" bestFit="1" customWidth="1"/>
    <col min="9" max="9" width="11.85546875" bestFit="1" customWidth="1"/>
    <col min="10" max="10" width="19.85546875" bestFit="1" customWidth="1"/>
    <col min="11" max="11" width="16.140625" bestFit="1" customWidth="1"/>
    <col min="12" max="13" width="14.140625" bestFit="1" customWidth="1"/>
    <col min="14" max="14" width="14.85546875" bestFit="1" customWidth="1"/>
    <col min="15" max="15" width="13.5703125" bestFit="1" customWidth="1"/>
    <col min="16" max="16" width="11.140625" bestFit="1" customWidth="1"/>
    <col min="17" max="17" width="14.42578125" bestFit="1" customWidth="1"/>
    <col min="18" max="18" width="12.140625" bestFit="1" customWidth="1"/>
    <col min="19" max="19" width="13.5703125" bestFit="1" customWidth="1"/>
    <col min="20" max="20" width="18.42578125" bestFit="1" customWidth="1"/>
    <col min="21" max="21" width="10.7109375" bestFit="1" customWidth="1"/>
    <col min="22" max="22" width="11.5703125" bestFit="1" customWidth="1"/>
    <col min="23" max="23" width="16.42578125" bestFit="1" customWidth="1"/>
    <col min="24" max="24" width="15.7109375" bestFit="1" customWidth="1"/>
    <col min="25" max="25" width="10.5703125" bestFit="1" customWidth="1"/>
    <col min="26" max="27" width="10.85546875" bestFit="1" customWidth="1"/>
    <col min="28" max="28" width="10.140625" bestFit="1" customWidth="1"/>
    <col min="29" max="29" width="15.7109375" bestFit="1" customWidth="1"/>
    <col min="30" max="30" width="14.85546875" bestFit="1" customWidth="1"/>
    <col min="31" max="31" width="12" bestFit="1" customWidth="1"/>
    <col min="32" max="32" width="21.28515625" bestFit="1" customWidth="1"/>
    <col min="33" max="33" width="12" bestFit="1" customWidth="1"/>
    <col min="34" max="34" width="10.28515625" bestFit="1" customWidth="1"/>
    <col min="35" max="35" width="18.140625" bestFit="1" customWidth="1"/>
    <col min="36" max="36" width="15" bestFit="1" customWidth="1"/>
    <col min="37" max="37" width="14.85546875" bestFit="1" customWidth="1"/>
    <col min="38" max="38" width="10.42578125" bestFit="1" customWidth="1"/>
    <col min="39" max="39" width="16.42578125" bestFit="1" customWidth="1"/>
    <col min="40" max="40" width="13.28515625" bestFit="1" customWidth="1"/>
    <col min="41" max="41" width="14.85546875" bestFit="1" customWidth="1"/>
    <col min="42" max="42" width="16.85546875" bestFit="1" customWidth="1"/>
    <col min="43" max="43" width="11.5703125" bestFit="1" customWidth="1"/>
    <col min="44" max="44" width="10.28515625" bestFit="1" customWidth="1"/>
    <col min="45" max="45" width="13.7109375" bestFit="1" customWidth="1"/>
    <col min="46" max="46" width="15.85546875" bestFit="1" customWidth="1"/>
    <col min="47" max="47" width="16.85546875" bestFit="1" customWidth="1"/>
    <col min="48" max="48" width="13" bestFit="1" customWidth="1"/>
    <col min="49" max="49" width="12.42578125" bestFit="1" customWidth="1"/>
    <col min="50" max="50" width="15.85546875" bestFit="1" customWidth="1"/>
    <col min="51" max="51" width="11.140625" bestFit="1" customWidth="1"/>
    <col min="52" max="52" width="14.85546875" bestFit="1" customWidth="1"/>
    <col min="53" max="53" width="13.5703125" bestFit="1" customWidth="1"/>
    <col min="54" max="54" width="11.42578125" bestFit="1" customWidth="1"/>
    <col min="55" max="55" width="15" bestFit="1" customWidth="1"/>
    <col min="56" max="56" width="18.140625" bestFit="1" customWidth="1"/>
    <col min="57" max="57" width="12.7109375" bestFit="1" customWidth="1"/>
    <col min="58" max="58" width="16" bestFit="1" customWidth="1"/>
    <col min="59" max="59" width="13.28515625" bestFit="1" customWidth="1"/>
    <col min="60" max="60" width="14.140625" bestFit="1" customWidth="1"/>
    <col min="61" max="61" width="13" bestFit="1" customWidth="1"/>
    <col min="62" max="62" width="18.28515625" bestFit="1" customWidth="1"/>
    <col min="63" max="63" width="12.140625" bestFit="1" customWidth="1"/>
    <col min="64" max="64" width="9.85546875" bestFit="1" customWidth="1"/>
    <col min="65" max="65" width="5.5703125" bestFit="1" customWidth="1"/>
    <col min="66" max="66" width="18" bestFit="1" customWidth="1"/>
    <col min="67" max="67" width="13.85546875" bestFit="1" customWidth="1"/>
    <col min="68" max="68" width="13.7109375" bestFit="1" customWidth="1"/>
    <col min="69" max="69" width="11.5703125" bestFit="1" customWidth="1"/>
    <col min="70" max="70" width="15" bestFit="1" customWidth="1"/>
    <col min="71" max="71" width="21.140625" bestFit="1" customWidth="1"/>
    <col min="72" max="72" width="16.42578125" bestFit="1" customWidth="1"/>
    <col min="73" max="73" width="17" bestFit="1" customWidth="1"/>
    <col min="74" max="74" width="14.42578125" bestFit="1" customWidth="1"/>
    <col min="75" max="75" width="19.42578125" bestFit="1" customWidth="1"/>
    <col min="76" max="76" width="19.5703125" bestFit="1" customWidth="1"/>
    <col min="77" max="77" width="11.85546875" bestFit="1" customWidth="1"/>
    <col min="78" max="78" width="14.42578125" bestFit="1" customWidth="1"/>
    <col min="79" max="79" width="17.85546875" bestFit="1" customWidth="1"/>
    <col min="80" max="81" width="12.85546875" bestFit="1" customWidth="1"/>
    <col min="82" max="82" width="13" bestFit="1" customWidth="1"/>
    <col min="83" max="83" width="21.28515625" bestFit="1" customWidth="1"/>
    <col min="84" max="84" width="13" bestFit="1" customWidth="1"/>
    <col min="85" max="85" width="16.28515625" bestFit="1" customWidth="1"/>
    <col min="86" max="86" width="15.140625" bestFit="1" customWidth="1"/>
    <col min="87" max="87" width="16.7109375" bestFit="1" customWidth="1"/>
    <col min="88" max="88" width="13.42578125" bestFit="1" customWidth="1"/>
    <col min="89" max="89" width="10.7109375" bestFit="1" customWidth="1"/>
    <col min="90" max="90" width="12.42578125" bestFit="1" customWidth="1"/>
    <col min="91" max="91" width="14" bestFit="1" customWidth="1"/>
    <col min="92" max="92" width="10" bestFit="1" customWidth="1"/>
    <col min="93" max="94" width="13.85546875" bestFit="1" customWidth="1"/>
    <col min="95" max="95" width="14.42578125" bestFit="1" customWidth="1"/>
    <col min="96" max="96" width="12.85546875" bestFit="1" customWidth="1"/>
    <col min="97" max="97" width="15.5703125" bestFit="1" customWidth="1"/>
    <col min="98" max="98" width="15.140625" bestFit="1" customWidth="1"/>
    <col min="99" max="99" width="11.140625" bestFit="1" customWidth="1"/>
    <col min="100" max="100" width="14.85546875" bestFit="1" customWidth="1"/>
    <col min="101" max="101" width="13.7109375" bestFit="1" customWidth="1"/>
    <col min="102" max="102" width="10.140625" bestFit="1" customWidth="1"/>
    <col min="103" max="103" width="18.85546875" bestFit="1" customWidth="1"/>
    <col min="104" max="104" width="18.7109375" bestFit="1" customWidth="1"/>
    <col min="105" max="105" width="18.140625" bestFit="1" customWidth="1"/>
    <col min="106" max="106" width="17" bestFit="1" customWidth="1"/>
    <col min="107" max="107" width="13.85546875" bestFit="1" customWidth="1"/>
    <col min="108" max="108" width="14.85546875" bestFit="1" customWidth="1"/>
    <col min="109" max="109" width="15.140625" bestFit="1" customWidth="1"/>
    <col min="110" max="110" width="18.7109375" bestFit="1" customWidth="1"/>
    <col min="111" max="111" width="11.7109375" bestFit="1" customWidth="1"/>
  </cols>
  <sheetData>
    <row r="1" spans="1:2">
      <c r="A1" s="26" t="s">
        <v>2</v>
      </c>
      <c r="B1" t="s">
        <v>586</v>
      </c>
    </row>
    <row r="2" spans="1:2">
      <c r="A2" t="s">
        <v>344</v>
      </c>
      <c r="B2">
        <v>11</v>
      </c>
    </row>
    <row r="3" spans="1:2">
      <c r="A3" t="s">
        <v>63</v>
      </c>
      <c r="B3">
        <v>10</v>
      </c>
    </row>
    <row r="4" spans="1:2">
      <c r="A4" t="s">
        <v>118</v>
      </c>
      <c r="B4">
        <v>7</v>
      </c>
    </row>
    <row r="5" spans="1:2">
      <c r="A5" t="s">
        <v>110</v>
      </c>
      <c r="B5">
        <v>6</v>
      </c>
    </row>
    <row r="6" spans="1:2">
      <c r="A6" t="s">
        <v>438</v>
      </c>
      <c r="B6">
        <v>6</v>
      </c>
    </row>
    <row r="7" spans="1:2">
      <c r="A7" t="s">
        <v>376</v>
      </c>
      <c r="B7">
        <v>6</v>
      </c>
    </row>
    <row r="8" spans="1:2">
      <c r="A8" t="s">
        <v>502</v>
      </c>
      <c r="B8">
        <v>5</v>
      </c>
    </row>
    <row r="9" spans="1:2">
      <c r="A9" t="s">
        <v>463</v>
      </c>
      <c r="B9">
        <v>4</v>
      </c>
    </row>
    <row r="10" spans="1:2">
      <c r="A10" t="s">
        <v>352</v>
      </c>
      <c r="B10">
        <v>4</v>
      </c>
    </row>
    <row r="11" spans="1:2">
      <c r="A11" t="s">
        <v>320</v>
      </c>
      <c r="B11">
        <v>4</v>
      </c>
    </row>
    <row r="12" spans="1:2">
      <c r="A12" t="s">
        <v>230</v>
      </c>
      <c r="B12">
        <v>4</v>
      </c>
    </row>
    <row r="13" spans="1:2">
      <c r="A13" t="s">
        <v>195</v>
      </c>
      <c r="B13">
        <v>4</v>
      </c>
    </row>
    <row r="14" spans="1:2">
      <c r="A14" t="s">
        <v>241</v>
      </c>
      <c r="B14">
        <v>4</v>
      </c>
    </row>
    <row r="15" spans="1:2">
      <c r="A15" t="s">
        <v>270</v>
      </c>
      <c r="B15">
        <v>3</v>
      </c>
    </row>
    <row r="16" spans="1:2">
      <c r="A16" t="s">
        <v>528</v>
      </c>
      <c r="B16">
        <v>3</v>
      </c>
    </row>
    <row r="17" spans="1:2">
      <c r="A17" t="s">
        <v>477</v>
      </c>
      <c r="B17">
        <v>3</v>
      </c>
    </row>
    <row r="18" spans="1:2">
      <c r="A18" t="s">
        <v>276</v>
      </c>
      <c r="B18">
        <v>3</v>
      </c>
    </row>
    <row r="19" spans="1:2">
      <c r="A19" t="s">
        <v>365</v>
      </c>
      <c r="B19">
        <v>3</v>
      </c>
    </row>
    <row r="20" spans="1:2">
      <c r="A20" t="s">
        <v>201</v>
      </c>
      <c r="B20">
        <v>3</v>
      </c>
    </row>
    <row r="21" spans="1:2">
      <c r="A21" t="s">
        <v>451</v>
      </c>
      <c r="B21">
        <v>3</v>
      </c>
    </row>
    <row r="22" spans="1:2">
      <c r="A22" t="s">
        <v>226</v>
      </c>
      <c r="B22">
        <v>2</v>
      </c>
    </row>
    <row r="23" spans="1:2">
      <c r="A23" t="s">
        <v>269</v>
      </c>
      <c r="B23">
        <v>2</v>
      </c>
    </row>
    <row r="24" spans="1:2">
      <c r="A24" t="s">
        <v>44</v>
      </c>
      <c r="B24">
        <v>2</v>
      </c>
    </row>
    <row r="25" spans="1:2">
      <c r="A25" t="s">
        <v>417</v>
      </c>
      <c r="B25">
        <v>2</v>
      </c>
    </row>
    <row r="26" spans="1:2">
      <c r="A26" t="s">
        <v>409</v>
      </c>
      <c r="B26">
        <v>2</v>
      </c>
    </row>
    <row r="27" spans="1:2">
      <c r="A27" t="s">
        <v>142</v>
      </c>
      <c r="B27">
        <v>2</v>
      </c>
    </row>
    <row r="28" spans="1:2">
      <c r="A28" t="s">
        <v>233</v>
      </c>
      <c r="B28">
        <v>2</v>
      </c>
    </row>
    <row r="29" spans="1:2">
      <c r="A29" t="s">
        <v>489</v>
      </c>
      <c r="B29">
        <v>2</v>
      </c>
    </row>
    <row r="30" spans="1:2">
      <c r="A30" t="s">
        <v>249</v>
      </c>
      <c r="B30">
        <v>2</v>
      </c>
    </row>
    <row r="31" spans="1:2">
      <c r="A31" t="s">
        <v>572</v>
      </c>
      <c r="B31">
        <v>2</v>
      </c>
    </row>
    <row r="32" spans="1:2">
      <c r="A32" t="s">
        <v>81</v>
      </c>
      <c r="B32">
        <v>2</v>
      </c>
    </row>
    <row r="33" spans="1:2">
      <c r="A33" t="s">
        <v>486</v>
      </c>
      <c r="B33">
        <v>2</v>
      </c>
    </row>
    <row r="34" spans="1:2">
      <c r="A34" t="s">
        <v>533</v>
      </c>
      <c r="B34">
        <v>2</v>
      </c>
    </row>
    <row r="35" spans="1:2">
      <c r="A35" t="s">
        <v>40</v>
      </c>
      <c r="B35">
        <v>2</v>
      </c>
    </row>
    <row r="36" spans="1:2">
      <c r="A36" t="s">
        <v>76</v>
      </c>
      <c r="B36">
        <v>2</v>
      </c>
    </row>
    <row r="37" spans="1:2">
      <c r="A37" t="s">
        <v>436</v>
      </c>
      <c r="B37">
        <v>2</v>
      </c>
    </row>
    <row r="38" spans="1:2">
      <c r="A38" t="s">
        <v>569</v>
      </c>
      <c r="B38">
        <v>2</v>
      </c>
    </row>
    <row r="39" spans="1:2">
      <c r="A39" t="s">
        <v>402</v>
      </c>
      <c r="B39">
        <v>2</v>
      </c>
    </row>
    <row r="40" spans="1:2">
      <c r="A40" t="s">
        <v>199</v>
      </c>
      <c r="B40">
        <v>2</v>
      </c>
    </row>
    <row r="41" spans="1:2">
      <c r="A41" t="s">
        <v>308</v>
      </c>
      <c r="B41">
        <v>2</v>
      </c>
    </row>
    <row r="42" spans="1:2">
      <c r="A42" t="s">
        <v>251</v>
      </c>
      <c r="B42">
        <v>2</v>
      </c>
    </row>
    <row r="43" spans="1:2">
      <c r="A43" t="s">
        <v>274</v>
      </c>
      <c r="B43">
        <v>2</v>
      </c>
    </row>
    <row r="44" spans="1:2">
      <c r="A44" t="s">
        <v>293</v>
      </c>
      <c r="B44">
        <v>2</v>
      </c>
    </row>
    <row r="45" spans="1:2">
      <c r="A45" t="s">
        <v>260</v>
      </c>
      <c r="B45">
        <v>2</v>
      </c>
    </row>
    <row r="46" spans="1:2">
      <c r="A46" t="s">
        <v>335</v>
      </c>
      <c r="B46">
        <v>2</v>
      </c>
    </row>
    <row r="47" spans="1:2">
      <c r="A47" t="s">
        <v>447</v>
      </c>
      <c r="B47">
        <v>2</v>
      </c>
    </row>
    <row r="48" spans="1:2">
      <c r="A48" t="s">
        <v>212</v>
      </c>
      <c r="B48">
        <v>1</v>
      </c>
    </row>
    <row r="49" spans="1:2">
      <c r="A49" t="s">
        <v>551</v>
      </c>
      <c r="B49">
        <v>1</v>
      </c>
    </row>
    <row r="50" spans="1:2">
      <c r="A50" t="s">
        <v>514</v>
      </c>
      <c r="B50">
        <v>1</v>
      </c>
    </row>
    <row r="51" spans="1:2">
      <c r="A51" t="s">
        <v>364</v>
      </c>
      <c r="B51">
        <v>1</v>
      </c>
    </row>
    <row r="52" spans="1:2">
      <c r="A52" t="s">
        <v>306</v>
      </c>
      <c r="B52">
        <v>1</v>
      </c>
    </row>
    <row r="53" spans="1:2">
      <c r="A53" t="s">
        <v>515</v>
      </c>
      <c r="B53">
        <v>1</v>
      </c>
    </row>
    <row r="54" spans="1:2">
      <c r="A54" t="s">
        <v>373</v>
      </c>
      <c r="B54">
        <v>1</v>
      </c>
    </row>
    <row r="55" spans="1:2">
      <c r="A55" t="s">
        <v>407</v>
      </c>
      <c r="B55">
        <v>1</v>
      </c>
    </row>
    <row r="56" spans="1:2">
      <c r="A56" t="s">
        <v>575</v>
      </c>
      <c r="B56">
        <v>1</v>
      </c>
    </row>
    <row r="57" spans="1:2">
      <c r="A57" t="s">
        <v>302</v>
      </c>
      <c r="B57">
        <v>1</v>
      </c>
    </row>
    <row r="58" spans="1:2">
      <c r="A58" t="s">
        <v>412</v>
      </c>
      <c r="B58">
        <v>1</v>
      </c>
    </row>
    <row r="59" spans="1:2">
      <c r="A59" t="s">
        <v>338</v>
      </c>
      <c r="B59">
        <v>1</v>
      </c>
    </row>
    <row r="60" spans="1:2">
      <c r="A60" t="s">
        <v>369</v>
      </c>
      <c r="B60">
        <v>1</v>
      </c>
    </row>
    <row r="61" spans="1:2">
      <c r="A61" t="s">
        <v>103</v>
      </c>
      <c r="B61">
        <v>1</v>
      </c>
    </row>
    <row r="62" spans="1:2">
      <c r="A62" t="s">
        <v>425</v>
      </c>
      <c r="B62">
        <v>1</v>
      </c>
    </row>
    <row r="63" spans="1:2">
      <c r="A63" t="s">
        <v>123</v>
      </c>
      <c r="B63">
        <v>1</v>
      </c>
    </row>
    <row r="64" spans="1:2">
      <c r="A64" t="s">
        <v>558</v>
      </c>
      <c r="B64">
        <v>1</v>
      </c>
    </row>
    <row r="65" spans="1:2">
      <c r="A65" t="s">
        <v>314</v>
      </c>
      <c r="B65">
        <v>1</v>
      </c>
    </row>
    <row r="66" spans="1:2">
      <c r="A66" t="s">
        <v>176</v>
      </c>
      <c r="B66">
        <v>1</v>
      </c>
    </row>
    <row r="67" spans="1:2">
      <c r="A67" t="s">
        <v>510</v>
      </c>
      <c r="B67">
        <v>1</v>
      </c>
    </row>
    <row r="68" spans="1:2">
      <c r="A68" t="s">
        <v>484</v>
      </c>
      <c r="B68">
        <v>1</v>
      </c>
    </row>
    <row r="69" spans="1:2">
      <c r="A69" t="s">
        <v>522</v>
      </c>
      <c r="B69">
        <v>1</v>
      </c>
    </row>
    <row r="70" spans="1:2">
      <c r="A70" t="s">
        <v>71</v>
      </c>
      <c r="B70">
        <v>1</v>
      </c>
    </row>
    <row r="71" spans="1:2">
      <c r="A71" t="s">
        <v>547</v>
      </c>
      <c r="B71">
        <v>1</v>
      </c>
    </row>
    <row r="72" spans="1:2">
      <c r="A72" t="s">
        <v>139</v>
      </c>
      <c r="B72">
        <v>1</v>
      </c>
    </row>
    <row r="73" spans="1:2">
      <c r="A73" t="s">
        <v>156</v>
      </c>
      <c r="B73">
        <v>1</v>
      </c>
    </row>
    <row r="74" spans="1:2">
      <c r="A74" t="s">
        <v>421</v>
      </c>
      <c r="B74">
        <v>1</v>
      </c>
    </row>
    <row r="75" spans="1:2">
      <c r="A75" t="s">
        <v>434</v>
      </c>
      <c r="B75">
        <v>1</v>
      </c>
    </row>
    <row r="76" spans="1:2">
      <c r="A76" t="s">
        <v>322</v>
      </c>
      <c r="B76">
        <v>1</v>
      </c>
    </row>
    <row r="77" spans="1:2">
      <c r="A77" t="s">
        <v>358</v>
      </c>
      <c r="B77">
        <v>1</v>
      </c>
    </row>
    <row r="78" spans="1:2">
      <c r="A78" t="s">
        <v>429</v>
      </c>
      <c r="B78">
        <v>1</v>
      </c>
    </row>
    <row r="79" spans="1:2">
      <c r="A79" t="s">
        <v>326</v>
      </c>
      <c r="B79">
        <v>1</v>
      </c>
    </row>
    <row r="80" spans="1:2">
      <c r="A80" t="s">
        <v>505</v>
      </c>
      <c r="B80">
        <v>1</v>
      </c>
    </row>
    <row r="81" spans="1:2">
      <c r="A81" t="s">
        <v>149</v>
      </c>
      <c r="B81">
        <v>1</v>
      </c>
    </row>
    <row r="82" spans="1:2">
      <c r="A82" t="s">
        <v>465</v>
      </c>
      <c r="B82">
        <v>1</v>
      </c>
    </row>
    <row r="83" spans="1:2">
      <c r="A83" t="s">
        <v>418</v>
      </c>
      <c r="B83">
        <v>1</v>
      </c>
    </row>
    <row r="84" spans="1:2">
      <c r="A84" t="s">
        <v>566</v>
      </c>
      <c r="B84">
        <v>1</v>
      </c>
    </row>
    <row r="85" spans="1:2">
      <c r="A85" t="s">
        <v>134</v>
      </c>
      <c r="B85">
        <v>1</v>
      </c>
    </row>
    <row r="86" spans="1:2">
      <c r="A86" t="s">
        <v>555</v>
      </c>
      <c r="B86">
        <v>1</v>
      </c>
    </row>
    <row r="87" spans="1:2">
      <c r="A87" t="s">
        <v>186</v>
      </c>
      <c r="B87">
        <v>1</v>
      </c>
    </row>
    <row r="88" spans="1:2">
      <c r="A88" t="s">
        <v>220</v>
      </c>
      <c r="B88">
        <v>1</v>
      </c>
    </row>
    <row r="89" spans="1:2">
      <c r="A89" t="s">
        <v>442</v>
      </c>
      <c r="B89">
        <v>1</v>
      </c>
    </row>
    <row r="90" spans="1:2">
      <c r="A90" t="s">
        <v>540</v>
      </c>
      <c r="B90">
        <v>1</v>
      </c>
    </row>
    <row r="91" spans="1:2">
      <c r="A91" t="s">
        <v>35</v>
      </c>
      <c r="B91">
        <v>1</v>
      </c>
    </row>
    <row r="92" spans="1:2">
      <c r="A92" t="s">
        <v>520</v>
      </c>
      <c r="B92">
        <v>1</v>
      </c>
    </row>
    <row r="93" spans="1:2">
      <c r="A93" t="s">
        <v>187</v>
      </c>
      <c r="B93">
        <v>1</v>
      </c>
    </row>
    <row r="94" spans="1:2">
      <c r="A94" t="s">
        <v>329</v>
      </c>
      <c r="B94">
        <v>1</v>
      </c>
    </row>
    <row r="95" spans="1:2">
      <c r="A95" t="s">
        <v>439</v>
      </c>
      <c r="B95">
        <v>1</v>
      </c>
    </row>
    <row r="96" spans="1:2">
      <c r="A96" t="s">
        <v>404</v>
      </c>
      <c r="B96">
        <v>1</v>
      </c>
    </row>
    <row r="97" spans="1:2">
      <c r="A97" t="s">
        <v>455</v>
      </c>
      <c r="B97">
        <v>1</v>
      </c>
    </row>
    <row r="98" spans="1:2">
      <c r="A98" t="s">
        <v>88</v>
      </c>
      <c r="B98">
        <v>1</v>
      </c>
    </row>
    <row r="99" spans="1:2">
      <c r="A99" t="s">
        <v>131</v>
      </c>
      <c r="B99">
        <v>1</v>
      </c>
    </row>
    <row r="100" spans="1:2">
      <c r="A100" t="s">
        <v>553</v>
      </c>
      <c r="B100">
        <v>1</v>
      </c>
    </row>
    <row r="101" spans="1:2">
      <c r="A101" t="s">
        <v>333</v>
      </c>
      <c r="B101">
        <v>1</v>
      </c>
    </row>
    <row r="102" spans="1:2">
      <c r="A102" t="s">
        <v>504</v>
      </c>
      <c r="B102">
        <v>1</v>
      </c>
    </row>
    <row r="103" spans="1:2">
      <c r="A103" t="s">
        <v>470</v>
      </c>
      <c r="B103">
        <v>1</v>
      </c>
    </row>
    <row r="104" spans="1:2">
      <c r="A104" t="s">
        <v>202</v>
      </c>
      <c r="B104">
        <v>1</v>
      </c>
    </row>
    <row r="105" spans="1:2">
      <c r="A105" t="s">
        <v>443</v>
      </c>
      <c r="B105">
        <v>1</v>
      </c>
    </row>
    <row r="106" spans="1:2">
      <c r="A106" t="s">
        <v>351</v>
      </c>
      <c r="B106">
        <v>1</v>
      </c>
    </row>
    <row r="107" spans="1:2">
      <c r="A107" t="s">
        <v>468</v>
      </c>
      <c r="B107">
        <v>1</v>
      </c>
    </row>
    <row r="108" spans="1:2">
      <c r="A108" t="s">
        <v>474</v>
      </c>
      <c r="B108">
        <v>1</v>
      </c>
    </row>
    <row r="109" spans="1:2">
      <c r="A109" t="s">
        <v>225</v>
      </c>
      <c r="B109">
        <v>1</v>
      </c>
    </row>
    <row r="110" spans="1:2">
      <c r="A110" t="s">
        <v>562</v>
      </c>
      <c r="B110">
        <v>1</v>
      </c>
    </row>
    <row r="111" spans="1:2">
      <c r="A111" t="s">
        <v>480</v>
      </c>
      <c r="B111">
        <v>1</v>
      </c>
    </row>
    <row r="112" spans="1:2">
      <c r="A112" t="s">
        <v>587</v>
      </c>
      <c r="B112">
        <v>212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2972C832-81BD-4D18-A9BC-2733855288B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268</dc:creator>
  <cp:keywords/>
  <dc:description/>
  <cp:lastModifiedBy>Viet Kien Nguyen</cp:lastModifiedBy>
  <cp:revision/>
  <dcterms:created xsi:type="dcterms:W3CDTF">2015-06-05T18:17:20Z</dcterms:created>
  <dcterms:modified xsi:type="dcterms:W3CDTF">2025-09-22T07:48:18Z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51a6c3db-1667-4f49-995a-8b9973972958_Enabled">
    <vt:lpwstr>true</vt:lpwstr>
  </property>
  <property fmtid="{D5CDD505-2E9C-101B-9397-08002B2CF9AE}" pid="3" name="MSIP_Label_51a6c3db-1667-4f49-995a-8b9973972958_SetDate">
    <vt:lpwstr>2024-04-18T03:39:22Z</vt:lpwstr>
  </property>
  <property fmtid="{D5CDD505-2E9C-101B-9397-08002B2CF9AE}" pid="4" name="MSIP_Label_51a6c3db-1667-4f49-995a-8b9973972958_Method">
    <vt:lpwstr>Standard</vt:lpwstr>
  </property>
  <property fmtid="{D5CDD505-2E9C-101B-9397-08002B2CF9AE}" pid="5" name="MSIP_Label_51a6c3db-1667-4f49-995a-8b9973972958_Name">
    <vt:lpwstr>UTS-Internal</vt:lpwstr>
  </property>
  <property fmtid="{D5CDD505-2E9C-101B-9397-08002B2CF9AE}" pid="6" name="MSIP_Label_51a6c3db-1667-4f49-995a-8b9973972958_SiteId">
    <vt:lpwstr>e8911c26-cf9f-4a9c-878e-527807be8791</vt:lpwstr>
  </property>
  <property fmtid="{D5CDD505-2E9C-101B-9397-08002B2CF9AE}" pid="7" name="MSIP_Label_51a6c3db-1667-4f49-995a-8b9973972958_ActionId">
    <vt:lpwstr>187cc2d2-f5e1-41b1-a783-bcd7f6e7751c</vt:lpwstr>
  </property>
  <property fmtid="{D5CDD505-2E9C-101B-9397-08002B2CF9AE}" pid="8" name="MSIP_Label_51a6c3db-1667-4f49-995a-8b9973972958_ContentBits">
    <vt:lpwstr>0</vt:lpwstr>
  </property>
</Properties>
</file>