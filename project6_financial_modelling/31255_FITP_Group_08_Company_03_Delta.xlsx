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https://d.docs.live.net/8261f1ec8a8072bf/Documents/Finance and IT/"/>
    </mc:Choice>
  </mc:AlternateContent>
  <xr:revisionPtr revIDLastSave="26" documentId="8_{311BE419-EB39-46B4-9BD0-17117E1F82E9}" xr6:coauthVersionLast="47" xr6:coauthVersionMax="47" xr10:uidLastSave="{B5DA0657-2CBC-4E38-9ED1-563359ED06D2}"/>
  <bookViews>
    <workbookView xWindow="-108" yWindow="-108" windowWidth="23256" windowHeight="12456" tabRatio="898" firstSheet="25" activeTab="28" xr2:uid="{00000000-000D-0000-FFFF-FFFF00000000}"/>
  </bookViews>
  <sheets>
    <sheet name="CI-FV" sheetId="29" r:id="rId1"/>
    <sheet name="Instructions" sheetId="24" r:id="rId2"/>
    <sheet name="Cover" sheetId="28" r:id="rId3"/>
    <sheet name="BS" sheetId="33" r:id="rId4"/>
    <sheet name="IS" sheetId="34" r:id="rId5"/>
    <sheet name="BS IS" sheetId="51" r:id="rId6"/>
    <sheet name="SCF" sheetId="12" r:id="rId7"/>
    <sheet name="HA" sheetId="11" r:id="rId8"/>
    <sheet name="%Change" sheetId="20" r:id="rId9"/>
    <sheet name="VA" sheetId="9" r:id="rId10"/>
    <sheet name="Ratio" sheetId="6" r:id="rId11"/>
    <sheet name="CapitalBudgeting" sheetId="8" r:id="rId12"/>
    <sheet name="CI-PV" sheetId="30" r:id="rId13"/>
    <sheet name="CI-i" sheetId="31" r:id="rId14"/>
    <sheet name="CI-n" sheetId="32" r:id="rId15"/>
    <sheet name="FVOA-FV" sheetId="43" r:id="rId16"/>
    <sheet name="FVOA-C" sheetId="47" r:id="rId17"/>
    <sheet name="FVOA-i" sheetId="45" r:id="rId18"/>
    <sheet name="FVOA-n" sheetId="49" r:id="rId19"/>
    <sheet name="PVOA-PV" sheetId="44" r:id="rId20"/>
    <sheet name="PVOA-C" sheetId="48" r:id="rId21"/>
    <sheet name="PVOA-i" sheetId="46" r:id="rId22"/>
    <sheet name="PVOA-n" sheetId="50" r:id="rId23"/>
    <sheet name="R&amp;R Sample" sheetId="35" r:id="rId24"/>
    <sheet name="R&amp;R Probability" sheetId="36" r:id="rId25"/>
    <sheet name="R&amp;R Portfolio" sheetId="37" r:id="rId26"/>
    <sheet name="Risk Mgmt Long" sheetId="41" r:id="rId27"/>
    <sheet name="Risk Mgmt Short" sheetId="42" r:id="rId28"/>
    <sheet name="M&amp;A Cash" sheetId="38" r:id="rId29"/>
    <sheet name="M&amp;A Scrip" sheetId="39" r:id="rId30"/>
    <sheet name="M&amp;A Combined" sheetId="40" r:id="rId31"/>
    <sheet name="Outsourcing 1" sheetId="52" r:id="rId32"/>
    <sheet name="Outsourcing 2" sheetId="53" r:id="rId33"/>
    <sheet name="Outsourcing 3" sheetId="54" r:id="rId34"/>
    <sheet name="Sheet1" sheetId="55" r:id="rId35"/>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54" l="1"/>
  <c r="B14" i="53"/>
  <c r="B11" i="52"/>
  <c r="J20" i="6"/>
  <c r="M20" i="6"/>
  <c r="D7" i="38"/>
  <c r="E7" i="39"/>
  <c r="F7" i="39" s="1"/>
  <c r="G2" i="39"/>
  <c r="G2" i="40"/>
  <c r="F7" i="40"/>
  <c r="D7" i="39"/>
  <c r="D8" i="39"/>
  <c r="D13" i="38"/>
  <c r="K23" i="55"/>
  <c r="L23" i="55"/>
  <c r="M23" i="55"/>
  <c r="J23" i="55"/>
  <c r="J24" i="11"/>
  <c r="J23" i="11"/>
  <c r="B2" i="40"/>
  <c r="D13" i="40"/>
  <c r="D8" i="40"/>
  <c r="E8" i="40"/>
  <c r="F8" i="40"/>
  <c r="B13" i="40"/>
  <c r="F11" i="40"/>
  <c r="C15" i="40"/>
  <c r="C14" i="40"/>
  <c r="E11" i="40"/>
  <c r="D11" i="40"/>
  <c r="D9" i="40"/>
  <c r="J7" i="8"/>
  <c r="J6" i="8"/>
  <c r="B2" i="38"/>
  <c r="J5" i="8"/>
  <c r="J2" i="8"/>
  <c r="B10" i="52"/>
  <c r="B13" i="54"/>
  <c r="B13" i="53"/>
  <c r="C11" i="8"/>
  <c r="M16" i="6"/>
  <c r="M12" i="6"/>
  <c r="M38" i="6"/>
  <c r="K38" i="6"/>
  <c r="J38" i="6"/>
  <c r="M50" i="6"/>
  <c r="D26" i="6"/>
  <c r="K4" i="6"/>
  <c r="J5" i="6"/>
  <c r="J4" i="6"/>
  <c r="M17" i="6"/>
  <c r="L4" i="6"/>
  <c r="B4" i="49"/>
  <c r="K5" i="49"/>
  <c r="L5" i="49"/>
  <c r="M5" i="49"/>
  <c r="N5" i="49"/>
  <c r="O5" i="49"/>
  <c r="J5" i="49"/>
  <c r="L7" i="49"/>
  <c r="D10" i="40"/>
  <c r="E5" i="40"/>
  <c r="F5" i="40"/>
  <c r="D5" i="40"/>
  <c r="D12" i="40"/>
  <c r="C12" i="40"/>
  <c r="B11" i="40"/>
  <c r="C11" i="40"/>
  <c r="B15" i="40"/>
  <c r="B14" i="40"/>
  <c r="B12" i="40"/>
  <c r="C13" i="40"/>
  <c r="L28" i="6"/>
  <c r="J28" i="6"/>
  <c r="K28" i="6"/>
  <c r="M28" i="6"/>
  <c r="B4" i="45"/>
  <c r="B4" i="47"/>
  <c r="D9" i="38"/>
  <c r="B14" i="38"/>
  <c r="B4" i="43"/>
  <c r="B11" i="38"/>
  <c r="B12" i="38" s="1"/>
  <c r="C4" i="37"/>
  <c r="D12" i="38"/>
  <c r="D11" i="38" s="1"/>
  <c r="D14" i="38"/>
  <c r="D8" i="38"/>
  <c r="D10" i="38"/>
  <c r="C15" i="38"/>
  <c r="B15" i="38"/>
  <c r="C14" i="38"/>
  <c r="C13" i="38"/>
  <c r="B13" i="38"/>
  <c r="C12" i="38"/>
  <c r="C11" i="38"/>
  <c r="D11" i="54"/>
  <c r="C11" i="54"/>
  <c r="B11" i="54"/>
  <c r="E10" i="53"/>
  <c r="D10" i="53"/>
  <c r="C10" i="53"/>
  <c r="B4" i="30"/>
  <c r="F11" i="51"/>
  <c r="F10" i="51"/>
  <c r="F9" i="51"/>
  <c r="F8" i="51"/>
  <c r="F7" i="51"/>
  <c r="F3" i="51"/>
  <c r="F4" i="51"/>
  <c r="C8" i="51"/>
  <c r="C7" i="51"/>
  <c r="C4" i="51"/>
  <c r="C14" i="51"/>
  <c r="C15" i="51"/>
  <c r="C3" i="51"/>
  <c r="C5" i="51"/>
  <c r="C13" i="51"/>
  <c r="C6" i="51"/>
  <c r="M29" i="12"/>
  <c r="L29" i="12"/>
  <c r="K29" i="12"/>
  <c r="J29" i="12"/>
  <c r="M28" i="12"/>
  <c r="L28" i="12"/>
  <c r="K28" i="12"/>
  <c r="J28" i="12"/>
  <c r="M26" i="12"/>
  <c r="L26" i="12"/>
  <c r="K26" i="12"/>
  <c r="J26" i="12"/>
  <c r="M24" i="12"/>
  <c r="L24" i="12"/>
  <c r="K24" i="12"/>
  <c r="J24" i="12"/>
  <c r="M23" i="12"/>
  <c r="L23" i="12"/>
  <c r="K23" i="12"/>
  <c r="M22" i="12"/>
  <c r="L22" i="12"/>
  <c r="K22" i="12"/>
  <c r="M21" i="12"/>
  <c r="L21" i="12"/>
  <c r="K21" i="12"/>
  <c r="M20" i="12"/>
  <c r="L20" i="12"/>
  <c r="K20" i="12"/>
  <c r="M19" i="12"/>
  <c r="L19" i="12"/>
  <c r="K19" i="12"/>
  <c r="M18" i="12"/>
  <c r="L18" i="12"/>
  <c r="K18" i="12"/>
  <c r="J18" i="12"/>
  <c r="M15" i="12"/>
  <c r="L15" i="12"/>
  <c r="K15" i="12"/>
  <c r="J15" i="12"/>
  <c r="M14" i="12"/>
  <c r="L14" i="12"/>
  <c r="K14" i="12"/>
  <c r="M13" i="12"/>
  <c r="L13" i="12"/>
  <c r="K13" i="12"/>
  <c r="M7" i="12"/>
  <c r="L7" i="12"/>
  <c r="K7" i="12"/>
  <c r="M6" i="12"/>
  <c r="L6" i="12"/>
  <c r="M10" i="12"/>
  <c r="L10" i="12"/>
  <c r="K10" i="12"/>
  <c r="J10" i="12"/>
  <c r="M9" i="12"/>
  <c r="L9" i="12"/>
  <c r="K9" i="12"/>
  <c r="M8" i="12"/>
  <c r="L8" i="12"/>
  <c r="K8" i="12"/>
  <c r="K6" i="12"/>
  <c r="J4" i="12"/>
  <c r="K4" i="12"/>
  <c r="L4" i="12"/>
  <c r="M4" i="12"/>
  <c r="J5" i="12"/>
  <c r="K5" i="12"/>
  <c r="L5" i="12"/>
  <c r="M5" i="12"/>
  <c r="B4" i="32"/>
  <c r="B4" i="31"/>
  <c r="B4" i="46"/>
  <c r="B4" i="29"/>
  <c r="B4" i="44"/>
  <c r="I15" i="34"/>
  <c r="I13" i="34"/>
  <c r="I12" i="34"/>
  <c r="I4" i="33"/>
  <c r="B10" i="35"/>
  <c r="B13" i="37"/>
  <c r="B12" i="37"/>
  <c r="B9" i="37"/>
  <c r="B10" i="37"/>
  <c r="C7" i="8"/>
  <c r="B10" i="36"/>
  <c r="B11" i="35"/>
  <c r="B9" i="35"/>
  <c r="K50" i="6"/>
  <c r="L50" i="6"/>
  <c r="J50" i="6"/>
  <c r="M48" i="6"/>
  <c r="J48" i="6"/>
  <c r="K48" i="6"/>
  <c r="L48" i="6"/>
  <c r="M51" i="6"/>
  <c r="K51" i="6"/>
  <c r="L51" i="6"/>
  <c r="J51" i="6"/>
  <c r="L49" i="6"/>
  <c r="K49" i="6"/>
  <c r="M49" i="6"/>
  <c r="J49" i="6"/>
  <c r="K47" i="6"/>
  <c r="L47" i="6"/>
  <c r="M47" i="6"/>
  <c r="J47" i="6"/>
  <c r="K46" i="6"/>
  <c r="L46" i="6"/>
  <c r="M46" i="6"/>
  <c r="J46" i="6"/>
  <c r="K45" i="6"/>
  <c r="L45" i="6"/>
  <c r="M45" i="6"/>
  <c r="J45" i="6"/>
  <c r="K44" i="6"/>
  <c r="L44" i="6"/>
  <c r="M44" i="6"/>
  <c r="J44" i="6"/>
  <c r="M7" i="6"/>
  <c r="M8" i="6"/>
  <c r="M41" i="6"/>
  <c r="L41" i="6"/>
  <c r="J41" i="6"/>
  <c r="L40" i="6"/>
  <c r="K40" i="6"/>
  <c r="M40" i="6"/>
  <c r="J40" i="6"/>
  <c r="L39" i="6"/>
  <c r="M39" i="6"/>
  <c r="J39" i="6"/>
  <c r="L38" i="6"/>
  <c r="M37" i="6"/>
  <c r="J36" i="6"/>
  <c r="J35" i="6"/>
  <c r="L36" i="6"/>
  <c r="L35" i="6"/>
  <c r="L34" i="6"/>
  <c r="L37" i="6"/>
  <c r="K37" i="6"/>
  <c r="K36" i="6"/>
  <c r="M36" i="6"/>
  <c r="J37" i="6"/>
  <c r="K35" i="6"/>
  <c r="M35" i="6"/>
  <c r="M34" i="6"/>
  <c r="K34" i="6"/>
  <c r="J34" i="6"/>
  <c r="M33" i="6"/>
  <c r="K33" i="6"/>
  <c r="L33" i="6"/>
  <c r="J33" i="6"/>
  <c r="K32" i="6"/>
  <c r="L32" i="6"/>
  <c r="M32" i="6"/>
  <c r="J32" i="6"/>
  <c r="M31" i="6"/>
  <c r="K31" i="6"/>
  <c r="L31" i="6"/>
  <c r="J31" i="6"/>
  <c r="K27" i="6"/>
  <c r="L27" i="6"/>
  <c r="M27" i="6"/>
  <c r="J27" i="6"/>
  <c r="J26" i="6"/>
  <c r="M26" i="6"/>
  <c r="L26" i="6"/>
  <c r="K26" i="6"/>
  <c r="L25" i="6"/>
  <c r="K25" i="6"/>
  <c r="J25" i="6"/>
  <c r="M24" i="6"/>
  <c r="K24" i="6"/>
  <c r="L24" i="6"/>
  <c r="J24" i="6"/>
  <c r="L23" i="6"/>
  <c r="J23" i="6"/>
  <c r="M23" i="6"/>
  <c r="K22" i="6"/>
  <c r="L22" i="6"/>
  <c r="J22" i="6"/>
  <c r="L21" i="6"/>
  <c r="M21" i="6"/>
  <c r="J21" i="6"/>
  <c r="L20" i="6"/>
  <c r="L17" i="6"/>
  <c r="J17" i="6"/>
  <c r="J16" i="6"/>
  <c r="K16" i="6"/>
  <c r="L16" i="6"/>
  <c r="L15" i="6"/>
  <c r="M15" i="6"/>
  <c r="J15" i="6"/>
  <c r="M14" i="6"/>
  <c r="L14" i="6"/>
  <c r="K14" i="6"/>
  <c r="J14" i="6"/>
  <c r="M13" i="6"/>
  <c r="L13" i="6"/>
  <c r="K13" i="6"/>
  <c r="D8" i="6"/>
  <c r="J13" i="6"/>
  <c r="L12" i="6"/>
  <c r="K12" i="6"/>
  <c r="J12" i="6"/>
  <c r="K9" i="6"/>
  <c r="L9" i="6"/>
  <c r="M9" i="6"/>
  <c r="J9" i="6"/>
  <c r="C8" i="6"/>
  <c r="L8" i="6"/>
  <c r="J8" i="6"/>
  <c r="E26" i="6"/>
  <c r="K7" i="6"/>
  <c r="L7" i="6"/>
  <c r="J7" i="6"/>
  <c r="K6" i="6"/>
  <c r="L6" i="6"/>
  <c r="M6" i="6"/>
  <c r="J6" i="6"/>
  <c r="L5" i="6"/>
  <c r="K5" i="6"/>
  <c r="M5" i="6"/>
  <c r="M4" i="6"/>
  <c r="C8" i="42"/>
  <c r="B8" i="42"/>
  <c r="J53" i="9"/>
  <c r="K53" i="9"/>
  <c r="I53" i="9"/>
  <c r="J51" i="9"/>
  <c r="K51" i="9"/>
  <c r="I51" i="9"/>
  <c r="J50" i="9"/>
  <c r="K50" i="9"/>
  <c r="J14" i="33"/>
  <c r="C8" i="41"/>
  <c r="B8" i="41"/>
  <c r="C23" i="9"/>
  <c r="B14" i="37"/>
  <c r="B11" i="37"/>
  <c r="C3" i="37"/>
  <c r="C2" i="37"/>
  <c r="B4" i="37"/>
  <c r="B11" i="36"/>
  <c r="B9" i="36"/>
  <c r="L37" i="33"/>
  <c r="K37" i="33"/>
  <c r="L15" i="34"/>
  <c r="K15" i="34"/>
  <c r="J15" i="34"/>
  <c r="L14" i="34"/>
  <c r="K14" i="34"/>
  <c r="J14" i="34"/>
  <c r="I14" i="34"/>
  <c r="L13" i="34"/>
  <c r="K13" i="34"/>
  <c r="J13" i="34"/>
  <c r="L12" i="34"/>
  <c r="K12" i="34"/>
  <c r="J12" i="34"/>
  <c r="L11" i="34"/>
  <c r="K11" i="34"/>
  <c r="J11" i="34"/>
  <c r="I11" i="34"/>
  <c r="L10" i="34"/>
  <c r="K10" i="34"/>
  <c r="J10" i="34"/>
  <c r="I10" i="34"/>
  <c r="L9" i="34"/>
  <c r="K9" i="34"/>
  <c r="J9" i="34"/>
  <c r="I9" i="34"/>
  <c r="L8" i="34"/>
  <c r="K8" i="34"/>
  <c r="J8" i="34"/>
  <c r="I8" i="34"/>
  <c r="L7" i="34"/>
  <c r="K7" i="34"/>
  <c r="J7" i="34"/>
  <c r="I7" i="34"/>
  <c r="L6" i="34"/>
  <c r="K6" i="34"/>
  <c r="J6" i="34"/>
  <c r="I6" i="34"/>
  <c r="L5" i="34"/>
  <c r="K5" i="34"/>
  <c r="J5" i="34"/>
  <c r="I5" i="34"/>
  <c r="L4" i="34"/>
  <c r="K4" i="34"/>
  <c r="J4" i="34"/>
  <c r="I4" i="34"/>
  <c r="L3" i="34"/>
  <c r="K3" i="34"/>
  <c r="J3" i="34"/>
  <c r="I3" i="34"/>
  <c r="B4" i="50"/>
  <c r="B4" i="48"/>
  <c r="J22" i="11"/>
  <c r="J12" i="11"/>
  <c r="J11" i="11"/>
  <c r="J10" i="11"/>
  <c r="K53" i="11"/>
  <c r="J53" i="11"/>
  <c r="K51" i="11"/>
  <c r="L51" i="11"/>
  <c r="J51" i="11"/>
  <c r="K50" i="11"/>
  <c r="L50" i="11"/>
  <c r="J50" i="11"/>
  <c r="K49" i="11"/>
  <c r="L49" i="11"/>
  <c r="J49" i="11"/>
  <c r="K46" i="11"/>
  <c r="J46" i="11"/>
  <c r="K45" i="11"/>
  <c r="J45" i="11"/>
  <c r="K44" i="11"/>
  <c r="L44" i="11"/>
  <c r="J44" i="11"/>
  <c r="K41" i="11"/>
  <c r="L41" i="11"/>
  <c r="J41" i="11"/>
  <c r="K40" i="11"/>
  <c r="L40" i="11"/>
  <c r="J40" i="11"/>
  <c r="K39" i="11"/>
  <c r="L39" i="11"/>
  <c r="J39" i="11"/>
  <c r="K38" i="11"/>
  <c r="L38" i="11"/>
  <c r="J38" i="11"/>
  <c r="K35" i="11"/>
  <c r="L35" i="11"/>
  <c r="J35" i="11"/>
  <c r="K33" i="11"/>
  <c r="L33" i="11"/>
  <c r="J33" i="11"/>
  <c r="K32" i="11"/>
  <c r="L32" i="11"/>
  <c r="J32" i="11"/>
  <c r="K31" i="11"/>
  <c r="L31" i="11"/>
  <c r="J31" i="11"/>
  <c r="K30" i="11"/>
  <c r="L30" i="11"/>
  <c r="J30" i="11"/>
  <c r="K29" i="11"/>
  <c r="L29" i="11"/>
  <c r="J29" i="11"/>
  <c r="K26" i="11"/>
  <c r="L26" i="11"/>
  <c r="J26" i="11"/>
  <c r="K25" i="11"/>
  <c r="L25" i="11"/>
  <c r="J25" i="11"/>
  <c r="K24" i="11"/>
  <c r="L24" i="11"/>
  <c r="K23" i="11"/>
  <c r="L23" i="11"/>
  <c r="K22" i="11"/>
  <c r="L22" i="11"/>
  <c r="K12" i="11"/>
  <c r="L12" i="11"/>
  <c r="K11" i="11"/>
  <c r="L11" i="11"/>
  <c r="K10" i="11"/>
  <c r="L10" i="11"/>
  <c r="K9" i="11"/>
  <c r="L9" i="11"/>
  <c r="J9" i="11"/>
  <c r="K8" i="11"/>
  <c r="L8" i="11"/>
  <c r="J8" i="11"/>
  <c r="K7" i="11"/>
  <c r="L7" i="11"/>
  <c r="J7" i="11"/>
  <c r="K6" i="11"/>
  <c r="L6" i="11"/>
  <c r="J6" i="11"/>
  <c r="K5" i="11"/>
  <c r="L5" i="11"/>
  <c r="J5" i="11"/>
  <c r="K4" i="11"/>
  <c r="L4" i="11"/>
  <c r="J4" i="11"/>
  <c r="K3" i="11"/>
  <c r="L3" i="11"/>
  <c r="J3" i="11"/>
  <c r="C2" i="11"/>
  <c r="I2" i="11"/>
  <c r="C3" i="11"/>
  <c r="L35" i="33"/>
  <c r="K35" i="33"/>
  <c r="J35" i="33"/>
  <c r="I35" i="33"/>
  <c r="L33" i="33"/>
  <c r="K33" i="33"/>
  <c r="J33" i="33"/>
  <c r="I33" i="33"/>
  <c r="L32" i="33"/>
  <c r="K32" i="33"/>
  <c r="J32" i="33"/>
  <c r="I32" i="33"/>
  <c r="L31" i="33"/>
  <c r="K31" i="33"/>
  <c r="J31" i="33"/>
  <c r="I31" i="33"/>
  <c r="L28" i="33"/>
  <c r="K28" i="33"/>
  <c r="J28" i="33"/>
  <c r="I28" i="33"/>
  <c r="L27" i="33"/>
  <c r="K27" i="33"/>
  <c r="J27" i="33"/>
  <c r="I27" i="33"/>
  <c r="L26" i="33"/>
  <c r="K26" i="33"/>
  <c r="J26" i="33"/>
  <c r="I26" i="33"/>
  <c r="L23" i="33"/>
  <c r="K23" i="33"/>
  <c r="J23" i="33"/>
  <c r="I23" i="33"/>
  <c r="L22" i="33"/>
  <c r="K22" i="33"/>
  <c r="J22" i="33"/>
  <c r="I22" i="33"/>
  <c r="L21" i="33"/>
  <c r="K21" i="33"/>
  <c r="J21" i="33"/>
  <c r="I21" i="33"/>
  <c r="L20" i="33"/>
  <c r="K20" i="33"/>
  <c r="J20" i="33"/>
  <c r="I20" i="33"/>
  <c r="L17" i="33"/>
  <c r="K17" i="33"/>
  <c r="L15" i="33"/>
  <c r="K15" i="33"/>
  <c r="J15" i="33"/>
  <c r="J17" i="33" s="1"/>
  <c r="J37" i="33" s="1"/>
  <c r="I15" i="33"/>
  <c r="L14" i="33"/>
  <c r="K14" i="33"/>
  <c r="I14" i="33"/>
  <c r="L13" i="33"/>
  <c r="K13" i="33"/>
  <c r="J13" i="33"/>
  <c r="I13" i="33"/>
  <c r="L12" i="33"/>
  <c r="K12" i="33"/>
  <c r="J12" i="33"/>
  <c r="I12" i="33"/>
  <c r="L11" i="33"/>
  <c r="K11" i="33"/>
  <c r="J11" i="33"/>
  <c r="I11" i="33"/>
  <c r="L8" i="33"/>
  <c r="K8" i="33"/>
  <c r="J8" i="33"/>
  <c r="I8" i="33"/>
  <c r="I17" i="33" s="1"/>
  <c r="I37" i="33" s="1"/>
  <c r="L7" i="33"/>
  <c r="K7" i="33"/>
  <c r="J7" i="33"/>
  <c r="I7" i="33"/>
  <c r="L6" i="33"/>
  <c r="K6" i="33"/>
  <c r="J6" i="33"/>
  <c r="I6" i="33"/>
  <c r="L5" i="33"/>
  <c r="K5" i="33"/>
  <c r="J5" i="33"/>
  <c r="I5" i="33"/>
  <c r="L4" i="33"/>
  <c r="K4" i="33"/>
  <c r="J4" i="33"/>
  <c r="A25" i="24"/>
  <c r="C7" i="42"/>
  <c r="B7" i="42"/>
  <c r="B4" i="42"/>
  <c r="C7" i="41"/>
  <c r="B7" i="41"/>
  <c r="D44" i="12"/>
  <c r="E44" i="12"/>
  <c r="F44" i="12"/>
  <c r="C2" i="33"/>
  <c r="C2" i="34"/>
  <c r="E8" i="42"/>
  <c r="E7" i="42"/>
  <c r="D3" i="8"/>
  <c r="E3" i="8"/>
  <c r="F3" i="8"/>
  <c r="G3" i="8"/>
  <c r="D2" i="8"/>
  <c r="E2" i="8"/>
  <c r="F2" i="8"/>
  <c r="G2" i="8"/>
  <c r="D40" i="12"/>
  <c r="E40" i="12"/>
  <c r="F40" i="12"/>
  <c r="C31" i="12"/>
  <c r="D30" i="12"/>
  <c r="E30" i="12"/>
  <c r="F5" i="12"/>
  <c r="F8" i="12"/>
  <c r="F10" i="12"/>
  <c r="E5" i="12"/>
  <c r="E8" i="12"/>
  <c r="E10" i="12"/>
  <c r="D5" i="12"/>
  <c r="D8" i="12"/>
  <c r="D10" i="12"/>
  <c r="C5" i="12"/>
  <c r="C8" i="12"/>
  <c r="C10" i="12"/>
  <c r="F30" i="12"/>
  <c r="F31" i="12"/>
  <c r="E31" i="12"/>
  <c r="D31" i="12"/>
  <c r="B3" i="42"/>
  <c r="C5" i="40"/>
  <c r="B5" i="40"/>
  <c r="B8" i="40"/>
  <c r="C8" i="40"/>
  <c r="B9" i="40"/>
  <c r="C9" i="40"/>
  <c r="B10" i="40"/>
  <c r="C10" i="40"/>
  <c r="C7" i="40"/>
  <c r="B7" i="40"/>
  <c r="D4" i="40"/>
  <c r="D3" i="40"/>
  <c r="C2" i="40"/>
  <c r="D4" i="39"/>
  <c r="D3" i="39"/>
  <c r="C2" i="39"/>
  <c r="B2" i="39" s="1"/>
  <c r="C5" i="39"/>
  <c r="B8" i="39"/>
  <c r="E8" i="39" s="1"/>
  <c r="C8" i="39"/>
  <c r="B9" i="39"/>
  <c r="C9" i="39"/>
  <c r="B10" i="39"/>
  <c r="C10" i="39"/>
  <c r="C14" i="39" s="1"/>
  <c r="C7" i="39"/>
  <c r="B7" i="39"/>
  <c r="B5" i="39"/>
  <c r="B4" i="36"/>
  <c r="D5" i="39"/>
  <c r="D5" i="38"/>
  <c r="A3" i="35"/>
  <c r="A4" i="35"/>
  <c r="A5" i="35"/>
  <c r="I2" i="33"/>
  <c r="I2" i="34"/>
  <c r="D2" i="33"/>
  <c r="E2" i="33"/>
  <c r="F2" i="33"/>
  <c r="L2" i="33"/>
  <c r="D2" i="34"/>
  <c r="E2" i="34"/>
  <c r="F2" i="34"/>
  <c r="L2" i="34"/>
  <c r="J2" i="34"/>
  <c r="J2" i="33"/>
  <c r="K2" i="34"/>
  <c r="K2" i="33"/>
  <c r="I23" i="12"/>
  <c r="I22" i="12"/>
  <c r="I21" i="12"/>
  <c r="I20" i="12"/>
  <c r="I19" i="12"/>
  <c r="I18" i="12"/>
  <c r="I14" i="12"/>
  <c r="I13" i="12"/>
  <c r="I9" i="12"/>
  <c r="I8" i="12"/>
  <c r="I7" i="12"/>
  <c r="I6" i="12"/>
  <c r="I5" i="12"/>
  <c r="I4" i="12"/>
  <c r="B55" i="6"/>
  <c r="B53" i="6"/>
  <c r="B51" i="6"/>
  <c r="C50" i="6"/>
  <c r="B50" i="6"/>
  <c r="F49" i="6"/>
  <c r="E49" i="6"/>
  <c r="D49" i="6"/>
  <c r="C49" i="6"/>
  <c r="B49" i="6"/>
  <c r="B48" i="6"/>
  <c r="B46" i="6"/>
  <c r="F45" i="6"/>
  <c r="E45" i="6"/>
  <c r="D45" i="6"/>
  <c r="C45" i="6"/>
  <c r="B45" i="6"/>
  <c r="C44" i="6"/>
  <c r="B44" i="6"/>
  <c r="B43" i="6"/>
  <c r="B41" i="6"/>
  <c r="C40" i="6"/>
  <c r="B40" i="6"/>
  <c r="F39" i="6"/>
  <c r="E39" i="6"/>
  <c r="D39" i="6"/>
  <c r="C39" i="6"/>
  <c r="B39" i="6"/>
  <c r="F38" i="6"/>
  <c r="E38" i="6"/>
  <c r="D38" i="6"/>
  <c r="C38" i="6"/>
  <c r="B38" i="6"/>
  <c r="B37" i="6"/>
  <c r="B35" i="6"/>
  <c r="B33" i="6"/>
  <c r="C32" i="6"/>
  <c r="B32" i="6"/>
  <c r="B31" i="6"/>
  <c r="C30" i="6"/>
  <c r="B30" i="6"/>
  <c r="F29" i="6"/>
  <c r="E29" i="6"/>
  <c r="D29" i="6"/>
  <c r="C29" i="6"/>
  <c r="B29" i="6"/>
  <c r="B28" i="6"/>
  <c r="B26" i="6"/>
  <c r="F25" i="6"/>
  <c r="E25" i="6"/>
  <c r="D25" i="6"/>
  <c r="C25" i="6"/>
  <c r="B25" i="6"/>
  <c r="F24" i="6"/>
  <c r="E24" i="6"/>
  <c r="D24" i="6"/>
  <c r="C24" i="6"/>
  <c r="B24" i="6"/>
  <c r="F23" i="6"/>
  <c r="E23" i="6"/>
  <c r="D23" i="6"/>
  <c r="C23" i="6"/>
  <c r="B23" i="6"/>
  <c r="F22" i="6"/>
  <c r="E22" i="6"/>
  <c r="D22" i="6"/>
  <c r="C22" i="6"/>
  <c r="B22" i="6"/>
  <c r="B21" i="6"/>
  <c r="F17" i="6"/>
  <c r="E17" i="6"/>
  <c r="D17" i="6"/>
  <c r="C17" i="6"/>
  <c r="B17" i="6"/>
  <c r="F16" i="6"/>
  <c r="E16" i="6"/>
  <c r="D16" i="6"/>
  <c r="C16" i="6"/>
  <c r="B16" i="6"/>
  <c r="B14" i="6"/>
  <c r="F13" i="6"/>
  <c r="E13" i="6"/>
  <c r="D13" i="6"/>
  <c r="C13" i="6"/>
  <c r="B13" i="6"/>
  <c r="B12" i="6"/>
  <c r="B11" i="6"/>
  <c r="A11" i="6"/>
  <c r="B10" i="6"/>
  <c r="F9" i="6"/>
  <c r="E9" i="6"/>
  <c r="D9" i="6"/>
  <c r="C9" i="6"/>
  <c r="B9" i="6"/>
  <c r="B8" i="6"/>
  <c r="F7" i="6"/>
  <c r="E7" i="6"/>
  <c r="D7" i="6"/>
  <c r="C7" i="6"/>
  <c r="B7" i="6"/>
  <c r="F6" i="6"/>
  <c r="E6" i="6"/>
  <c r="D6" i="6"/>
  <c r="C6" i="6"/>
  <c r="B6" i="6"/>
  <c r="B5" i="6"/>
  <c r="F4" i="6"/>
  <c r="E4" i="6"/>
  <c r="D4" i="6"/>
  <c r="C4" i="6"/>
  <c r="B4" i="6"/>
  <c r="F3" i="6"/>
  <c r="E3" i="6"/>
  <c r="D3" i="6"/>
  <c r="C3" i="6"/>
  <c r="B3" i="6"/>
  <c r="C2" i="6"/>
  <c r="C20" i="6"/>
  <c r="B55" i="9"/>
  <c r="B53" i="9"/>
  <c r="B51" i="9"/>
  <c r="C50" i="9"/>
  <c r="B50" i="9"/>
  <c r="F49" i="9"/>
  <c r="E49" i="9"/>
  <c r="D49" i="9"/>
  <c r="C49" i="9"/>
  <c r="B49" i="9"/>
  <c r="B48" i="9"/>
  <c r="B46" i="9"/>
  <c r="F45" i="9"/>
  <c r="E45" i="9"/>
  <c r="D45" i="9"/>
  <c r="C45" i="9"/>
  <c r="B45" i="9"/>
  <c r="C44" i="9"/>
  <c r="C46" i="9"/>
  <c r="B44" i="9"/>
  <c r="B43" i="9"/>
  <c r="B41" i="9"/>
  <c r="C40" i="9"/>
  <c r="B40" i="9"/>
  <c r="F39" i="9"/>
  <c r="E39" i="9"/>
  <c r="D39" i="9"/>
  <c r="C39" i="9"/>
  <c r="B39" i="9"/>
  <c r="F38" i="9"/>
  <c r="E38" i="9"/>
  <c r="D38" i="9"/>
  <c r="C38" i="9"/>
  <c r="B38" i="9"/>
  <c r="B37" i="9"/>
  <c r="B35" i="9"/>
  <c r="B33" i="9"/>
  <c r="C32" i="9"/>
  <c r="B32" i="9"/>
  <c r="B31" i="9"/>
  <c r="C30" i="9"/>
  <c r="B30" i="9"/>
  <c r="F29" i="9"/>
  <c r="E29" i="9"/>
  <c r="D29" i="9"/>
  <c r="C29" i="9"/>
  <c r="B29" i="9"/>
  <c r="B28" i="9"/>
  <c r="B26" i="9"/>
  <c r="F25" i="9"/>
  <c r="E25" i="9"/>
  <c r="D25" i="9"/>
  <c r="C25" i="9"/>
  <c r="B25" i="9"/>
  <c r="F24" i="9"/>
  <c r="E24" i="9"/>
  <c r="D24" i="9"/>
  <c r="C24" i="9"/>
  <c r="B24" i="9"/>
  <c r="F23" i="9"/>
  <c r="E23" i="9"/>
  <c r="D23" i="9"/>
  <c r="B23" i="9"/>
  <c r="F22" i="9"/>
  <c r="E22" i="9"/>
  <c r="D22" i="9"/>
  <c r="C22" i="9"/>
  <c r="B22" i="9"/>
  <c r="B21" i="9"/>
  <c r="F17" i="9"/>
  <c r="E17" i="9"/>
  <c r="D17" i="9"/>
  <c r="C17" i="9"/>
  <c r="B17" i="9"/>
  <c r="F16" i="9"/>
  <c r="E16" i="9"/>
  <c r="D16" i="9"/>
  <c r="C16" i="9"/>
  <c r="B16" i="9"/>
  <c r="B14" i="9"/>
  <c r="F13" i="9"/>
  <c r="E13" i="9"/>
  <c r="D13" i="9"/>
  <c r="C13" i="9"/>
  <c r="B13" i="9"/>
  <c r="B12" i="9"/>
  <c r="B11" i="9"/>
  <c r="A11" i="9"/>
  <c r="B10" i="9"/>
  <c r="F9" i="9"/>
  <c r="E9" i="9"/>
  <c r="D9" i="9"/>
  <c r="C9" i="9"/>
  <c r="B9" i="9"/>
  <c r="B8" i="9"/>
  <c r="F7" i="9"/>
  <c r="E7" i="9"/>
  <c r="D7" i="9"/>
  <c r="C7" i="9"/>
  <c r="B7" i="9"/>
  <c r="F6" i="9"/>
  <c r="E6" i="9"/>
  <c r="D6" i="9"/>
  <c r="C6" i="9"/>
  <c r="B6" i="9"/>
  <c r="B5" i="9"/>
  <c r="F4" i="9"/>
  <c r="E4" i="9"/>
  <c r="D4" i="9"/>
  <c r="C4" i="9"/>
  <c r="B4" i="9"/>
  <c r="F3" i="9"/>
  <c r="L3" i="9" s="1"/>
  <c r="E3" i="9"/>
  <c r="K3" i="9" s="1"/>
  <c r="D3" i="9"/>
  <c r="J3" i="9" s="1"/>
  <c r="C3" i="9"/>
  <c r="B3" i="9"/>
  <c r="C2" i="9"/>
  <c r="C20" i="9"/>
  <c r="B55" i="20"/>
  <c r="B53" i="20"/>
  <c r="B51" i="20"/>
  <c r="C50" i="20"/>
  <c r="B50" i="20"/>
  <c r="F49" i="20"/>
  <c r="E49" i="20"/>
  <c r="D49" i="20"/>
  <c r="C49" i="20"/>
  <c r="B49" i="20"/>
  <c r="B48" i="20"/>
  <c r="B46" i="20"/>
  <c r="F45" i="20"/>
  <c r="E45" i="20"/>
  <c r="D45" i="20"/>
  <c r="C45" i="20"/>
  <c r="B45" i="20"/>
  <c r="C44" i="20"/>
  <c r="C46" i="20"/>
  <c r="B44" i="20"/>
  <c r="B43" i="20"/>
  <c r="B41" i="20"/>
  <c r="C40" i="20"/>
  <c r="B40" i="20"/>
  <c r="F39" i="20"/>
  <c r="E39" i="20"/>
  <c r="D39" i="20"/>
  <c r="C39" i="20"/>
  <c r="B39" i="20"/>
  <c r="F38" i="20"/>
  <c r="E38" i="20"/>
  <c r="D38" i="20"/>
  <c r="C38" i="20"/>
  <c r="B38" i="20"/>
  <c r="B37" i="20"/>
  <c r="B35" i="20"/>
  <c r="B33" i="20"/>
  <c r="C32" i="20"/>
  <c r="B32" i="20"/>
  <c r="B31" i="20"/>
  <c r="C30" i="20"/>
  <c r="B30" i="20"/>
  <c r="F29" i="20"/>
  <c r="E29" i="20"/>
  <c r="D29" i="20"/>
  <c r="C29" i="20"/>
  <c r="B29" i="20"/>
  <c r="B28" i="20"/>
  <c r="B26" i="20"/>
  <c r="F25" i="20"/>
  <c r="E25" i="20"/>
  <c r="D25" i="20"/>
  <c r="C25" i="20"/>
  <c r="B25" i="20"/>
  <c r="F24" i="20"/>
  <c r="E24" i="20"/>
  <c r="D24" i="20"/>
  <c r="C24" i="20"/>
  <c r="B24" i="20"/>
  <c r="F23" i="20"/>
  <c r="E23" i="20"/>
  <c r="D23" i="20"/>
  <c r="C23" i="20"/>
  <c r="B23" i="20"/>
  <c r="F22" i="20"/>
  <c r="E22" i="20"/>
  <c r="D22" i="20"/>
  <c r="C22" i="20"/>
  <c r="B22" i="20"/>
  <c r="B21" i="20"/>
  <c r="F17" i="20"/>
  <c r="E17" i="20"/>
  <c r="D17" i="20"/>
  <c r="C17" i="20"/>
  <c r="B17" i="20"/>
  <c r="F16" i="20"/>
  <c r="E16" i="20"/>
  <c r="D16" i="20"/>
  <c r="C16" i="20"/>
  <c r="B16" i="20"/>
  <c r="B14" i="20"/>
  <c r="F13" i="20"/>
  <c r="E13" i="20"/>
  <c r="D13" i="20"/>
  <c r="C13" i="20"/>
  <c r="B13" i="20"/>
  <c r="B12" i="20"/>
  <c r="B11" i="20"/>
  <c r="A11" i="20"/>
  <c r="B10" i="20"/>
  <c r="F9" i="20"/>
  <c r="E9" i="20"/>
  <c r="D9" i="20"/>
  <c r="C9" i="20"/>
  <c r="B9" i="20"/>
  <c r="B8" i="20"/>
  <c r="F7" i="20"/>
  <c r="E7" i="20"/>
  <c r="D7" i="20"/>
  <c r="C7" i="20"/>
  <c r="B7" i="20"/>
  <c r="F6" i="20"/>
  <c r="E6" i="20"/>
  <c r="D6" i="20"/>
  <c r="C6" i="20"/>
  <c r="B6" i="20"/>
  <c r="B5" i="20"/>
  <c r="F4" i="20"/>
  <c r="E4" i="20"/>
  <c r="D4" i="20"/>
  <c r="C4" i="20"/>
  <c r="B4" i="20"/>
  <c r="F3" i="20"/>
  <c r="E3" i="20"/>
  <c r="D3" i="20"/>
  <c r="C3" i="20"/>
  <c r="B3" i="20"/>
  <c r="C2" i="20"/>
  <c r="C20" i="20"/>
  <c r="B55" i="11"/>
  <c r="B53" i="11"/>
  <c r="B51" i="11"/>
  <c r="B50" i="11"/>
  <c r="B49" i="11"/>
  <c r="B48" i="11"/>
  <c r="B46" i="11"/>
  <c r="B45" i="11"/>
  <c r="B44" i="11"/>
  <c r="B43" i="11"/>
  <c r="B41" i="11"/>
  <c r="B40" i="11"/>
  <c r="B39" i="11"/>
  <c r="B38" i="11"/>
  <c r="B37" i="11"/>
  <c r="B35" i="11"/>
  <c r="B33" i="11"/>
  <c r="B32" i="11"/>
  <c r="B31" i="11"/>
  <c r="B30" i="11"/>
  <c r="B29" i="11"/>
  <c r="B28" i="11"/>
  <c r="B26" i="11"/>
  <c r="B25" i="11"/>
  <c r="B24" i="11"/>
  <c r="B23" i="11"/>
  <c r="B22" i="11"/>
  <c r="B21" i="11"/>
  <c r="A11" i="11"/>
  <c r="B8" i="11"/>
  <c r="B9" i="11"/>
  <c r="B10" i="11"/>
  <c r="B11" i="11"/>
  <c r="B12" i="11"/>
  <c r="B13" i="11"/>
  <c r="B14" i="11"/>
  <c r="B16" i="11"/>
  <c r="B17" i="11"/>
  <c r="B7" i="11"/>
  <c r="B6" i="11"/>
  <c r="B5" i="11"/>
  <c r="B4" i="11"/>
  <c r="B3" i="11"/>
  <c r="C50" i="11"/>
  <c r="F49" i="11"/>
  <c r="E49" i="11"/>
  <c r="D49" i="11"/>
  <c r="C49" i="11"/>
  <c r="F45" i="11"/>
  <c r="L45" i="11" s="1"/>
  <c r="E45" i="11"/>
  <c r="D45" i="11"/>
  <c r="C45" i="11"/>
  <c r="C44" i="11"/>
  <c r="C40" i="11"/>
  <c r="F39" i="11"/>
  <c r="E39" i="11"/>
  <c r="D39" i="11"/>
  <c r="C39" i="11"/>
  <c r="F38" i="11"/>
  <c r="E38" i="11"/>
  <c r="D38" i="11"/>
  <c r="C38" i="11"/>
  <c r="C32" i="11"/>
  <c r="C30" i="11"/>
  <c r="F29" i="11"/>
  <c r="E29" i="11"/>
  <c r="D29" i="11"/>
  <c r="C29" i="11"/>
  <c r="F25" i="11"/>
  <c r="E25" i="11"/>
  <c r="D25" i="11"/>
  <c r="C25" i="11"/>
  <c r="F24" i="11"/>
  <c r="E24" i="11"/>
  <c r="D24" i="11"/>
  <c r="C24" i="11"/>
  <c r="F23" i="11"/>
  <c r="E23" i="11"/>
  <c r="D23" i="11"/>
  <c r="C23" i="11"/>
  <c r="F22" i="11"/>
  <c r="E22" i="11"/>
  <c r="D22" i="11"/>
  <c r="C22" i="11"/>
  <c r="F17" i="11"/>
  <c r="E17" i="11"/>
  <c r="D17" i="11"/>
  <c r="C17" i="11"/>
  <c r="F16" i="11"/>
  <c r="E16" i="11"/>
  <c r="D16" i="11"/>
  <c r="C16" i="11"/>
  <c r="F13" i="11"/>
  <c r="E13" i="11"/>
  <c r="D13" i="11"/>
  <c r="C13" i="11"/>
  <c r="F9" i="11"/>
  <c r="E9" i="11"/>
  <c r="D9" i="11"/>
  <c r="C9" i="11"/>
  <c r="F7" i="11"/>
  <c r="E7" i="11"/>
  <c r="D7" i="11"/>
  <c r="C7" i="11"/>
  <c r="F6" i="11"/>
  <c r="E6" i="11"/>
  <c r="D6" i="11"/>
  <c r="C6" i="11"/>
  <c r="D3" i="11"/>
  <c r="E3" i="11"/>
  <c r="F3" i="11"/>
  <c r="D4" i="11"/>
  <c r="E4" i="11"/>
  <c r="F4" i="11"/>
  <c r="C4" i="11"/>
  <c r="C51" i="20"/>
  <c r="C5" i="6"/>
  <c r="C26" i="9"/>
  <c r="F5" i="20"/>
  <c r="F8" i="20"/>
  <c r="F10" i="20"/>
  <c r="F11" i="20"/>
  <c r="F12" i="20"/>
  <c r="F14" i="20"/>
  <c r="E5" i="20"/>
  <c r="E8" i="20"/>
  <c r="E10" i="20"/>
  <c r="E11" i="20"/>
  <c r="E12" i="20"/>
  <c r="E14" i="20"/>
  <c r="C41" i="20"/>
  <c r="F26" i="20"/>
  <c r="C41" i="9"/>
  <c r="C31" i="6"/>
  <c r="C33" i="6"/>
  <c r="C51" i="9"/>
  <c r="C51" i="6"/>
  <c r="C46" i="6"/>
  <c r="C41" i="6"/>
  <c r="C31" i="9"/>
  <c r="C33" i="9"/>
  <c r="C31" i="20"/>
  <c r="C33" i="20"/>
  <c r="C26" i="20"/>
  <c r="D26" i="9"/>
  <c r="F26" i="6"/>
  <c r="D26" i="20"/>
  <c r="J26" i="20"/>
  <c r="E26" i="9"/>
  <c r="C26" i="6"/>
  <c r="E26" i="20"/>
  <c r="K26" i="20"/>
  <c r="F26" i="9"/>
  <c r="C10" i="6"/>
  <c r="C11" i="6"/>
  <c r="C12" i="6"/>
  <c r="C14" i="6"/>
  <c r="F5" i="6"/>
  <c r="F8" i="6"/>
  <c r="C5" i="20"/>
  <c r="C8" i="20"/>
  <c r="C10" i="20"/>
  <c r="C11" i="20"/>
  <c r="C12" i="20"/>
  <c r="C14" i="20"/>
  <c r="E5" i="9"/>
  <c r="K5" i="9" s="1"/>
  <c r="E8" i="9"/>
  <c r="K8" i="9" s="1"/>
  <c r="E10" i="9"/>
  <c r="K10" i="9" s="1"/>
  <c r="E11" i="9"/>
  <c r="K11" i="9" s="1"/>
  <c r="E12" i="9"/>
  <c r="K12" i="9" s="1"/>
  <c r="E14" i="9"/>
  <c r="D5" i="6"/>
  <c r="D5" i="9"/>
  <c r="J5" i="9" s="1"/>
  <c r="D8" i="9"/>
  <c r="J8" i="9" s="1"/>
  <c r="D10" i="9"/>
  <c r="J10" i="9" s="1"/>
  <c r="D11" i="9"/>
  <c r="J11" i="9" s="1"/>
  <c r="D12" i="9"/>
  <c r="J12" i="9" s="1"/>
  <c r="D14" i="9"/>
  <c r="D50" i="9"/>
  <c r="D5" i="20"/>
  <c r="J5" i="20" s="1"/>
  <c r="D8" i="20"/>
  <c r="J8" i="20" s="1"/>
  <c r="D10" i="20"/>
  <c r="J10" i="20" s="1"/>
  <c r="D11" i="20"/>
  <c r="J11" i="20" s="1"/>
  <c r="D12" i="20"/>
  <c r="J12" i="20" s="1"/>
  <c r="D14" i="20"/>
  <c r="D50" i="20"/>
  <c r="J50" i="20" s="1"/>
  <c r="F5" i="9"/>
  <c r="L5" i="9" s="1"/>
  <c r="F8" i="9"/>
  <c r="L8" i="9" s="1"/>
  <c r="F10" i="9"/>
  <c r="L10" i="9" s="1"/>
  <c r="F11" i="9"/>
  <c r="L11" i="9" s="1"/>
  <c r="F12" i="9"/>
  <c r="L12" i="9" s="1"/>
  <c r="F14" i="9"/>
  <c r="E5" i="6"/>
  <c r="E8" i="6"/>
  <c r="C53" i="20"/>
  <c r="C35" i="9"/>
  <c r="I35" i="9" s="1"/>
  <c r="C53" i="9"/>
  <c r="E10" i="6"/>
  <c r="E11" i="6"/>
  <c r="E12" i="6"/>
  <c r="F10" i="6"/>
  <c r="F11" i="6"/>
  <c r="F12" i="6"/>
  <c r="D10" i="6"/>
  <c r="D11" i="6"/>
  <c r="D12" i="6"/>
  <c r="C35" i="6"/>
  <c r="C35" i="20"/>
  <c r="C53" i="6"/>
  <c r="E50" i="9"/>
  <c r="D51" i="9"/>
  <c r="E50" i="20"/>
  <c r="K50" i="20" s="1"/>
  <c r="D51" i="20"/>
  <c r="J51" i="20" s="1"/>
  <c r="C55" i="20"/>
  <c r="C55" i="9"/>
  <c r="F14" i="6"/>
  <c r="D14" i="6"/>
  <c r="E14" i="6"/>
  <c r="C55" i="6"/>
  <c r="F50" i="9"/>
  <c r="F51" i="9"/>
  <c r="E51" i="9"/>
  <c r="F50" i="20"/>
  <c r="L50" i="20" s="1"/>
  <c r="F51" i="20"/>
  <c r="E51" i="20"/>
  <c r="K51" i="20" s="1"/>
  <c r="D50" i="6"/>
  <c r="H25" i="9"/>
  <c r="H24" i="9"/>
  <c r="H23" i="9"/>
  <c r="H25" i="11"/>
  <c r="H24" i="11"/>
  <c r="H23" i="11"/>
  <c r="H25" i="20"/>
  <c r="H24" i="20"/>
  <c r="H23" i="20"/>
  <c r="H53" i="20"/>
  <c r="H51" i="20"/>
  <c r="H50" i="20"/>
  <c r="H49" i="20"/>
  <c r="H48" i="20"/>
  <c r="H46" i="20"/>
  <c r="H45" i="20"/>
  <c r="H44" i="20"/>
  <c r="H43" i="20"/>
  <c r="H41" i="20"/>
  <c r="H40" i="20"/>
  <c r="H39" i="20"/>
  <c r="H38" i="20"/>
  <c r="H37" i="20"/>
  <c r="H35" i="20"/>
  <c r="H33" i="20"/>
  <c r="H32" i="20"/>
  <c r="H31" i="20"/>
  <c r="H30" i="20"/>
  <c r="H29" i="20"/>
  <c r="H28" i="20"/>
  <c r="H26" i="20"/>
  <c r="H22" i="20"/>
  <c r="H21" i="20"/>
  <c r="I20" i="20"/>
  <c r="H12" i="20"/>
  <c r="H11" i="20"/>
  <c r="H10" i="20"/>
  <c r="H9" i="20"/>
  <c r="H8" i="20"/>
  <c r="H7" i="20"/>
  <c r="H6" i="20"/>
  <c r="H5" i="20"/>
  <c r="H4" i="20"/>
  <c r="H3" i="20"/>
  <c r="I2" i="20"/>
  <c r="D51" i="6"/>
  <c r="E50" i="6"/>
  <c r="E51" i="6"/>
  <c r="F50" i="6"/>
  <c r="F51" i="6"/>
  <c r="I2" i="9"/>
  <c r="C51" i="12"/>
  <c r="C46" i="12"/>
  <c r="C41" i="12"/>
  <c r="C33" i="12"/>
  <c r="F26" i="12"/>
  <c r="E26" i="12"/>
  <c r="D26" i="12"/>
  <c r="C26" i="12"/>
  <c r="C20" i="12"/>
  <c r="J2" i="12"/>
  <c r="D2" i="12"/>
  <c r="H53" i="11"/>
  <c r="H51" i="11"/>
  <c r="C51" i="11"/>
  <c r="H50" i="11"/>
  <c r="H49" i="11"/>
  <c r="H48" i="11"/>
  <c r="H46" i="11"/>
  <c r="C46" i="11"/>
  <c r="H45" i="11"/>
  <c r="H44" i="11"/>
  <c r="H43" i="11"/>
  <c r="H41" i="11"/>
  <c r="C41" i="11"/>
  <c r="H40" i="11"/>
  <c r="H39" i="11"/>
  <c r="H38" i="11"/>
  <c r="H37" i="11"/>
  <c r="H35" i="11"/>
  <c r="H33" i="11"/>
  <c r="H32" i="11"/>
  <c r="H31" i="11"/>
  <c r="C31" i="11"/>
  <c r="H30" i="11"/>
  <c r="H29" i="11"/>
  <c r="H28" i="11"/>
  <c r="H26" i="11"/>
  <c r="F26" i="11"/>
  <c r="E26" i="11"/>
  <c r="D26" i="11"/>
  <c r="C26" i="11"/>
  <c r="H22" i="11"/>
  <c r="H21" i="11"/>
  <c r="C20" i="11"/>
  <c r="I20" i="11"/>
  <c r="H12" i="11"/>
  <c r="H11" i="11"/>
  <c r="H10" i="11"/>
  <c r="H9" i="11"/>
  <c r="H8" i="11"/>
  <c r="H7" i="11"/>
  <c r="H6" i="11"/>
  <c r="H5" i="11"/>
  <c r="F5" i="11"/>
  <c r="E5" i="11"/>
  <c r="D5" i="11"/>
  <c r="D8" i="11"/>
  <c r="D10" i="11"/>
  <c r="D11" i="11"/>
  <c r="C5" i="11"/>
  <c r="H4" i="11"/>
  <c r="H3" i="11"/>
  <c r="H53" i="9"/>
  <c r="H51" i="9"/>
  <c r="H50" i="9"/>
  <c r="H49" i="9"/>
  <c r="H48" i="9"/>
  <c r="H46" i="9"/>
  <c r="H45" i="9"/>
  <c r="H44" i="9"/>
  <c r="H43" i="9"/>
  <c r="H41" i="9"/>
  <c r="H40" i="9"/>
  <c r="H39" i="9"/>
  <c r="H38" i="9"/>
  <c r="H37" i="9"/>
  <c r="H35" i="9"/>
  <c r="H33" i="9"/>
  <c r="H32" i="9"/>
  <c r="H31" i="9"/>
  <c r="H30" i="9"/>
  <c r="H29" i="9"/>
  <c r="H28" i="9"/>
  <c r="H26" i="9"/>
  <c r="H22" i="9"/>
  <c r="H21" i="9"/>
  <c r="I20" i="9"/>
  <c r="H12" i="9"/>
  <c r="H11" i="9"/>
  <c r="H10" i="9"/>
  <c r="H9" i="9"/>
  <c r="H8" i="9"/>
  <c r="H7" i="9"/>
  <c r="H6" i="9"/>
  <c r="H5" i="9"/>
  <c r="H4" i="9"/>
  <c r="H3" i="9"/>
  <c r="C11" i="12"/>
  <c r="C12" i="12"/>
  <c r="C14" i="12"/>
  <c r="D40" i="9"/>
  <c r="D41" i="9"/>
  <c r="D40" i="20"/>
  <c r="J40" i="20" s="1"/>
  <c r="D40" i="6"/>
  <c r="D41" i="6"/>
  <c r="D40" i="11"/>
  <c r="D32" i="9"/>
  <c r="D32" i="20"/>
  <c r="J32" i="20"/>
  <c r="D32" i="11"/>
  <c r="D32" i="6"/>
  <c r="D30" i="20"/>
  <c r="J30" i="20"/>
  <c r="D30" i="6"/>
  <c r="D31" i="6"/>
  <c r="D30" i="11"/>
  <c r="D31" i="11"/>
  <c r="D30" i="9"/>
  <c r="D31" i="9"/>
  <c r="D20" i="12"/>
  <c r="D2" i="6"/>
  <c r="D20" i="6"/>
  <c r="D2" i="20"/>
  <c r="D2" i="11"/>
  <c r="J2" i="11"/>
  <c r="D2" i="9"/>
  <c r="D20" i="9"/>
  <c r="J20" i="9"/>
  <c r="D41" i="12"/>
  <c r="F8" i="11"/>
  <c r="K2" i="12"/>
  <c r="E41" i="12"/>
  <c r="E2" i="12"/>
  <c r="B2" i="51"/>
  <c r="C2" i="51"/>
  <c r="F2" i="51"/>
  <c r="C53" i="12"/>
  <c r="C35" i="12"/>
  <c r="D12" i="11"/>
  <c r="E8" i="11"/>
  <c r="C8" i="11"/>
  <c r="C33" i="11"/>
  <c r="C53" i="11"/>
  <c r="C1" i="8"/>
  <c r="C10" i="8"/>
  <c r="C12" i="8" s="1"/>
  <c r="B6" i="8"/>
  <c r="D6" i="8"/>
  <c r="E6" i="8"/>
  <c r="F6" i="8"/>
  <c r="G6" i="8"/>
  <c r="B7" i="8"/>
  <c r="B8" i="8" s="1"/>
  <c r="D7" i="8"/>
  <c r="E7" i="8"/>
  <c r="B10" i="8"/>
  <c r="D10" i="8"/>
  <c r="E10" i="8"/>
  <c r="F10" i="8"/>
  <c r="G10" i="8"/>
  <c r="B11" i="8"/>
  <c r="B12" i="8" s="1"/>
  <c r="B13" i="8" s="1"/>
  <c r="D11" i="8"/>
  <c r="C6" i="8"/>
  <c r="D20" i="11"/>
  <c r="J20" i="11"/>
  <c r="D41" i="11"/>
  <c r="D33" i="6"/>
  <c r="D35" i="6"/>
  <c r="D33" i="9"/>
  <c r="D35" i="9"/>
  <c r="J35" i="9" s="1"/>
  <c r="E44" i="9"/>
  <c r="E46" i="9"/>
  <c r="E44" i="20"/>
  <c r="E44" i="6"/>
  <c r="E46" i="6"/>
  <c r="E44" i="11"/>
  <c r="D41" i="20"/>
  <c r="J41" i="20" s="1"/>
  <c r="F40" i="11"/>
  <c r="F40" i="20"/>
  <c r="F40" i="9"/>
  <c r="F41" i="9"/>
  <c r="F40" i="6"/>
  <c r="F41" i="6"/>
  <c r="E40" i="6"/>
  <c r="E41" i="6"/>
  <c r="E40" i="20"/>
  <c r="K40" i="20" s="1"/>
  <c r="E40" i="11"/>
  <c r="E41" i="11"/>
  <c r="E40" i="9"/>
  <c r="E41" i="9"/>
  <c r="D46" i="12"/>
  <c r="D44" i="9"/>
  <c r="D46" i="9"/>
  <c r="D53" i="9"/>
  <c r="D44" i="20"/>
  <c r="J44" i="20" s="1"/>
  <c r="D44" i="6"/>
  <c r="D46" i="6"/>
  <c r="D53" i="6"/>
  <c r="D44" i="11"/>
  <c r="D46" i="11"/>
  <c r="E32" i="6"/>
  <c r="E32" i="20"/>
  <c r="K32" i="20"/>
  <c r="E32" i="11"/>
  <c r="E32" i="9"/>
  <c r="F30" i="9"/>
  <c r="F31" i="9"/>
  <c r="F30" i="20"/>
  <c r="F30" i="6"/>
  <c r="F31" i="6"/>
  <c r="F30" i="11"/>
  <c r="D31" i="20"/>
  <c r="J31" i="20"/>
  <c r="D33" i="12"/>
  <c r="D35" i="12"/>
  <c r="E30" i="6"/>
  <c r="E31" i="6"/>
  <c r="E30" i="11"/>
  <c r="E31" i="11"/>
  <c r="E30" i="9"/>
  <c r="E31" i="9"/>
  <c r="E30" i="20"/>
  <c r="K30" i="20"/>
  <c r="E2" i="9"/>
  <c r="E2" i="6"/>
  <c r="E20" i="6"/>
  <c r="E2" i="20"/>
  <c r="E2" i="11"/>
  <c r="K2" i="11"/>
  <c r="J2" i="9"/>
  <c r="D20" i="20"/>
  <c r="J20" i="20"/>
  <c r="J2" i="20"/>
  <c r="F10" i="11"/>
  <c r="F11" i="11"/>
  <c r="C55" i="12"/>
  <c r="D11" i="12"/>
  <c r="F2" i="12"/>
  <c r="E20" i="12"/>
  <c r="L2" i="12"/>
  <c r="E46" i="12"/>
  <c r="F41" i="12"/>
  <c r="E33" i="12"/>
  <c r="E10" i="11"/>
  <c r="E11" i="11"/>
  <c r="D14" i="11"/>
  <c r="C10" i="11"/>
  <c r="C11" i="11"/>
  <c r="D33" i="11"/>
  <c r="C35" i="11"/>
  <c r="F11" i="8"/>
  <c r="F7" i="8"/>
  <c r="E11" i="8"/>
  <c r="E53" i="9"/>
  <c r="D55" i="6"/>
  <c r="E33" i="9"/>
  <c r="E35" i="9"/>
  <c r="K35" i="9" s="1"/>
  <c r="E55" i="9"/>
  <c r="D55" i="9"/>
  <c r="E20" i="11"/>
  <c r="K20" i="11"/>
  <c r="E33" i="6"/>
  <c r="E35" i="6"/>
  <c r="D46" i="20"/>
  <c r="J46" i="20" s="1"/>
  <c r="F41" i="20"/>
  <c r="E46" i="20"/>
  <c r="K46" i="20" s="1"/>
  <c r="E41" i="20"/>
  <c r="K41" i="20" s="1"/>
  <c r="F44" i="6"/>
  <c r="F46" i="6"/>
  <c r="F53" i="6"/>
  <c r="F44" i="11"/>
  <c r="F44" i="9"/>
  <c r="F46" i="9"/>
  <c r="F53" i="9"/>
  <c r="F44" i="20"/>
  <c r="L44" i="20" s="1"/>
  <c r="E53" i="6"/>
  <c r="F32" i="6"/>
  <c r="F33" i="6"/>
  <c r="F35" i="6"/>
  <c r="F32" i="20"/>
  <c r="L32" i="20"/>
  <c r="F32" i="11"/>
  <c r="F32" i="9"/>
  <c r="F33" i="9"/>
  <c r="F35" i="9"/>
  <c r="L35" i="9" s="1"/>
  <c r="D33" i="20"/>
  <c r="J33" i="20"/>
  <c r="E31" i="20"/>
  <c r="K31" i="20"/>
  <c r="F31" i="20"/>
  <c r="L31" i="20"/>
  <c r="E20" i="9"/>
  <c r="K20" i="9"/>
  <c r="K2" i="9"/>
  <c r="E20" i="20"/>
  <c r="K20" i="20"/>
  <c r="K2" i="20"/>
  <c r="F2" i="11"/>
  <c r="F2" i="6"/>
  <c r="F20" i="6"/>
  <c r="F2" i="9"/>
  <c r="F2" i="20"/>
  <c r="F33" i="12"/>
  <c r="M2" i="12"/>
  <c r="F20" i="12"/>
  <c r="F46" i="12"/>
  <c r="E11" i="12"/>
  <c r="E35" i="12"/>
  <c r="F11" i="12"/>
  <c r="D12" i="12"/>
  <c r="F41" i="11"/>
  <c r="D50" i="11"/>
  <c r="F31" i="11"/>
  <c r="E33" i="11"/>
  <c r="E46" i="11"/>
  <c r="F12" i="11"/>
  <c r="C55" i="11"/>
  <c r="D35" i="11"/>
  <c r="E12" i="11"/>
  <c r="G7" i="8"/>
  <c r="G11" i="8"/>
  <c r="D14" i="12"/>
  <c r="D50" i="12"/>
  <c r="E55" i="6"/>
  <c r="D53" i="20"/>
  <c r="J53" i="20" s="1"/>
  <c r="E53" i="20"/>
  <c r="K53" i="20" s="1"/>
  <c r="F46" i="20"/>
  <c r="L46" i="20" s="1"/>
  <c r="F55" i="6"/>
  <c r="F55" i="9"/>
  <c r="D35" i="20"/>
  <c r="J35" i="20"/>
  <c r="E33" i="20"/>
  <c r="K33" i="20"/>
  <c r="F33" i="20"/>
  <c r="L33" i="20"/>
  <c r="F20" i="20"/>
  <c r="L20" i="20"/>
  <c r="L2" i="20"/>
  <c r="L2" i="11"/>
  <c r="F20" i="11"/>
  <c r="L20" i="11"/>
  <c r="F20" i="9"/>
  <c r="L20" i="9"/>
  <c r="L2" i="9"/>
  <c r="E12" i="12"/>
  <c r="F35" i="12"/>
  <c r="F12" i="12"/>
  <c r="F14" i="11"/>
  <c r="E14" i="11"/>
  <c r="F33" i="11"/>
  <c r="C12" i="11"/>
  <c r="F46" i="11"/>
  <c r="L46" i="11" s="1"/>
  <c r="E35" i="11"/>
  <c r="D51" i="11"/>
  <c r="E14" i="12"/>
  <c r="F14" i="12"/>
  <c r="E50" i="12"/>
  <c r="F50" i="12"/>
  <c r="F53" i="20"/>
  <c r="L53" i="20" s="1"/>
  <c r="D55" i="20"/>
  <c r="F35" i="20"/>
  <c r="E35" i="20"/>
  <c r="K35" i="20"/>
  <c r="D53" i="11"/>
  <c r="C14" i="11"/>
  <c r="E50" i="11"/>
  <c r="F35" i="11"/>
  <c r="J2" i="6"/>
  <c r="E55" i="20"/>
  <c r="F55" i="20"/>
  <c r="D51" i="12"/>
  <c r="D55" i="11"/>
  <c r="F50" i="11"/>
  <c r="E51" i="11"/>
  <c r="K2" i="6"/>
  <c r="E51" i="12"/>
  <c r="D53" i="12"/>
  <c r="E53" i="11"/>
  <c r="F51" i="11"/>
  <c r="L2" i="6"/>
  <c r="D55" i="12"/>
  <c r="F51" i="12"/>
  <c r="E53" i="12"/>
  <c r="E55" i="11"/>
  <c r="F53" i="11"/>
  <c r="L53" i="11" s="1"/>
  <c r="M2" i="6"/>
  <c r="E55" i="12"/>
  <c r="F53" i="12"/>
  <c r="F55" i="11"/>
  <c r="F55" i="12"/>
  <c r="L35" i="20"/>
  <c r="L30" i="20"/>
  <c r="L26" i="20"/>
  <c r="J22" i="20"/>
  <c r="K22" i="20"/>
  <c r="L22" i="20"/>
  <c r="J23" i="20"/>
  <c r="K23" i="20"/>
  <c r="L23" i="20"/>
  <c r="J24" i="20"/>
  <c r="K24" i="20"/>
  <c r="L24" i="20"/>
  <c r="J25" i="20"/>
  <c r="K25" i="20"/>
  <c r="L25" i="20"/>
  <c r="J29" i="20"/>
  <c r="K29" i="20"/>
  <c r="L29" i="20"/>
  <c r="J38" i="20"/>
  <c r="L41" i="20" l="1"/>
  <c r="L40" i="20"/>
  <c r="K44" i="20"/>
  <c r="L51" i="20"/>
  <c r="K12" i="20"/>
  <c r="K11" i="20"/>
  <c r="K10" i="20"/>
  <c r="K8" i="20"/>
  <c r="K5" i="20"/>
  <c r="L12" i="20"/>
  <c r="L11" i="20"/>
  <c r="L10" i="20"/>
  <c r="L8" i="20"/>
  <c r="L5" i="20"/>
  <c r="J3" i="20"/>
  <c r="K3" i="20"/>
  <c r="L3" i="20"/>
  <c r="J4" i="20"/>
  <c r="K4" i="20"/>
  <c r="L4" i="20"/>
  <c r="J6" i="20"/>
  <c r="K6" i="20"/>
  <c r="L6" i="20"/>
  <c r="J7" i="20"/>
  <c r="K7" i="20"/>
  <c r="L7" i="20"/>
  <c r="J9" i="20"/>
  <c r="K9" i="20"/>
  <c r="L9" i="20"/>
  <c r="K38" i="20"/>
  <c r="L38" i="20"/>
  <c r="J39" i="20"/>
  <c r="K39" i="20"/>
  <c r="L39" i="20"/>
  <c r="J45" i="20"/>
  <c r="K45" i="20"/>
  <c r="L45" i="20"/>
  <c r="J49" i="20"/>
  <c r="K49" i="20"/>
  <c r="L49" i="20"/>
  <c r="B11" i="39"/>
  <c r="E11" i="39" s="1"/>
  <c r="C15" i="39"/>
  <c r="C11" i="39"/>
  <c r="F11" i="39" s="1"/>
  <c r="D10" i="39"/>
  <c r="B14" i="39"/>
  <c r="B15" i="39" s="1"/>
  <c r="C12" i="39"/>
  <c r="C13" i="39" s="1"/>
  <c r="B12" i="39"/>
  <c r="D9" i="39"/>
  <c r="E12" i="8"/>
  <c r="C13" i="8"/>
  <c r="J3" i="8"/>
  <c r="J4" i="8"/>
  <c r="J8" i="8"/>
  <c r="D7" i="40"/>
  <c r="E7" i="40"/>
  <c r="K39" i="6"/>
  <c r="K23" i="6"/>
  <c r="K21" i="6"/>
  <c r="K20" i="6"/>
  <c r="K17" i="6"/>
  <c r="K15" i="6"/>
  <c r="K41" i="6"/>
  <c r="K8" i="6"/>
  <c r="L53" i="9"/>
  <c r="L51" i="9"/>
  <c r="L50" i="9"/>
  <c r="M25" i="6"/>
  <c r="M22" i="6"/>
  <c r="G12" i="8"/>
  <c r="F12" i="8"/>
  <c r="D12" i="8"/>
  <c r="C8" i="8"/>
  <c r="B13" i="35"/>
  <c r="B12" i="35"/>
  <c r="B12" i="36"/>
  <c r="B13" i="36"/>
  <c r="L33" i="9"/>
  <c r="L32" i="9"/>
  <c r="L46" i="9"/>
  <c r="L44" i="9"/>
  <c r="K33" i="9"/>
  <c r="K31" i="9"/>
  <c r="K30" i="9"/>
  <c r="L31" i="9"/>
  <c r="L30" i="9"/>
  <c r="K32" i="9"/>
  <c r="J46" i="9"/>
  <c r="J44" i="9"/>
  <c r="K41" i="9"/>
  <c r="K40" i="9"/>
  <c r="L41" i="9"/>
  <c r="L40" i="9"/>
  <c r="K46" i="9"/>
  <c r="K44" i="9"/>
  <c r="J33" i="9"/>
  <c r="J31" i="9"/>
  <c r="J30" i="9"/>
  <c r="J32" i="9"/>
  <c r="J41" i="9"/>
  <c r="J40" i="9"/>
  <c r="L26" i="9"/>
  <c r="K26" i="9"/>
  <c r="J26" i="9"/>
  <c r="I33" i="9"/>
  <c r="I31" i="9"/>
  <c r="I41" i="9"/>
  <c r="I26" i="9"/>
  <c r="J7" i="9"/>
  <c r="K7" i="9"/>
  <c r="L7" i="9"/>
  <c r="I9" i="9"/>
  <c r="J9" i="9"/>
  <c r="K9" i="9"/>
  <c r="L9" i="9"/>
  <c r="I22" i="9"/>
  <c r="J22" i="9"/>
  <c r="K22" i="9"/>
  <c r="L22" i="9"/>
  <c r="J23" i="9"/>
  <c r="K23" i="9"/>
  <c r="L23" i="9"/>
  <c r="I24" i="9"/>
  <c r="J24" i="9"/>
  <c r="K24" i="9"/>
  <c r="L24" i="9"/>
  <c r="I25" i="9"/>
  <c r="J25" i="9"/>
  <c r="K25" i="9"/>
  <c r="L25" i="9"/>
  <c r="I29" i="9"/>
  <c r="J29" i="9"/>
  <c r="K29" i="9"/>
  <c r="L29" i="9"/>
  <c r="I30" i="9"/>
  <c r="I32" i="9"/>
  <c r="I38" i="9"/>
  <c r="J38" i="9"/>
  <c r="K38" i="9"/>
  <c r="L38" i="9"/>
  <c r="I39" i="9"/>
  <c r="J39" i="9"/>
  <c r="K39" i="9"/>
  <c r="L39" i="9"/>
  <c r="I40" i="9"/>
  <c r="I46" i="9"/>
  <c r="I44" i="9"/>
  <c r="I45" i="9"/>
  <c r="J45" i="9"/>
  <c r="K45" i="9"/>
  <c r="L45" i="9"/>
  <c r="I49" i="9"/>
  <c r="J49" i="9"/>
  <c r="K49" i="9"/>
  <c r="L49" i="9"/>
  <c r="I50" i="9"/>
  <c r="I23" i="9"/>
  <c r="C5" i="9"/>
  <c r="I3" i="9"/>
  <c r="I4" i="9"/>
  <c r="J4" i="9"/>
  <c r="K4" i="9"/>
  <c r="L4" i="9"/>
  <c r="I6" i="9"/>
  <c r="J6" i="9"/>
  <c r="K6" i="9"/>
  <c r="L6" i="9"/>
  <c r="I7" i="9"/>
  <c r="D12" i="39" l="1"/>
  <c r="B13" i="39"/>
  <c r="D14" i="40"/>
  <c r="D15" i="40"/>
  <c r="D13" i="8"/>
  <c r="E13" i="8" s="1"/>
  <c r="D8" i="8"/>
  <c r="I5" i="9"/>
  <c r="C8" i="9"/>
  <c r="D11" i="39" l="1"/>
  <c r="D13" i="39" s="1"/>
  <c r="E8" i="8"/>
  <c r="C10" i="9"/>
  <c r="I10" i="9" s="1"/>
  <c r="I8" i="9"/>
  <c r="C11" i="9"/>
  <c r="I11" i="9" s="1"/>
  <c r="C12" i="9"/>
  <c r="F13" i="8" l="1"/>
  <c r="G13" i="8" s="1"/>
  <c r="F8" i="8"/>
  <c r="C14" i="9"/>
  <c r="I12" i="9"/>
  <c r="G8" i="8" l="1"/>
  <c r="D15" i="38"/>
  <c r="F8" i="39"/>
  <c r="D14" i="39"/>
  <c r="D15" i="3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tc={32B95294-6EED-4811-8807-0C4701EC3F60}</author>
  </authors>
  <commentList>
    <comment ref="H1" authorId="0" shapeId="0" xr:uid="{32B95294-6EED-4811-8807-0C4701EC3F60}">
      <text>
        <t>[Threaded comment]
Your version of Excel allows you to read this threaded comment; however, any edits to it will get removed if the file is opened in a newer version of Excel. Learn more: https://go.microsoft.com/fwlink/?linkid=870924
Comment:
    Assuming 2019 is base year.</t>
      </text>
    </comment>
  </commentList>
</comments>
</file>

<file path=xl/sharedStrings.xml><?xml version="1.0" encoding="utf-8"?>
<sst xmlns="http://schemas.openxmlformats.org/spreadsheetml/2006/main" count="717" uniqueCount="367">
  <si>
    <t>PV</t>
  </si>
  <si>
    <t>Daniel invested $50,000 at 10% effective annual interest rate for 6 years. Calculate the future value of his investment.</t>
  </si>
  <si>
    <t>i</t>
  </si>
  <si>
    <t>n</t>
  </si>
  <si>
    <t>FV</t>
  </si>
  <si>
    <t>Use Excel built-in function!</t>
  </si>
  <si>
    <t>Marks</t>
  </si>
  <si>
    <t>BS</t>
  </si>
  <si>
    <t>IS</t>
  </si>
  <si>
    <t>BS IS</t>
  </si>
  <si>
    <t>SCF</t>
  </si>
  <si>
    <t>HA</t>
  </si>
  <si>
    <t>%Change</t>
  </si>
  <si>
    <t>VA</t>
  </si>
  <si>
    <t>Ratio</t>
  </si>
  <si>
    <t>CapitalBudgeting</t>
  </si>
  <si>
    <t>TVM - CI</t>
  </si>
  <si>
    <t>TVM - FVOA</t>
  </si>
  <si>
    <t>TVM - PVOA</t>
  </si>
  <si>
    <t>Risk &amp; Return - Sample</t>
  </si>
  <si>
    <t>Risk &amp; Return - Probability</t>
  </si>
  <si>
    <t>Risk &amp; Return - Portfolio</t>
  </si>
  <si>
    <t>Risk Management - Long Position</t>
  </si>
  <si>
    <t>Risk Management - Short Position</t>
  </si>
  <si>
    <t>Mergers and Acquisitions - Cash</t>
  </si>
  <si>
    <t>Mergers and Acquisitions - Scrip</t>
  </si>
  <si>
    <t>Mergers and Acquisitions - Combined</t>
  </si>
  <si>
    <t>Outsourcing 1</t>
  </si>
  <si>
    <t>Outsourcing 2</t>
  </si>
  <si>
    <t>Outsourcing 3</t>
  </si>
  <si>
    <t>Total</t>
  </si>
  <si>
    <t>Group #</t>
  </si>
  <si>
    <t>Company #</t>
  </si>
  <si>
    <t>Company Name</t>
  </si>
  <si>
    <t>Student ID</t>
  </si>
  <si>
    <t>First Name</t>
  </si>
  <si>
    <t>Family Name</t>
  </si>
  <si>
    <t>Contribution</t>
  </si>
  <si>
    <t>Delta</t>
  </si>
  <si>
    <t>Melissa</t>
  </si>
  <si>
    <t>Lyon</t>
  </si>
  <si>
    <t>Viet Kien</t>
  </si>
  <si>
    <t>Nguyen</t>
  </si>
  <si>
    <t>Darlene</t>
  </si>
  <si>
    <t>Suryaputra</t>
  </si>
  <si>
    <t>Fabiha Tabassum</t>
  </si>
  <si>
    <t>Priti</t>
  </si>
  <si>
    <t>Kirisha</t>
  </si>
  <si>
    <t>Mohan</t>
  </si>
  <si>
    <t>Change only the red font to match your Group number, Student ID, First Name and Family Name. 
Percentage of contribution is 100% for each one if all members contributed equally, if any member contributes less, change the percentage of contribution to reflect his/ her contribution. For example, 70% percentage of contribution, this member will get 70% of the group assignment.</t>
  </si>
  <si>
    <t>Balance sheet as at 30 June (in Million $)</t>
  </si>
  <si>
    <t>Year</t>
  </si>
  <si>
    <t>Accounts Payable</t>
  </si>
  <si>
    <t>Current Assets</t>
  </si>
  <si>
    <t>Cash</t>
  </si>
  <si>
    <t>Notes Payable</t>
  </si>
  <si>
    <t>Accounts Receivable</t>
  </si>
  <si>
    <t>PPE (Gross)</t>
  </si>
  <si>
    <t>Inventories</t>
  </si>
  <si>
    <t>Long Term Loan</t>
  </si>
  <si>
    <t>Other Current Assets</t>
  </si>
  <si>
    <t>Total Current Assets</t>
  </si>
  <si>
    <t>Current Portion of LTD</t>
  </si>
  <si>
    <t>Accumulated Depreciation</t>
  </si>
  <si>
    <t>Long Term Assets</t>
  </si>
  <si>
    <t>Bonds Payable</t>
  </si>
  <si>
    <t>Goodwill</t>
  </si>
  <si>
    <t>PPE (Net)</t>
  </si>
  <si>
    <t>Contributed Capital</t>
  </si>
  <si>
    <t>Total Long Term Assets</t>
  </si>
  <si>
    <t>Retained Earnings</t>
  </si>
  <si>
    <t>Total Assets</t>
  </si>
  <si>
    <t>Use VLOOKUP function!</t>
  </si>
  <si>
    <t>Current Liabilities</t>
  </si>
  <si>
    <t>Total Current Liabilities</t>
  </si>
  <si>
    <t>Long Term Liabilities</t>
  </si>
  <si>
    <t>Total Long Term Liabilities</t>
  </si>
  <si>
    <t>Shareholders' Equity</t>
  </si>
  <si>
    <t>Total Shareholders' Equity</t>
  </si>
  <si>
    <t>Total Liabilities and Equity</t>
  </si>
  <si>
    <t>Balance</t>
  </si>
  <si>
    <t>Income Statement for the years ended 30 June (in Million $)</t>
  </si>
  <si>
    <t>Depreciation</t>
  </si>
  <si>
    <t>Sales</t>
  </si>
  <si>
    <t>Cost of Goods Sold (COGS)</t>
  </si>
  <si>
    <t>Interest expense</t>
  </si>
  <si>
    <t>Gross Profit</t>
  </si>
  <si>
    <t>Selling, General &amp; Administrative Expenses</t>
  </si>
  <si>
    <t>Tax Rate</t>
  </si>
  <si>
    <t>Earnings Before Interest and Tax (EBIT)</t>
  </si>
  <si>
    <t>Dividends</t>
  </si>
  <si>
    <t>Earnings Before Tax (EBT)</t>
  </si>
  <si>
    <t>Tax expense</t>
  </si>
  <si>
    <t>Net Income (NI)</t>
  </si>
  <si>
    <t>Additional Retained Earnings (in million $)</t>
  </si>
  <si>
    <t>Financial Ratio and Assumptions</t>
  </si>
  <si>
    <t>Long-term debt ratio</t>
  </si>
  <si>
    <t>Account receivables</t>
  </si>
  <si>
    <t>Times interest earned</t>
  </si>
  <si>
    <t>Inventory</t>
  </si>
  <si>
    <t>Current ratio</t>
  </si>
  <si>
    <t>Quick ratio</t>
  </si>
  <si>
    <t>PPE(Net)</t>
  </si>
  <si>
    <t>Cash ratio</t>
  </si>
  <si>
    <t>Inventory turnover</t>
  </si>
  <si>
    <t>Days’ Sales in Receivables (days)</t>
  </si>
  <si>
    <t>Tax rate</t>
  </si>
  <si>
    <t>Long-term-debt</t>
  </si>
  <si>
    <t>Equity</t>
  </si>
  <si>
    <t>Total Liabilities &amp; Equity</t>
  </si>
  <si>
    <t>Statement of Cash Flows for the years ended 30 June (in Million $)</t>
  </si>
  <si>
    <t>Cash Flow from Operation</t>
  </si>
  <si>
    <t>Δ</t>
  </si>
  <si>
    <t>-</t>
  </si>
  <si>
    <t>+</t>
  </si>
  <si>
    <t>Net Cash Flow from Operation</t>
  </si>
  <si>
    <t>Cash Flow from Investing</t>
  </si>
  <si>
    <t>Dividends (in million $)</t>
  </si>
  <si>
    <t>Net Cash Flow from Investing</t>
  </si>
  <si>
    <t>Shares Outstanding (in million)</t>
  </si>
  <si>
    <t>Market Value per Share ($/Share)</t>
  </si>
  <si>
    <t>Cash Flow from Financing</t>
  </si>
  <si>
    <t>Net Cash Flow from Financing</t>
  </si>
  <si>
    <t xml:space="preserve">Net Cash Flow </t>
  </si>
  <si>
    <t>Beginning Cash</t>
  </si>
  <si>
    <t>Ending Cash</t>
  </si>
  <si>
    <t>Acc Dep</t>
  </si>
  <si>
    <t>Horizontal Analysis</t>
  </si>
  <si>
    <t>Percentage Change (yoy)</t>
  </si>
  <si>
    <t>Vertical Analysis</t>
  </si>
  <si>
    <t>Financial Ratio</t>
  </si>
  <si>
    <t>Unit</t>
  </si>
  <si>
    <t>Liquidity Ratios</t>
  </si>
  <si>
    <t>Current Ratio</t>
  </si>
  <si>
    <t>Times</t>
  </si>
  <si>
    <t>Quick Ratio</t>
  </si>
  <si>
    <t>Cash Ratio</t>
  </si>
  <si>
    <t>NWC</t>
  </si>
  <si>
    <t>$</t>
  </si>
  <si>
    <t>NWC to Total Assets</t>
  </si>
  <si>
    <t>%</t>
  </si>
  <si>
    <t>Interval Measure</t>
  </si>
  <si>
    <t>Days</t>
  </si>
  <si>
    <t>Profitability Ratio</t>
  </si>
  <si>
    <t>Gross Profit Margin (GPM)</t>
  </si>
  <si>
    <t>Operating Profit Margin (OPM)</t>
  </si>
  <si>
    <t>Profit Margin (PM)</t>
  </si>
  <si>
    <t>Return on Asset (ROA)</t>
  </si>
  <si>
    <t>Return on Equity (ROE)</t>
  </si>
  <si>
    <t>Return on Capital Employed (ROCE)</t>
  </si>
  <si>
    <t>Financial Leverage Ratio</t>
  </si>
  <si>
    <t>Debt Ratio</t>
  </si>
  <si>
    <t>Equity Ratio</t>
  </si>
  <si>
    <t>Debt-to-Equity Ratio</t>
  </si>
  <si>
    <t>Equity Multiplier (EM)</t>
  </si>
  <si>
    <t>Fixed to Equity</t>
  </si>
  <si>
    <t>Long-Term Debt Ratio</t>
  </si>
  <si>
    <t>Times Interest Earned (TIE)</t>
  </si>
  <si>
    <t>Cash Coverage</t>
  </si>
  <si>
    <t>Debt Service Coverage Ratio (DSCR)</t>
  </si>
  <si>
    <t>Asset Turnover Ratio</t>
  </si>
  <si>
    <t>Inventory Turnover</t>
  </si>
  <si>
    <t>Days' Sales in Inventory</t>
  </si>
  <si>
    <t>days</t>
  </si>
  <si>
    <t>Receivables Turnover</t>
  </si>
  <si>
    <t>Days’ Sales in Receivables</t>
  </si>
  <si>
    <t>Payables Turnover</t>
  </si>
  <si>
    <t>Days’ Sales in Payables</t>
  </si>
  <si>
    <t>Cash Conversion Cycle (CCC)</t>
  </si>
  <si>
    <t>Total Asset Turnover (TATO)</t>
  </si>
  <si>
    <t>Capital Intensity</t>
  </si>
  <si>
    <t>Fixed Asset Turnover</t>
  </si>
  <si>
    <t>NWC Turnover</t>
  </si>
  <si>
    <t>Market Value Measures</t>
  </si>
  <si>
    <t>Earnings Per Share (EPS)</t>
  </si>
  <si>
    <t>$/Share</t>
  </si>
  <si>
    <t>Dividends Per Share (DPS)</t>
  </si>
  <si>
    <t>Price Earnings (PE) Ratio</t>
  </si>
  <si>
    <t>Dividend Payout Ratio (DPO)</t>
  </si>
  <si>
    <t>Dividend Yield</t>
  </si>
  <si>
    <t>Retention Ratio (RR)</t>
  </si>
  <si>
    <t>Market-to-Book Ratio</t>
  </si>
  <si>
    <t>Sustainable Growth Rate (g)</t>
  </si>
  <si>
    <t>Differentiate between flow account and stock account in ratio calculatios!</t>
  </si>
  <si>
    <t>WACC</t>
  </si>
  <si>
    <t>Delta Limited is planning on investing in a new project. This will involve the purchase of some new machinery costing $150 thousands that will be fully depreciated over 5 years. The salvage value is $30 thousands at the end of year 5. Delta Limited expects to receive cash flows of $40 thousands at the end of year 1, $50 thousands at the end of year 2, $60 thousands at the end of year 3, $70 thousands at the end of year 4, and $80 thousands at the end of year 5. Delta Limited expects to receive net income of $3 thousands at the end of year 1, $5 thousands at the end of year 2, $7 thousands at the end of year 3, $9 thousands at the end of year 4, and $11 thousands at the end of year 5. The weighted average cost of capital is 15%.</t>
  </si>
  <si>
    <t>FCF</t>
  </si>
  <si>
    <t>NPV</t>
  </si>
  <si>
    <t>NI</t>
  </si>
  <si>
    <t>IRR</t>
  </si>
  <si>
    <t>SV</t>
  </si>
  <si>
    <t>MIRR</t>
  </si>
  <si>
    <t>PI</t>
  </si>
  <si>
    <t>PBP</t>
  </si>
  <si>
    <t xml:space="preserve">years </t>
  </si>
  <si>
    <t>DPBP</t>
  </si>
  <si>
    <t>1. Calculate net present value (NPV) for this project.</t>
  </si>
  <si>
    <t>CFCF</t>
  </si>
  <si>
    <t>ARR</t>
  </si>
  <si>
    <t>2. Calculate internal rate of return (IRR) for this project.</t>
  </si>
  <si>
    <t>3. Calculate modified internal rate of return (MIRR) for this project.</t>
  </si>
  <si>
    <t>4. Calculate profitability index (PI) for this project.</t>
  </si>
  <si>
    <t>5. Calculate payback period (PBP) for this project.</t>
  </si>
  <si>
    <t>DFCF</t>
  </si>
  <si>
    <t>6. Calculate discounted payback period (DPBP) for this project.</t>
  </si>
  <si>
    <t>CDFCF</t>
  </si>
  <si>
    <t>7. Calculate accounting rate of return (ARR) for this project.</t>
  </si>
  <si>
    <t>David would like to have a savings of $40,000 in an account at the end of five years. Calculate the amount he needs to save now if the savings account earns an annually effective rate of return of 8%.</t>
  </si>
  <si>
    <t>Jennifer borrowed $20,000 from her best friend, four years later, Jennifer repaid her $26,000. Calculate the effective annual interest rate.</t>
  </si>
  <si>
    <t>Edward invested $30,000 in a fund offering a rate of return of 4% per year, approximately how many years will it take for the investment to reach $60,000?</t>
  </si>
  <si>
    <t>C</t>
  </si>
  <si>
    <t>George will receive a study excellence award of $26,000 per year for the next 3 years. The effective annual interest rate is 5%. Calculate the future value of George's cash flows at the end of year 3.</t>
  </si>
  <si>
    <t>Andrew would like to accumulate $34,000 in his savings account at the end of 5 years. If effective annual interest rate is 10%. What would be the amount of equal deposit at the end of each year for 5 years.</t>
  </si>
  <si>
    <t>rate</t>
  </si>
  <si>
    <t>c</t>
  </si>
  <si>
    <t>Kate deposits $6,000 at the end of each year for 4 years that resulted in an accumulated value of $30,000 at the end of year 4. Calculate the effective annual interest rate.</t>
  </si>
  <si>
    <t>Kate deposits $4,300 at the end of each year at 8% annual effective interest rate that accumulated a future value of $20,000. How long does it take to accumulate this future value?</t>
  </si>
  <si>
    <t>year 0</t>
  </si>
  <si>
    <t>year 1</t>
  </si>
  <si>
    <t>year 2</t>
  </si>
  <si>
    <t>year 3</t>
  </si>
  <si>
    <t>year 4</t>
  </si>
  <si>
    <t>year 5</t>
  </si>
  <si>
    <t>year 6</t>
  </si>
  <si>
    <t>year 7</t>
  </si>
  <si>
    <t>George will receive a study excellence award of $33,000 per year for the next 3 years. The effective annual interest rate is 12%. Calculate the present value today of George's cash flows.</t>
  </si>
  <si>
    <t>Jacqueline deposited $0,000 at 9% effective annual interest rate. She will make equal withdrawals at the end of each year over a 6-year term. What would be the amount of equal withdrawal?</t>
  </si>
  <si>
    <t>Sam got a $30,000 loan and repays instalments of $12,000 at the end of each year for 3 years. Calculate the effective annual interest rate.</t>
  </si>
  <si>
    <t>Samantha got a loan of $110,000 at 5% annual effective interest rate. She repays annual instalments of $11,000 at the end of each year. How long does it take to repay the loan?</t>
  </si>
  <si>
    <t>Annual Return</t>
  </si>
  <si>
    <t xml:space="preserve">Delta Limited share has the following annual returns for the given years respectively. </t>
  </si>
  <si>
    <t>Risk Free Rate</t>
  </si>
  <si>
    <t>Average Return</t>
  </si>
  <si>
    <t>1. Calculate average yearly return?</t>
  </si>
  <si>
    <t>Variance</t>
  </si>
  <si>
    <t>2. Calculate variance?</t>
  </si>
  <si>
    <t>Volatility</t>
  </si>
  <si>
    <t>3. Calculate volatility?</t>
  </si>
  <si>
    <t>Coefficient of Variation</t>
  </si>
  <si>
    <t>4. Calculate coefficient of variation</t>
  </si>
  <si>
    <t>Sharpe Ratio</t>
  </si>
  <si>
    <t>5. Calculate Sharpe ratio if risk free rate is 1%.</t>
  </si>
  <si>
    <t>Use Excel built-in function 
for parts a, b, and c!</t>
  </si>
  <si>
    <t>or variance</t>
  </si>
  <si>
    <t>State</t>
  </si>
  <si>
    <t>Probability</t>
  </si>
  <si>
    <t>Return</t>
  </si>
  <si>
    <t xml:space="preserve">An investor believes that the returns for an investment depends on the state of the economy. The following data are provided regarding each state and return. </t>
  </si>
  <si>
    <t>Growth</t>
  </si>
  <si>
    <t>Stable</t>
  </si>
  <si>
    <t>Recession</t>
  </si>
  <si>
    <t>Expected Return</t>
  </si>
  <si>
    <t>1. Calculate expected return?</t>
  </si>
  <si>
    <t>Share</t>
  </si>
  <si>
    <t>Investment</t>
  </si>
  <si>
    <t>Weight</t>
  </si>
  <si>
    <t>E(R)</t>
  </si>
  <si>
    <t>STD</t>
  </si>
  <si>
    <t>Beta</t>
  </si>
  <si>
    <t xml:space="preserve">An investor holds a portfolio of two shares. The correlation between the two shares is 0.80 and their expected return, volatility and beta as follows: </t>
  </si>
  <si>
    <t>A</t>
  </si>
  <si>
    <t>B</t>
  </si>
  <si>
    <t>Correlation</t>
  </si>
  <si>
    <t>1. Calculate portfolio expected return?</t>
  </si>
  <si>
    <t>2. Calculate portfolio variance?</t>
  </si>
  <si>
    <t>3. Calculate portfolio volatility?</t>
  </si>
  <si>
    <t>4. Calculate portfolio coefficient of variation</t>
  </si>
  <si>
    <t>5. Calculate portfolio Sharpe ratio if risk free rate is 1%.</t>
  </si>
  <si>
    <t>Expected Beta</t>
  </si>
  <si>
    <t>6. Calculate portfolio beta.</t>
  </si>
  <si>
    <t>Contract Type</t>
  </si>
  <si>
    <t>Forward</t>
  </si>
  <si>
    <t>Delta Limited, a gold manufacturer, goes long in a forward contract with an exercise price of $700 per ounce for 5,000 ounces only to be exercised in 6 months. Calculate the gain or loss in the following cases:</t>
  </si>
  <si>
    <t>Position</t>
  </si>
  <si>
    <t>Long</t>
  </si>
  <si>
    <t xml:space="preserve">Exercise Price </t>
  </si>
  <si>
    <t>Quantity</t>
  </si>
  <si>
    <t>Scenario 1</t>
  </si>
  <si>
    <t>Scenario 2</t>
  </si>
  <si>
    <t>Market Price</t>
  </si>
  <si>
    <t>1. If market gold price after 6 months is $900 per ounce.</t>
  </si>
  <si>
    <t>Gain/Loss</t>
  </si>
  <si>
    <t>2. If market gold price after 6 months is $400 per ounce.</t>
  </si>
  <si>
    <t>Scenario 1 =  Gain</t>
  </si>
  <si>
    <t>Scenario 2 = Loss</t>
  </si>
  <si>
    <t>Delta Limited, a gold producer, goes short in a forward contract with an exercise price of $700 per ounce for 5,000 ounces only to be exercised in 6 months. Calculate the gain or loss in the following cases:</t>
  </si>
  <si>
    <t>Short</t>
  </si>
  <si>
    <t>Scenario 1 =  Loss</t>
  </si>
  <si>
    <t>Scenario 2 =  Gain</t>
  </si>
  <si>
    <t>Acquirer</t>
  </si>
  <si>
    <t>Target</t>
  </si>
  <si>
    <t>Amount</t>
  </si>
  <si>
    <t>Scrip</t>
  </si>
  <si>
    <t>Pioneer Limited plans to acquire Delta Limited. Pioneer Limited plans to propose a cash offer by paying the market price of Delta’s shares as well as paying 60% of synergy created in the market value of assets. This deal expects to generate synergy of additional $200,000 of market value of assets and $40,000 of net income. Assume there is no transaction cost, financial and operating risk remain constant. Use the following financial data of both Pioneer Limited and Delta Limited to estimate the following:</t>
  </si>
  <si>
    <t>Synergy</t>
  </si>
  <si>
    <t>Offer</t>
  </si>
  <si>
    <t>MVA</t>
  </si>
  <si>
    <t>Pioneer Limited</t>
  </si>
  <si>
    <t>Delta Limited</t>
  </si>
  <si>
    <t>After Acquistion</t>
  </si>
  <si>
    <t>Share Price</t>
  </si>
  <si>
    <t>Shares Outstanding</t>
  </si>
  <si>
    <t>1. Calculated market value of equity of Pioneer Limited and Delta Limited.</t>
  </si>
  <si>
    <t>Net Income</t>
  </si>
  <si>
    <t>2. Calculated market value of debt of Pioneer Limited and Delta Limited.</t>
  </si>
  <si>
    <t>MVE</t>
  </si>
  <si>
    <t>3. Calculated debt-to-equity ratio of Pioneer Limited and Delta Limited.</t>
  </si>
  <si>
    <t>MVD</t>
  </si>
  <si>
    <t>4. Calculated earnings per share ratio of Pioneer Limited and Delta Limited.</t>
  </si>
  <si>
    <t>D/E</t>
  </si>
  <si>
    <t>5. Calculated price-earnings ratio of Pioneer Limited and Delta Limited.</t>
  </si>
  <si>
    <t>EPS</t>
  </si>
  <si>
    <t>6. Calculated market value of assets of Pioneer Limited after acquisition.</t>
  </si>
  <si>
    <t>PE</t>
  </si>
  <si>
    <t>7. Calculated market value of debt of Pioneer Limited after acquisition.</t>
  </si>
  <si>
    <t>8. Calculated market value of equity of Pioneer Limited after acquisition.</t>
  </si>
  <si>
    <t>9. Calculated net income of Pioneer Limited after acquisition.</t>
  </si>
  <si>
    <t>10. Calculated shares outstanding of Pioneer Limited after acquisition.</t>
  </si>
  <si>
    <t>11. Calculated share price of Pioneer Limited after acquisition.</t>
  </si>
  <si>
    <t>12. Calculated debt-to-equity ratio of Pioneer Limited after acquisition.</t>
  </si>
  <si>
    <t>13. Calculated earnings per share ratio of Pioneer Limited after acquisition.</t>
  </si>
  <si>
    <t>14. Calculated price-earnings ratio of Pioneer Limited after acquisition.</t>
  </si>
  <si>
    <t>Pioneer Limited plans to acquire Delta Limited. Pioneer Limited plans to propose a scrip offer by paying the market price of Delta’s shares as well as paying 60% of synergy created in the market value of assets. This deal expects to generate synergy of additional $200,000 of market value of assets and $40,000 of net income. Assume there is no transaction cost, financial and operating risk remain constant. Use the following financial data of both Pioneer Limited and Delta Limited to estimate the following:</t>
  </si>
  <si>
    <t>Pioneer*</t>
  </si>
  <si>
    <t>Delta*</t>
  </si>
  <si>
    <t xml:space="preserve">8. Calculated market value of equity of Pioneer Limited after acquisition, market value of equity for both acquirer and target after acquisition.
</t>
  </si>
  <si>
    <t>11. Calculated shares outstanding of Pioneer Limited after acquisition and shares offered to the target firm.</t>
  </si>
  <si>
    <t>Pioneer Limited plans to acquire Delta Limited. Pioneer Limited plans to propose a 80% scrip offer by paying the market price of Delta’s shares as well as paying 60% of synergy created in the market value of assets. This deal expects to generate synergy of additional $200,000 of market value of assets and $40,000 of net income. Assume there is no transaction cost, financial and operating risk remain constant. Use the following financial data of both Pioneer Limited and Delta Limited to estimate the following:</t>
  </si>
  <si>
    <t xml:space="preserve">Current demand </t>
  </si>
  <si>
    <t>You have the following information for insourcing (Pioneer Limited) and the outsourcing (Delta Limited). If the current demand is 450,000 shall outsourcing or insourcing used?</t>
  </si>
  <si>
    <t>Insourcing</t>
  </si>
  <si>
    <t>Outsourcing</t>
  </si>
  <si>
    <t>Fixed cost</t>
  </si>
  <si>
    <t>Variable cost/unit</t>
  </si>
  <si>
    <t>Break-even point</t>
  </si>
  <si>
    <t>Decision</t>
  </si>
  <si>
    <t>Outsourcing Providers</t>
  </si>
  <si>
    <t>You would like to rate outsourcing providers. Your team developed seven factors rated 1-5, and an importance weight is given to each factor. Your team applied the seven factors to the three outsourcing providers. Which outsourcing providers shall you choose?</t>
  </si>
  <si>
    <t>Factor (criterion)</t>
  </si>
  <si>
    <t>Importance Weight</t>
  </si>
  <si>
    <t>Sigma Limited</t>
  </si>
  <si>
    <t>Venus Limited</t>
  </si>
  <si>
    <t>1. Can reduce operating costs</t>
  </si>
  <si>
    <t>2. Can reduce capital investment</t>
  </si>
  <si>
    <t>3. Skilled personnel</t>
  </si>
  <si>
    <t>4. Can improve quality</t>
  </si>
  <si>
    <t>5. Can gain access to technology not in company</t>
  </si>
  <si>
    <t>6. Can create additional capacity</t>
  </si>
  <si>
    <t>7. Aligns with policy/ philosophy/culture</t>
  </si>
  <si>
    <t>Total and Weighted Averages</t>
  </si>
  <si>
    <t>Criteria</t>
  </si>
  <si>
    <t>Risk Factor</t>
  </si>
  <si>
    <t>Brazil</t>
  </si>
  <si>
    <t>Columbia</t>
  </si>
  <si>
    <t>Phillipenne</t>
  </si>
  <si>
    <t>You would like to rate outsourcing providers using rating international risk factors. Your team developed nine risk factors rated 0-3 (0 is no risk, and 3 is high risk). Your team applied the nine factors to the countries of the three outsourcing providers. Which country shall you choose?</t>
  </si>
  <si>
    <t>Economic: Labor cost/ laws</t>
  </si>
  <si>
    <t>Economic: Capital availability</t>
  </si>
  <si>
    <t>Economic: Infrastructure</t>
  </si>
  <si>
    <t>Culture: Language</t>
  </si>
  <si>
    <t>Culture: Social norms</t>
  </si>
  <si>
    <t>Migration: Uncontrolled</t>
  </si>
  <si>
    <t>Politics: Ideology</t>
  </si>
  <si>
    <t>Politics: Instability</t>
  </si>
  <si>
    <t>Politics: Legalities</t>
  </si>
  <si>
    <t>Total risk rating scores</t>
  </si>
  <si>
    <t>Total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</si>
</sst>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0.0000"/>
  </numFmts>
  <fonts count="20">
    <font>
      <sz val="11"/>
      <color theme="1"/>
      <name val="Calibri"/>
      <family val="2"/>
      <scheme val="minor"/>
    </font>
    <font>
      <b/>
      <sz val="11"/>
      <color theme="1"/>
      <name val="Calibri"/>
      <family val="2"/>
      <scheme val="minor"/>
    </font>
    <font>
      <b/>
      <sz val="11"/>
      <color theme="1"/>
      <name val="Calibri"/>
      <family val="2"/>
    </font>
    <font>
      <b/>
      <sz val="11"/>
      <color theme="0"/>
      <name val="Calibri"/>
      <family val="2"/>
      <scheme val="minor"/>
    </font>
    <font>
      <b/>
      <sz val="12"/>
      <color theme="1"/>
      <name val="Calibri"/>
      <family val="3"/>
      <charset val="134"/>
      <scheme val="minor"/>
    </font>
    <font>
      <sz val="11"/>
      <color theme="0"/>
      <name val="Calibri"/>
      <family val="2"/>
      <scheme val="minor"/>
    </font>
    <font>
      <sz val="11"/>
      <color rgb="FFFF0000"/>
      <name val="Calibri"/>
      <family val="2"/>
      <scheme val="minor"/>
    </font>
    <font>
      <sz val="11"/>
      <color rgb="FFC00000"/>
      <name val="Calibri"/>
      <family val="2"/>
      <scheme val="minor"/>
    </font>
    <font>
      <sz val="12"/>
      <color rgb="FF0000FF"/>
      <name val="Calibri"/>
      <family val="2"/>
      <scheme val="minor"/>
    </font>
    <font>
      <sz val="12"/>
      <color theme="1"/>
      <name val="Calibri"/>
      <family val="2"/>
      <scheme val="minor"/>
    </font>
    <font>
      <sz val="12"/>
      <color rgb="FFC00000"/>
      <name val="Calibri"/>
      <family val="2"/>
      <scheme val="minor"/>
    </font>
    <font>
      <b/>
      <sz val="12"/>
      <color rgb="FF0000FF"/>
      <name val="Calibri"/>
      <family val="2"/>
      <scheme val="minor"/>
    </font>
    <font>
      <sz val="12"/>
      <color rgb="FFFF0000"/>
      <name val="Calibri"/>
      <family val="2"/>
      <scheme val="minor"/>
    </font>
    <font>
      <sz val="11"/>
      <color rgb="FF0000FF"/>
      <name val="Calibri"/>
      <family val="2"/>
      <scheme val="minor"/>
    </font>
    <font>
      <sz val="9"/>
      <color rgb="FFC00000"/>
      <name val="Calibri"/>
      <family val="2"/>
      <scheme val="minor"/>
    </font>
    <font>
      <b/>
      <sz val="12"/>
      <color theme="1"/>
      <name val="Calibri"/>
      <family val="2"/>
      <scheme val="minor"/>
    </font>
    <font>
      <b/>
      <sz val="11"/>
      <color rgb="FF0000FF"/>
      <name val="Calibri"/>
      <family val="2"/>
      <scheme val="minor"/>
    </font>
    <font>
      <sz val="11"/>
      <name val="Calibri"/>
      <family val="2"/>
      <scheme val="minor"/>
    </font>
    <font>
      <sz val="11"/>
      <color rgb="FF000000"/>
      <name val="Calibri"/>
      <family val="2"/>
      <scheme val="minor"/>
    </font>
    <font>
      <sz val="11"/>
      <color theme="1"/>
      <name val="Calibri"/>
      <family val="2"/>
      <scheme val="minor"/>
    </font>
  </fonts>
  <fills count="6">
    <fill>
      <patternFill patternType="none"/>
    </fill>
    <fill>
      <patternFill patternType="gray125"/>
    </fill>
    <fill>
      <patternFill patternType="solid">
        <fgColor rgb="FF0000FF"/>
        <bgColor indexed="64"/>
      </patternFill>
    </fill>
    <fill>
      <patternFill patternType="solid">
        <fgColor rgb="FF00B0F0"/>
        <bgColor indexed="64"/>
      </patternFill>
    </fill>
    <fill>
      <patternFill patternType="solid">
        <fgColor rgb="FFFFFF00"/>
        <bgColor indexed="64"/>
      </patternFill>
    </fill>
    <fill>
      <patternFill patternType="solid">
        <fgColor rgb="FFFFFFCC"/>
        <bgColor indexed="64"/>
      </patternFill>
    </fill>
  </fills>
  <borders count="10">
    <border>
      <left/>
      <right/>
      <top/>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style="medium">
        <color rgb="FF0000FF"/>
      </left>
      <right/>
      <top/>
      <bottom/>
      <diagonal/>
    </border>
    <border>
      <left/>
      <right style="medium">
        <color rgb="FF0000FF"/>
      </right>
      <top/>
      <bottom/>
      <diagonal/>
    </border>
    <border>
      <left style="medium">
        <color rgb="FF0000FF"/>
      </left>
      <right/>
      <top/>
      <bottom style="medium">
        <color rgb="FF0000FF"/>
      </bottom>
      <diagonal/>
    </border>
    <border>
      <left/>
      <right/>
      <top/>
      <bottom style="medium">
        <color rgb="FF0000FF"/>
      </bottom>
      <diagonal/>
    </border>
    <border>
      <left/>
      <right style="medium">
        <color rgb="FF0000FF"/>
      </right>
      <top/>
      <bottom style="medium">
        <color rgb="FF0000FF"/>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2">
    <xf numFmtId="0" fontId="0" fillId="0" borderId="0"/>
    <xf numFmtId="9" fontId="19" fillId="0" borderId="0" applyFont="0" applyFill="0" applyBorder="0" applyAlignment="0" applyProtection="0"/>
  </cellStyleXfs>
  <cellXfs count="123">
    <xf numFmtId="0" fontId="0" fillId="0" borderId="0" xfId="0"/>
    <xf numFmtId="0" fontId="1" fillId="0" borderId="0" xfId="0" applyFont="1"/>
    <xf numFmtId="9" fontId="0" fillId="0" borderId="0" xfId="0" applyNumberFormat="1"/>
    <xf numFmtId="4" fontId="0" fillId="0" borderId="0" xfId="0" applyNumberFormat="1"/>
    <xf numFmtId="0" fontId="0" fillId="0" borderId="0" xfId="0" applyAlignment="1">
      <alignment wrapText="1"/>
    </xf>
    <xf numFmtId="0" fontId="2" fillId="0" borderId="0" xfId="0" applyFont="1"/>
    <xf numFmtId="10" fontId="0" fillId="0" borderId="0" xfId="0" applyNumberFormat="1"/>
    <xf numFmtId="10" fontId="1" fillId="0" borderId="0" xfId="0" applyNumberFormat="1" applyFont="1"/>
    <xf numFmtId="4" fontId="1" fillId="0" borderId="0" xfId="0" applyNumberFormat="1" applyFont="1"/>
    <xf numFmtId="0" fontId="4" fillId="3" borderId="0" xfId="0" applyFont="1" applyFill="1"/>
    <xf numFmtId="4" fontId="0" fillId="0" borderId="0" xfId="0" applyNumberFormat="1" applyAlignment="1">
      <alignment horizontal="center"/>
    </xf>
    <xf numFmtId="0" fontId="0" fillId="0" borderId="0" xfId="0" applyAlignment="1">
      <alignment horizontal="right"/>
    </xf>
    <xf numFmtId="0" fontId="5" fillId="2" borderId="0" xfId="0" applyFont="1" applyFill="1" applyAlignment="1">
      <alignment horizontal="center"/>
    </xf>
    <xf numFmtId="0" fontId="5" fillId="2" borderId="0" xfId="0" applyFont="1" applyFill="1"/>
    <xf numFmtId="164" fontId="0" fillId="0" borderId="0" xfId="0" applyNumberFormat="1"/>
    <xf numFmtId="9" fontId="5" fillId="0" borderId="0" xfId="0" applyNumberFormat="1" applyFont="1"/>
    <xf numFmtId="0" fontId="1" fillId="4" borderId="0" xfId="0" applyFont="1" applyFill="1"/>
    <xf numFmtId="4" fontId="0" fillId="4" borderId="0" xfId="0" applyNumberFormat="1" applyFill="1"/>
    <xf numFmtId="0" fontId="7" fillId="0" borderId="0" xfId="0" applyFont="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7" fillId="0" borderId="6" xfId="0" applyFont="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4" fontId="0" fillId="5" borderId="0" xfId="0" applyNumberFormat="1" applyFill="1"/>
    <xf numFmtId="4" fontId="1" fillId="5" borderId="0" xfId="0" applyNumberFormat="1" applyFont="1" applyFill="1"/>
    <xf numFmtId="10" fontId="0" fillId="5" borderId="0" xfId="0" applyNumberFormat="1" applyFill="1"/>
    <xf numFmtId="0" fontId="0" fillId="5" borderId="0" xfId="0" applyFill="1"/>
    <xf numFmtId="164" fontId="0" fillId="5" borderId="0" xfId="0" applyNumberFormat="1" applyFill="1"/>
    <xf numFmtId="0" fontId="1" fillId="5" borderId="0" xfId="0" applyFont="1" applyFill="1"/>
    <xf numFmtId="0" fontId="8" fillId="0" borderId="0" xfId="0" applyFont="1"/>
    <xf numFmtId="4" fontId="8" fillId="0" borderId="0" xfId="0" applyNumberFormat="1" applyFont="1"/>
    <xf numFmtId="0" fontId="9" fillId="0" borderId="0" xfId="0" applyFont="1"/>
    <xf numFmtId="0" fontId="10" fillId="0" borderId="0" xfId="0" applyFont="1" applyAlignment="1">
      <alignment horizontal="justify" vertical="center" wrapText="1"/>
    </xf>
    <xf numFmtId="0" fontId="10" fillId="0" borderId="0" xfId="0" applyFont="1" applyAlignment="1">
      <alignment horizontal="center" vertical="center" wrapText="1"/>
    </xf>
    <xf numFmtId="10" fontId="8" fillId="0" borderId="0" xfId="0" applyNumberFormat="1" applyFont="1"/>
    <xf numFmtId="0" fontId="11" fillId="0" borderId="0" xfId="0" applyFont="1"/>
    <xf numFmtId="4" fontId="11" fillId="5" borderId="0" xfId="0" applyNumberFormat="1" applyFont="1" applyFill="1"/>
    <xf numFmtId="10" fontId="11" fillId="5" borderId="0" xfId="0" applyNumberFormat="1" applyFont="1" applyFill="1"/>
    <xf numFmtId="9" fontId="0" fillId="0" borderId="0" xfId="0" applyNumberFormat="1" applyAlignment="1">
      <alignment horizontal="center"/>
    </xf>
    <xf numFmtId="0" fontId="4" fillId="3" borderId="0" xfId="0" applyFont="1" applyFill="1" applyAlignment="1">
      <alignment horizontal="center"/>
    </xf>
    <xf numFmtId="4" fontId="1" fillId="5" borderId="0" xfId="0" applyNumberFormat="1" applyFont="1" applyFill="1" applyAlignment="1">
      <alignment horizontal="center"/>
    </xf>
    <xf numFmtId="0" fontId="8" fillId="0" borderId="0" xfId="0" applyFont="1" applyAlignment="1">
      <alignment horizontal="center"/>
    </xf>
    <xf numFmtId="4" fontId="8" fillId="0" borderId="0" xfId="0" applyNumberFormat="1" applyFont="1" applyAlignment="1">
      <alignment horizontal="center"/>
    </xf>
    <xf numFmtId="10" fontId="8" fillId="0" borderId="0" xfId="0" applyNumberFormat="1" applyFont="1" applyAlignment="1">
      <alignment horizontal="center"/>
    </xf>
    <xf numFmtId="0" fontId="10" fillId="0" borderId="0" xfId="0" applyFont="1" applyAlignment="1">
      <alignment vertical="center" wrapText="1"/>
    </xf>
    <xf numFmtId="0" fontId="8" fillId="0" borderId="0" xfId="0" applyFont="1" applyAlignment="1">
      <alignment horizontal="left"/>
    </xf>
    <xf numFmtId="0" fontId="11" fillId="5" borderId="0" xfId="0" applyFont="1" applyFill="1" applyAlignment="1">
      <alignment horizontal="center"/>
    </xf>
    <xf numFmtId="4" fontId="11" fillId="5" borderId="0" xfId="0" applyNumberFormat="1" applyFont="1" applyFill="1" applyAlignment="1">
      <alignment horizontal="center"/>
    </xf>
    <xf numFmtId="10" fontId="11" fillId="5" borderId="0" xfId="0" applyNumberFormat="1" applyFont="1" applyFill="1" applyAlignment="1">
      <alignment horizontal="center"/>
    </xf>
    <xf numFmtId="10" fontId="8" fillId="5" borderId="0" xfId="0" applyNumberFormat="1" applyFont="1" applyFill="1" applyAlignment="1">
      <alignment horizontal="center"/>
    </xf>
    <xf numFmtId="0" fontId="13" fillId="0" borderId="0" xfId="0" applyFont="1"/>
    <xf numFmtId="10" fontId="13" fillId="5" borderId="0" xfId="0" applyNumberFormat="1" applyFont="1" applyFill="1"/>
    <xf numFmtId="4" fontId="13" fillId="5" borderId="0" xfId="0" applyNumberFormat="1" applyFont="1" applyFill="1"/>
    <xf numFmtId="4" fontId="8" fillId="5" borderId="0" xfId="0" applyNumberFormat="1" applyFont="1" applyFill="1" applyAlignment="1">
      <alignment horizontal="center"/>
    </xf>
    <xf numFmtId="10" fontId="11" fillId="0" borderId="0" xfId="0" applyNumberFormat="1" applyFont="1"/>
    <xf numFmtId="4" fontId="11" fillId="0" borderId="0" xfId="0" applyNumberFormat="1" applyFont="1"/>
    <xf numFmtId="10" fontId="8" fillId="5" borderId="0" xfId="0" applyNumberFormat="1" applyFont="1" applyFill="1"/>
    <xf numFmtId="4" fontId="0" fillId="5" borderId="0" xfId="0" applyNumberFormat="1" applyFill="1" applyAlignment="1">
      <alignment horizontal="center"/>
    </xf>
    <xf numFmtId="10" fontId="0" fillId="5" borderId="0" xfId="0" applyNumberFormat="1" applyFill="1" applyAlignment="1">
      <alignment horizontal="center"/>
    </xf>
    <xf numFmtId="0" fontId="7" fillId="0" borderId="0" xfId="0" applyFont="1"/>
    <xf numFmtId="4" fontId="7" fillId="0" borderId="0" xfId="0" applyNumberFormat="1" applyFont="1"/>
    <xf numFmtId="10" fontId="7" fillId="0" borderId="0" xfId="0" applyNumberFormat="1" applyFont="1"/>
    <xf numFmtId="4" fontId="10" fillId="0" borderId="0" xfId="0" applyNumberFormat="1" applyFont="1" applyAlignment="1">
      <alignment horizontal="center"/>
    </xf>
    <xf numFmtId="0" fontId="10" fillId="0" borderId="0" xfId="0" applyFont="1" applyAlignment="1">
      <alignment horizontal="center"/>
    </xf>
    <xf numFmtId="10" fontId="10" fillId="0" borderId="0" xfId="0" applyNumberFormat="1" applyFont="1" applyAlignment="1">
      <alignment horizontal="center"/>
    </xf>
    <xf numFmtId="0" fontId="7" fillId="0" borderId="0" xfId="0" applyFont="1" applyAlignment="1">
      <alignment horizontal="center"/>
    </xf>
    <xf numFmtId="4" fontId="0" fillId="0" borderId="0" xfId="0" applyNumberFormat="1" applyProtection="1">
      <protection locked="0"/>
    </xf>
    <xf numFmtId="0" fontId="9" fillId="0" borderId="0" xfId="0" applyFont="1" applyAlignment="1">
      <alignment horizontal="center"/>
    </xf>
    <xf numFmtId="0" fontId="8" fillId="0" borderId="0" xfId="0" applyFont="1" applyAlignment="1">
      <alignment horizontal="center" vertical="center"/>
    </xf>
    <xf numFmtId="3" fontId="8" fillId="0" borderId="0" xfId="0" applyNumberFormat="1" applyFont="1" applyAlignment="1">
      <alignment horizontal="center"/>
    </xf>
    <xf numFmtId="10" fontId="11" fillId="0" borderId="0" xfId="0" applyNumberFormat="1" applyFont="1" applyAlignment="1">
      <alignment horizontal="center"/>
    </xf>
    <xf numFmtId="0" fontId="15" fillId="0" borderId="0" xfId="0" applyFont="1"/>
    <xf numFmtId="0" fontId="13" fillId="0" borderId="0" xfId="0" applyFont="1" applyAlignment="1">
      <alignment horizontal="center"/>
    </xf>
    <xf numFmtId="10" fontId="13" fillId="0" borderId="0" xfId="0" applyNumberFormat="1" applyFont="1" applyAlignment="1">
      <alignment horizontal="center"/>
    </xf>
    <xf numFmtId="4" fontId="13" fillId="0" borderId="0" xfId="0" applyNumberFormat="1" applyFont="1" applyAlignment="1">
      <alignment horizontal="center"/>
    </xf>
    <xf numFmtId="0" fontId="16" fillId="0" borderId="0" xfId="0" applyFont="1"/>
    <xf numFmtId="10" fontId="16" fillId="0" borderId="0" xfId="0" applyNumberFormat="1" applyFont="1" applyAlignment="1">
      <alignment horizontal="center"/>
    </xf>
    <xf numFmtId="4" fontId="16" fillId="5" borderId="0" xfId="0" applyNumberFormat="1" applyFont="1" applyFill="1" applyAlignment="1">
      <alignment horizontal="center"/>
    </xf>
    <xf numFmtId="3" fontId="13" fillId="0" borderId="0" xfId="0" applyNumberFormat="1" applyFont="1" applyAlignment="1">
      <alignment horizontal="center" vertical="center"/>
    </xf>
    <xf numFmtId="3" fontId="16" fillId="5" borderId="0" xfId="0" applyNumberFormat="1" applyFont="1" applyFill="1" applyAlignment="1">
      <alignment horizontal="center" vertical="center"/>
    </xf>
    <xf numFmtId="0" fontId="17" fillId="0" borderId="0" xfId="0" applyFont="1"/>
    <xf numFmtId="9" fontId="17" fillId="0" borderId="0" xfId="0" applyNumberFormat="1" applyFont="1"/>
    <xf numFmtId="0" fontId="18" fillId="0" borderId="0" xfId="0" applyFont="1"/>
    <xf numFmtId="9" fontId="18" fillId="0" borderId="0" xfId="0" applyNumberFormat="1" applyFont="1"/>
    <xf numFmtId="0" fontId="0" fillId="0" borderId="0" xfId="0" applyAlignment="1">
      <alignment horizontal="center"/>
    </xf>
    <xf numFmtId="9" fontId="0" fillId="5" borderId="0" xfId="0" applyNumberFormat="1" applyFill="1" applyAlignment="1">
      <alignment horizontal="center"/>
    </xf>
    <xf numFmtId="2" fontId="0" fillId="5" borderId="0" xfId="0" applyNumberFormat="1" applyFill="1"/>
    <xf numFmtId="2" fontId="1" fillId="5" borderId="0" xfId="0" applyNumberFormat="1" applyFont="1" applyFill="1"/>
    <xf numFmtId="10" fontId="0" fillId="0" borderId="0" xfId="0" applyNumberFormat="1" applyAlignment="1">
      <alignment horizontal="center"/>
    </xf>
    <xf numFmtId="10" fontId="9" fillId="0" borderId="0" xfId="0" applyNumberFormat="1" applyFont="1"/>
    <xf numFmtId="4" fontId="0" fillId="5" borderId="0" xfId="0" quotePrefix="1" applyNumberFormat="1" applyFill="1"/>
    <xf numFmtId="3" fontId="0" fillId="0" borderId="0" xfId="0" applyNumberFormat="1"/>
    <xf numFmtId="165" fontId="11" fillId="5" borderId="0" xfId="0" applyNumberFormat="1" applyFont="1" applyFill="1"/>
    <xf numFmtId="0" fontId="4" fillId="3" borderId="9" xfId="0" applyFont="1" applyFill="1" applyBorder="1"/>
    <xf numFmtId="0" fontId="1" fillId="0" borderId="9" xfId="0" applyFont="1" applyBorder="1"/>
    <xf numFmtId="0" fontId="0" fillId="0" borderId="9" xfId="0" applyBorder="1"/>
    <xf numFmtId="4" fontId="0" fillId="0" borderId="9" xfId="0" applyNumberFormat="1" applyBorder="1"/>
    <xf numFmtId="4" fontId="1" fillId="0" borderId="9" xfId="0" applyNumberFormat="1" applyFont="1" applyBorder="1"/>
    <xf numFmtId="4" fontId="0" fillId="4" borderId="9" xfId="0" applyNumberFormat="1" applyFill="1" applyBorder="1"/>
    <xf numFmtId="4" fontId="18" fillId="0" borderId="0" xfId="0" applyNumberFormat="1" applyFont="1"/>
    <xf numFmtId="10" fontId="0" fillId="0" borderId="0" xfId="1" applyNumberFormat="1" applyFont="1" applyBorder="1"/>
    <xf numFmtId="0" fontId="6" fillId="0" borderId="0" xfId="0" applyFont="1"/>
    <xf numFmtId="10" fontId="7" fillId="4" borderId="0" xfId="0" applyNumberFormat="1" applyFont="1" applyFill="1"/>
    <xf numFmtId="10" fontId="0" fillId="0" borderId="0" xfId="1" applyNumberFormat="1" applyFont="1" applyFill="1" applyBorder="1"/>
    <xf numFmtId="164" fontId="18" fillId="0" borderId="0" xfId="0" applyNumberFormat="1" applyFont="1"/>
    <xf numFmtId="10" fontId="18" fillId="0" borderId="0" xfId="0" applyNumberFormat="1" applyFont="1"/>
    <xf numFmtId="10" fontId="0" fillId="0" borderId="0" xfId="1" applyNumberFormat="1" applyFont="1" applyFill="1"/>
    <xf numFmtId="0" fontId="10" fillId="0" borderId="0" xfId="0" applyFont="1" applyAlignment="1">
      <alignment horizontal="center" vertical="center" wrapText="1"/>
    </xf>
    <xf numFmtId="0" fontId="12" fillId="0" borderId="0" xfId="0" applyFont="1" applyAlignment="1">
      <alignment horizontal="center"/>
    </xf>
    <xf numFmtId="0" fontId="6" fillId="0" borderId="0" xfId="0" applyFont="1" applyAlignment="1">
      <alignment horizontal="justify" vertical="center" wrapText="1"/>
    </xf>
    <xf numFmtId="0" fontId="3" fillId="2" borderId="0" xfId="0" applyFont="1" applyFill="1" applyAlignment="1">
      <alignment horizontal="center"/>
    </xf>
    <xf numFmtId="0" fontId="6" fillId="0" borderId="0" xfId="0" applyFont="1" applyAlignment="1">
      <alignment horizontal="center"/>
    </xf>
    <xf numFmtId="0" fontId="3" fillId="2" borderId="9" xfId="0" applyFont="1" applyFill="1" applyBorder="1" applyAlignment="1">
      <alignment horizontal="center"/>
    </xf>
    <xf numFmtId="0" fontId="14" fillId="0" borderId="1" xfId="0" applyFont="1" applyBorder="1" applyAlignment="1">
      <alignment horizontal="justify" vertical="justify" wrapText="1"/>
    </xf>
    <xf numFmtId="0" fontId="14" fillId="0" borderId="2" xfId="0" applyFont="1" applyBorder="1" applyAlignment="1">
      <alignment horizontal="justify" vertical="justify" wrapText="1"/>
    </xf>
    <xf numFmtId="0" fontId="14" fillId="0" borderId="3" xfId="0" applyFont="1" applyBorder="1" applyAlignment="1">
      <alignment horizontal="justify" vertical="justify" wrapText="1"/>
    </xf>
    <xf numFmtId="0" fontId="14" fillId="0" borderId="4" xfId="0" applyFont="1" applyBorder="1" applyAlignment="1">
      <alignment horizontal="justify" vertical="justify" wrapText="1"/>
    </xf>
    <xf numFmtId="0" fontId="14" fillId="0" borderId="0" xfId="0" applyFont="1" applyAlignment="1">
      <alignment horizontal="justify" vertical="justify" wrapText="1"/>
    </xf>
    <xf numFmtId="0" fontId="14" fillId="0" borderId="5" xfId="0" applyFont="1" applyBorder="1" applyAlignment="1">
      <alignment horizontal="justify" vertical="justify" wrapText="1"/>
    </xf>
    <xf numFmtId="2" fontId="12" fillId="0" borderId="0" xfId="0" applyNumberFormat="1" applyFont="1" applyAlignment="1">
      <alignment horizontal="center" wrapText="1"/>
    </xf>
    <xf numFmtId="0" fontId="7" fillId="0" borderId="0" xfId="0" applyFont="1" applyAlignment="1">
      <alignment horizontal="center" vertical="center"/>
    </xf>
    <xf numFmtId="0" fontId="13"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Sheet1!$I$23</c:f>
              <c:strCache>
                <c:ptCount val="1"/>
                <c:pt idx="0">
                  <c:v>Total Liabilities</c:v>
                </c:pt>
              </c:strCache>
            </c:strRef>
          </c:tx>
          <c:spPr>
            <a:ln w="28575" cap="rnd">
              <a:solidFill>
                <a:schemeClr val="accent1"/>
              </a:solidFill>
              <a:round/>
            </a:ln>
            <a:effectLst/>
          </c:spPr>
          <c:marker>
            <c:symbol val="none"/>
          </c:marker>
          <c:cat>
            <c:numRef>
              <c:f>Sheet1!$J$22:$M$22</c:f>
              <c:numCache>
                <c:formatCode>General</c:formatCode>
                <c:ptCount val="4"/>
                <c:pt idx="0">
                  <c:v>2019</c:v>
                </c:pt>
                <c:pt idx="1">
                  <c:v>2020</c:v>
                </c:pt>
                <c:pt idx="2">
                  <c:v>2021</c:v>
                </c:pt>
                <c:pt idx="3">
                  <c:v>2022</c:v>
                </c:pt>
              </c:numCache>
            </c:numRef>
          </c:cat>
          <c:val>
            <c:numRef>
              <c:f>Sheet1!$J$23:$M$23</c:f>
              <c:numCache>
                <c:formatCode>0.00%</c:formatCode>
                <c:ptCount val="4"/>
                <c:pt idx="0">
                  <c:v>0</c:v>
                </c:pt>
                <c:pt idx="1">
                  <c:v>1.3397435897435899</c:v>
                </c:pt>
                <c:pt idx="2">
                  <c:v>1.8525641025641026</c:v>
                </c:pt>
                <c:pt idx="3">
                  <c:v>2.6153846153846154</c:v>
                </c:pt>
              </c:numCache>
            </c:numRef>
          </c:val>
          <c:smooth val="0"/>
          <c:extLst>
            <c:ext xmlns:c16="http://schemas.microsoft.com/office/drawing/2014/chart" uri="{C3380CC4-5D6E-409C-BE32-E72D297353CC}">
              <c16:uniqueId val="{00000001-3F11-4E96-AA9A-F9F87D97F4C2}"/>
            </c:ext>
          </c:extLst>
        </c:ser>
        <c:dLbls>
          <c:showLegendKey val="0"/>
          <c:showVal val="0"/>
          <c:showCatName val="0"/>
          <c:showSerName val="0"/>
          <c:showPercent val="0"/>
          <c:showBubbleSize val="0"/>
        </c:dLbls>
        <c:smooth val="0"/>
        <c:axId val="1505089031"/>
        <c:axId val="1505223175"/>
      </c:lineChart>
      <c:catAx>
        <c:axId val="1505089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23175"/>
        <c:crosses val="autoZero"/>
        <c:auto val="1"/>
        <c:lblAlgn val="ctr"/>
        <c:lblOffset val="100"/>
        <c:noMultiLvlLbl val="0"/>
      </c:catAx>
      <c:valAx>
        <c:axId val="1505223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089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Sheet1!$I$4</c:f>
              <c:strCache>
                <c:ptCount val="1"/>
                <c:pt idx="0">
                  <c:v>Total Current Assets</c:v>
                </c:pt>
              </c:strCache>
            </c:strRef>
          </c:tx>
          <c:spPr>
            <a:ln w="28575" cap="rnd">
              <a:solidFill>
                <a:schemeClr val="accent1"/>
              </a:solidFill>
              <a:round/>
            </a:ln>
            <a:effectLst/>
          </c:spPr>
          <c:marker>
            <c:symbol val="none"/>
          </c:marker>
          <c:cat>
            <c:numRef>
              <c:f>Sheet1!$J$3:$M$3</c:f>
              <c:numCache>
                <c:formatCode>General</c:formatCode>
                <c:ptCount val="4"/>
                <c:pt idx="0">
                  <c:v>2019</c:v>
                </c:pt>
                <c:pt idx="1">
                  <c:v>2020</c:v>
                </c:pt>
                <c:pt idx="2">
                  <c:v>2021</c:v>
                </c:pt>
                <c:pt idx="3">
                  <c:v>2022</c:v>
                </c:pt>
              </c:numCache>
            </c:numRef>
          </c:cat>
          <c:val>
            <c:numRef>
              <c:f>Sheet1!$J$4:$M$4</c:f>
              <c:numCache>
                <c:formatCode>0.00%</c:formatCode>
                <c:ptCount val="4"/>
                <c:pt idx="0">
                  <c:v>0</c:v>
                </c:pt>
                <c:pt idx="1">
                  <c:v>0.9</c:v>
                </c:pt>
                <c:pt idx="2">
                  <c:v>1.1666666666666667</c:v>
                </c:pt>
                <c:pt idx="3">
                  <c:v>1.4666666666666666</c:v>
                </c:pt>
              </c:numCache>
            </c:numRef>
          </c:val>
          <c:smooth val="0"/>
          <c:extLst>
            <c:ext xmlns:c16="http://schemas.microsoft.com/office/drawing/2014/chart" uri="{C3380CC4-5D6E-409C-BE32-E72D297353CC}">
              <c16:uniqueId val="{00000001-EA80-43BC-A861-1DDA81DD87C4}"/>
            </c:ext>
          </c:extLst>
        </c:ser>
        <c:ser>
          <c:idx val="1"/>
          <c:order val="1"/>
          <c:tx>
            <c:strRef>
              <c:f>Sheet1!$I$5</c:f>
              <c:strCache>
                <c:ptCount val="1"/>
                <c:pt idx="0">
                  <c:v>Total Long Term Assets</c:v>
                </c:pt>
              </c:strCache>
            </c:strRef>
          </c:tx>
          <c:spPr>
            <a:ln w="28575" cap="rnd">
              <a:solidFill>
                <a:schemeClr val="accent2"/>
              </a:solidFill>
              <a:round/>
            </a:ln>
            <a:effectLst/>
          </c:spPr>
          <c:marker>
            <c:symbol val="none"/>
          </c:marker>
          <c:cat>
            <c:numRef>
              <c:f>Sheet1!$J$3:$M$3</c:f>
              <c:numCache>
                <c:formatCode>General</c:formatCode>
                <c:ptCount val="4"/>
                <c:pt idx="0">
                  <c:v>2019</c:v>
                </c:pt>
                <c:pt idx="1">
                  <c:v>2020</c:v>
                </c:pt>
                <c:pt idx="2">
                  <c:v>2021</c:v>
                </c:pt>
                <c:pt idx="3">
                  <c:v>2022</c:v>
                </c:pt>
              </c:numCache>
            </c:numRef>
          </c:cat>
          <c:val>
            <c:numRef>
              <c:f>Sheet1!$J$5:$M$5</c:f>
              <c:numCache>
                <c:formatCode>0.00%</c:formatCode>
                <c:ptCount val="4"/>
                <c:pt idx="0">
                  <c:v>0</c:v>
                </c:pt>
                <c:pt idx="1">
                  <c:v>0.18571428571428572</c:v>
                </c:pt>
                <c:pt idx="2">
                  <c:v>0.35714285714285715</c:v>
                </c:pt>
                <c:pt idx="3">
                  <c:v>0.51428571428571423</c:v>
                </c:pt>
              </c:numCache>
            </c:numRef>
          </c:val>
          <c:smooth val="0"/>
          <c:extLst>
            <c:ext xmlns:c16="http://schemas.microsoft.com/office/drawing/2014/chart" uri="{C3380CC4-5D6E-409C-BE32-E72D297353CC}">
              <c16:uniqueId val="{00000003-EA80-43BC-A861-1DDA81DD87C4}"/>
            </c:ext>
          </c:extLst>
        </c:ser>
        <c:ser>
          <c:idx val="2"/>
          <c:order val="2"/>
          <c:tx>
            <c:strRef>
              <c:f>Sheet1!$I$6</c:f>
              <c:strCache>
                <c:ptCount val="1"/>
                <c:pt idx="0">
                  <c:v>Total Assets</c:v>
                </c:pt>
              </c:strCache>
            </c:strRef>
          </c:tx>
          <c:spPr>
            <a:ln w="28575" cap="rnd">
              <a:solidFill>
                <a:schemeClr val="accent3"/>
              </a:solidFill>
              <a:round/>
            </a:ln>
            <a:effectLst/>
          </c:spPr>
          <c:marker>
            <c:symbol val="none"/>
          </c:marker>
          <c:cat>
            <c:numRef>
              <c:f>Sheet1!$J$3:$M$3</c:f>
              <c:numCache>
                <c:formatCode>General</c:formatCode>
                <c:ptCount val="4"/>
                <c:pt idx="0">
                  <c:v>2019</c:v>
                </c:pt>
                <c:pt idx="1">
                  <c:v>2020</c:v>
                </c:pt>
                <c:pt idx="2">
                  <c:v>2021</c:v>
                </c:pt>
                <c:pt idx="3">
                  <c:v>2022</c:v>
                </c:pt>
              </c:numCache>
            </c:numRef>
          </c:cat>
          <c:val>
            <c:numRef>
              <c:f>Sheet1!$J$6:$M$6</c:f>
              <c:numCache>
                <c:formatCode>0.00%</c:formatCode>
                <c:ptCount val="4"/>
                <c:pt idx="0">
                  <c:v>0</c:v>
                </c:pt>
                <c:pt idx="1">
                  <c:v>0.4</c:v>
                </c:pt>
                <c:pt idx="2">
                  <c:v>0.6</c:v>
                </c:pt>
                <c:pt idx="3">
                  <c:v>0.8</c:v>
                </c:pt>
              </c:numCache>
            </c:numRef>
          </c:val>
          <c:smooth val="0"/>
          <c:extLst>
            <c:ext xmlns:c16="http://schemas.microsoft.com/office/drawing/2014/chart" uri="{C3380CC4-5D6E-409C-BE32-E72D297353CC}">
              <c16:uniqueId val="{00000005-EA80-43BC-A861-1DDA81DD87C4}"/>
            </c:ext>
          </c:extLst>
        </c:ser>
        <c:dLbls>
          <c:showLegendKey val="0"/>
          <c:showVal val="0"/>
          <c:showCatName val="0"/>
          <c:showSerName val="0"/>
          <c:showPercent val="0"/>
          <c:showBubbleSize val="0"/>
        </c:dLbls>
        <c:smooth val="0"/>
        <c:axId val="918597128"/>
        <c:axId val="1505076743"/>
      </c:lineChart>
      <c:catAx>
        <c:axId val="918597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076743"/>
        <c:crosses val="autoZero"/>
        <c:auto val="1"/>
        <c:lblAlgn val="ctr"/>
        <c:lblOffset val="100"/>
        <c:noMultiLvlLbl val="0"/>
      </c:catAx>
      <c:valAx>
        <c:axId val="1505076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597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Sheet1!$I$23</c:f>
              <c:strCache>
                <c:ptCount val="1"/>
                <c:pt idx="0">
                  <c:v>Total Liabilities</c:v>
                </c:pt>
              </c:strCache>
            </c:strRef>
          </c:tx>
          <c:spPr>
            <a:ln w="28575" cap="rnd">
              <a:solidFill>
                <a:schemeClr val="accent1"/>
              </a:solidFill>
              <a:round/>
            </a:ln>
            <a:effectLst/>
          </c:spPr>
          <c:marker>
            <c:symbol val="none"/>
          </c:marker>
          <c:cat>
            <c:numRef>
              <c:f>Sheet1!$J$22:$M$22</c:f>
              <c:numCache>
                <c:formatCode>General</c:formatCode>
                <c:ptCount val="4"/>
                <c:pt idx="0">
                  <c:v>2019</c:v>
                </c:pt>
                <c:pt idx="1">
                  <c:v>2020</c:v>
                </c:pt>
                <c:pt idx="2">
                  <c:v>2021</c:v>
                </c:pt>
                <c:pt idx="3">
                  <c:v>2022</c:v>
                </c:pt>
              </c:numCache>
            </c:numRef>
          </c:cat>
          <c:val>
            <c:numRef>
              <c:f>Sheet1!$J$23:$M$23</c:f>
              <c:numCache>
                <c:formatCode>0.00%</c:formatCode>
                <c:ptCount val="4"/>
                <c:pt idx="0">
                  <c:v>0</c:v>
                </c:pt>
                <c:pt idx="1">
                  <c:v>1.3397435897435899</c:v>
                </c:pt>
                <c:pt idx="2">
                  <c:v>1.8525641025641026</c:v>
                </c:pt>
                <c:pt idx="3">
                  <c:v>2.6153846153846154</c:v>
                </c:pt>
              </c:numCache>
            </c:numRef>
          </c:val>
          <c:smooth val="0"/>
          <c:extLst>
            <c:ext xmlns:c16="http://schemas.microsoft.com/office/drawing/2014/chart" uri="{C3380CC4-5D6E-409C-BE32-E72D297353CC}">
              <c16:uniqueId val="{00000001-2178-4614-81C5-95D49A918F58}"/>
            </c:ext>
          </c:extLst>
        </c:ser>
        <c:ser>
          <c:idx val="1"/>
          <c:order val="1"/>
          <c:tx>
            <c:strRef>
              <c:f>Sheet1!$I$24</c:f>
              <c:strCache>
                <c:ptCount val="1"/>
                <c:pt idx="0">
                  <c:v>Total Assets</c:v>
                </c:pt>
              </c:strCache>
            </c:strRef>
          </c:tx>
          <c:spPr>
            <a:ln w="28575" cap="rnd">
              <a:solidFill>
                <a:schemeClr val="accent2"/>
              </a:solidFill>
              <a:round/>
            </a:ln>
            <a:effectLst/>
          </c:spPr>
          <c:marker>
            <c:symbol val="none"/>
          </c:marker>
          <c:cat>
            <c:numRef>
              <c:f>Sheet1!$J$22:$M$22</c:f>
              <c:numCache>
                <c:formatCode>General</c:formatCode>
                <c:ptCount val="4"/>
                <c:pt idx="0">
                  <c:v>2019</c:v>
                </c:pt>
                <c:pt idx="1">
                  <c:v>2020</c:v>
                </c:pt>
                <c:pt idx="2">
                  <c:v>2021</c:v>
                </c:pt>
                <c:pt idx="3">
                  <c:v>2022</c:v>
                </c:pt>
              </c:numCache>
            </c:numRef>
          </c:cat>
          <c:val>
            <c:numRef>
              <c:f>Sheet1!$J$24:$M$24</c:f>
              <c:numCache>
                <c:formatCode>0.00%</c:formatCode>
                <c:ptCount val="4"/>
                <c:pt idx="0">
                  <c:v>0</c:v>
                </c:pt>
                <c:pt idx="1">
                  <c:v>0.4</c:v>
                </c:pt>
                <c:pt idx="2">
                  <c:v>0.6</c:v>
                </c:pt>
                <c:pt idx="3">
                  <c:v>0.8</c:v>
                </c:pt>
              </c:numCache>
            </c:numRef>
          </c:val>
          <c:smooth val="0"/>
          <c:extLst>
            <c:ext xmlns:c16="http://schemas.microsoft.com/office/drawing/2014/chart" uri="{C3380CC4-5D6E-409C-BE32-E72D297353CC}">
              <c16:uniqueId val="{00000003-2178-4614-81C5-95D49A918F58}"/>
            </c:ext>
          </c:extLst>
        </c:ser>
        <c:dLbls>
          <c:showLegendKey val="0"/>
          <c:showVal val="0"/>
          <c:showCatName val="0"/>
          <c:showSerName val="0"/>
          <c:showPercent val="0"/>
          <c:showBubbleSize val="0"/>
        </c:dLbls>
        <c:smooth val="0"/>
        <c:axId val="1505218055"/>
        <c:axId val="905844232"/>
      </c:lineChart>
      <c:catAx>
        <c:axId val="1505218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844232"/>
        <c:crosses val="autoZero"/>
        <c:auto val="1"/>
        <c:lblAlgn val="ctr"/>
        <c:lblOffset val="100"/>
        <c:noMultiLvlLbl val="0"/>
      </c:catAx>
      <c:valAx>
        <c:axId val="905844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18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12700</xdr:colOff>
      <xdr:row>6</xdr:row>
      <xdr:rowOff>159450</xdr:rowOff>
    </xdr:from>
    <xdr:to>
      <xdr:col>8</xdr:col>
      <xdr:colOff>0</xdr:colOff>
      <xdr:row>8</xdr:row>
      <xdr:rowOff>66922</xdr:rowOff>
    </xdr:to>
    <xdr:pic>
      <xdr:nvPicPr>
        <xdr:cNvPr id="2" name="Picture 1">
          <a:extLst>
            <a:ext uri="{FF2B5EF4-FFF2-40B4-BE49-F238E27FC236}">
              <a16:creationId xmlns:a16="http://schemas.microsoft.com/office/drawing/2014/main" id="{17ADB386-5E73-7E7A-5B18-77F8809AB16A}"/>
            </a:ext>
          </a:extLst>
        </xdr:cNvPr>
        <xdr:cNvPicPr>
          <a:picLocks noChangeAspect="1"/>
        </xdr:cNvPicPr>
      </xdr:nvPicPr>
      <xdr:blipFill>
        <a:blip xmlns:r="http://schemas.openxmlformats.org/officeDocument/2006/relationships" r:embed="rId1"/>
        <a:stretch>
          <a:fillRect/>
        </a:stretch>
      </xdr:blipFill>
      <xdr:spPr>
        <a:xfrm>
          <a:off x="6156325" y="1302450"/>
          <a:ext cx="549275" cy="2884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542925</xdr:colOff>
      <xdr:row>20</xdr:row>
      <xdr:rowOff>114300</xdr:rowOff>
    </xdr:from>
    <xdr:to>
      <xdr:col>21</xdr:col>
      <xdr:colOff>238125</xdr:colOff>
      <xdr:row>35</xdr:row>
      <xdr:rowOff>0</xdr:rowOff>
    </xdr:to>
    <xdr:graphicFrame macro="">
      <xdr:nvGraphicFramePr>
        <xdr:cNvPr id="2" name="Chart 1">
          <a:extLst>
            <a:ext uri="{FF2B5EF4-FFF2-40B4-BE49-F238E27FC236}">
              <a16:creationId xmlns:a16="http://schemas.microsoft.com/office/drawing/2014/main" id="{55D77937-95B1-A102-DA64-CEC91A3C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1</xdr:row>
      <xdr:rowOff>142875</xdr:rowOff>
    </xdr:from>
    <xdr:to>
      <xdr:col>21</xdr:col>
      <xdr:colOff>76200</xdr:colOff>
      <xdr:row>16</xdr:row>
      <xdr:rowOff>28575</xdr:rowOff>
    </xdr:to>
    <xdr:graphicFrame macro="">
      <xdr:nvGraphicFramePr>
        <xdr:cNvPr id="3" name="Chart 2">
          <a:extLst>
            <a:ext uri="{FF2B5EF4-FFF2-40B4-BE49-F238E27FC236}">
              <a16:creationId xmlns:a16="http://schemas.microsoft.com/office/drawing/2014/main" id="{B4DA534D-B5D3-5130-B21F-70F817FE34D1}"/>
            </a:ext>
            <a:ext uri="{147F2762-F138-4A5C-976F-8EAC2B608ADB}">
              <a16:predDERef xmlns:a16="http://schemas.microsoft.com/office/drawing/2014/main" pred="{55D77937-95B1-A102-DA64-CEC91A3C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295275</xdr:colOff>
      <xdr:row>10</xdr:row>
      <xdr:rowOff>19050</xdr:rowOff>
    </xdr:from>
    <xdr:to>
      <xdr:col>27</xdr:col>
      <xdr:colOff>28575</xdr:colOff>
      <xdr:row>21</xdr:row>
      <xdr:rowOff>66675</xdr:rowOff>
    </xdr:to>
    <xdr:graphicFrame macro="">
      <xdr:nvGraphicFramePr>
        <xdr:cNvPr id="4" name="Chart 3">
          <a:extLst>
            <a:ext uri="{FF2B5EF4-FFF2-40B4-BE49-F238E27FC236}">
              <a16:creationId xmlns:a16="http://schemas.microsoft.com/office/drawing/2014/main" id="{C16F33DF-CEC5-B2D5-C46F-FE01A54F8A6B}"/>
            </a:ext>
            <a:ext uri="{147F2762-F138-4A5C-976F-8EAC2B608ADB}">
              <a16:predDERef xmlns:a16="http://schemas.microsoft.com/office/drawing/2014/main" pred="{B4DA534D-B5D3-5130-B21F-70F817FE3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Viet Kien Nguyen" id="{CA8958EE-94A9-4BF6-8A74-97A654BF7F03}" userId="S::viet.k.nguyen@student.uts.edu.au::c20e8c39-e6a9-4600-a146-1e7eb22642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4-04-26T12:36:26.81" personId="{CA8958EE-94A9-4BF6-8A74-97A654BF7F03}" id="{32B95294-6EED-4811-8807-0C4701EC3F60}">
    <text>Assuming 2019 is base year.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C725-0D9F-4078-BEE3-77ABCEDCB2A6}">
  <sheetPr codeName="Sheet12"/>
  <dimension ref="A1:I7"/>
  <sheetViews>
    <sheetView zoomScale="210" zoomScaleNormal="210" workbookViewId="0">
      <selection activeCell="B4" sqref="B4"/>
    </sheetView>
  </sheetViews>
  <sheetFormatPr defaultColWidth="8.44140625" defaultRowHeight="15.6"/>
  <cols>
    <col min="1" max="1" width="8.44140625" style="32" customWidth="1"/>
    <col min="2" max="2" width="14.44140625" style="32" customWidth="1"/>
    <col min="3" max="3" width="3.44140625" style="32" customWidth="1"/>
    <col min="4" max="7" width="9.44140625" style="32" customWidth="1"/>
    <col min="8" max="8" width="8.44140625" style="32" customWidth="1"/>
    <col min="9" max="16384" width="8.44140625" style="32"/>
  </cols>
  <sheetData>
    <row r="1" spans="1:9" ht="15.6" customHeight="1">
      <c r="A1" s="30" t="s">
        <v>0</v>
      </c>
      <c r="B1" s="31">
        <v>50000</v>
      </c>
      <c r="D1" s="108" t="s">
        <v>1</v>
      </c>
      <c r="E1" s="108"/>
      <c r="F1" s="108"/>
      <c r="G1" s="108"/>
      <c r="H1" s="33"/>
      <c r="I1" s="34"/>
    </row>
    <row r="2" spans="1:9">
      <c r="A2" s="30" t="s">
        <v>2</v>
      </c>
      <c r="B2" s="35">
        <v>0.1</v>
      </c>
      <c r="D2" s="108"/>
      <c r="E2" s="108"/>
      <c r="F2" s="108"/>
      <c r="G2" s="108"/>
      <c r="H2" s="33"/>
      <c r="I2" s="34"/>
    </row>
    <row r="3" spans="1:9">
      <c r="A3" s="30" t="s">
        <v>3</v>
      </c>
      <c r="B3" s="31">
        <v>6</v>
      </c>
      <c r="D3" s="108"/>
      <c r="E3" s="108"/>
      <c r="F3" s="108"/>
      <c r="G3" s="108"/>
      <c r="H3" s="33"/>
      <c r="I3" s="34"/>
    </row>
    <row r="4" spans="1:9">
      <c r="A4" s="36" t="s">
        <v>4</v>
      </c>
      <c r="B4" s="37">
        <f>-FV(B2,B3,,B1,0)</f>
        <v>88578.050000000047</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5"/>
  <sheetViews>
    <sheetView zoomScale="90" zoomScaleNormal="90" workbookViewId="0">
      <selection activeCell="A22" sqref="A22"/>
    </sheetView>
  </sheetViews>
  <sheetFormatPr defaultColWidth="8.88671875" defaultRowHeight="14.4"/>
  <cols>
    <col min="2" max="2" width="33.109375" bestFit="1" customWidth="1"/>
  </cols>
  <sheetData>
    <row r="1" spans="1:2">
      <c r="A1" t="s">
        <v>6</v>
      </c>
    </row>
    <row r="2" spans="1:2">
      <c r="A2" s="67">
        <v>2</v>
      </c>
      <c r="B2" t="s">
        <v>7</v>
      </c>
    </row>
    <row r="3" spans="1:2">
      <c r="A3" s="3">
        <v>2</v>
      </c>
      <c r="B3" t="s">
        <v>8</v>
      </c>
    </row>
    <row r="4" spans="1:2">
      <c r="A4" s="3">
        <v>10</v>
      </c>
      <c r="B4" t="s">
        <v>9</v>
      </c>
    </row>
    <row r="5" spans="1:2">
      <c r="A5" s="3">
        <v>3</v>
      </c>
      <c r="B5" t="s">
        <v>10</v>
      </c>
    </row>
    <row r="6" spans="1:2">
      <c r="A6" s="3">
        <v>4</v>
      </c>
      <c r="B6" t="s">
        <v>11</v>
      </c>
    </row>
    <row r="7" spans="1:2">
      <c r="A7" s="3">
        <v>4</v>
      </c>
      <c r="B7" t="s">
        <v>12</v>
      </c>
    </row>
    <row r="8" spans="1:2">
      <c r="A8" s="3">
        <v>4</v>
      </c>
      <c r="B8" t="s">
        <v>13</v>
      </c>
    </row>
    <row r="9" spans="1:2">
      <c r="A9" s="3">
        <v>10</v>
      </c>
      <c r="B9" t="s">
        <v>14</v>
      </c>
    </row>
    <row r="10" spans="1:2">
      <c r="A10" s="3">
        <v>14</v>
      </c>
      <c r="B10" t="s">
        <v>15</v>
      </c>
    </row>
    <row r="11" spans="1:2">
      <c r="A11" s="3">
        <v>4</v>
      </c>
      <c r="B11" t="s">
        <v>16</v>
      </c>
    </row>
    <row r="12" spans="1:2">
      <c r="A12" s="3">
        <v>4</v>
      </c>
      <c r="B12" t="s">
        <v>17</v>
      </c>
    </row>
    <row r="13" spans="1:2">
      <c r="A13" s="3">
        <v>4</v>
      </c>
      <c r="B13" t="s">
        <v>18</v>
      </c>
    </row>
    <row r="14" spans="1:2">
      <c r="A14" s="3">
        <v>4</v>
      </c>
      <c r="B14" t="s">
        <v>19</v>
      </c>
    </row>
    <row r="15" spans="1:2">
      <c r="A15" s="3">
        <v>4</v>
      </c>
      <c r="B15" t="s">
        <v>20</v>
      </c>
    </row>
    <row r="16" spans="1:2">
      <c r="A16" s="3">
        <v>4</v>
      </c>
      <c r="B16" t="s">
        <v>21</v>
      </c>
    </row>
    <row r="17" spans="1:2">
      <c r="A17" s="3">
        <v>4</v>
      </c>
      <c r="B17" t="s">
        <v>22</v>
      </c>
    </row>
    <row r="18" spans="1:2">
      <c r="A18" s="3">
        <v>4</v>
      </c>
      <c r="B18" t="s">
        <v>23</v>
      </c>
    </row>
    <row r="19" spans="1:2">
      <c r="A19" s="3">
        <v>5</v>
      </c>
      <c r="B19" t="s">
        <v>24</v>
      </c>
    </row>
    <row r="20" spans="1:2">
      <c r="A20" s="3">
        <v>5</v>
      </c>
      <c r="B20" t="s">
        <v>25</v>
      </c>
    </row>
    <row r="21" spans="1:2">
      <c r="A21" s="3">
        <v>9</v>
      </c>
      <c r="B21" t="s">
        <v>26</v>
      </c>
    </row>
    <row r="22" spans="1:2">
      <c r="A22" s="3">
        <v>2</v>
      </c>
      <c r="B22" t="s">
        <v>27</v>
      </c>
    </row>
    <row r="23" spans="1:2">
      <c r="A23" s="3">
        <v>2</v>
      </c>
      <c r="B23" t="s">
        <v>28</v>
      </c>
    </row>
    <row r="24" spans="1:2">
      <c r="A24" s="3">
        <v>2</v>
      </c>
      <c r="B24" t="s">
        <v>29</v>
      </c>
    </row>
    <row r="25" spans="1:2">
      <c r="A25" s="8">
        <f>SUM(A2:A24)</f>
        <v>110</v>
      </c>
      <c r="B25" s="1" t="s">
        <v>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FE69-F410-4966-BD1C-EC77EA9C5604}">
  <sheetPr codeName="Sheet3"/>
  <dimension ref="A1:H15"/>
  <sheetViews>
    <sheetView topLeftCell="H1" workbookViewId="0">
      <selection activeCell="F1" sqref="F1"/>
    </sheetView>
  </sheetViews>
  <sheetFormatPr defaultColWidth="0" defaultRowHeight="14.4" customHeight="1" zeroHeight="1"/>
  <cols>
    <col min="1" max="1" width="7.44140625" bestFit="1" customWidth="1"/>
    <col min="2" max="2" width="9.44140625" bestFit="1" customWidth="1"/>
    <col min="3" max="3" width="16.109375" customWidth="1"/>
    <col min="4" max="4" width="9.88671875" bestFit="1" customWidth="1"/>
    <col min="5" max="5" width="14.88671875" customWidth="1"/>
    <col min="6" max="6" width="17.6640625" customWidth="1"/>
    <col min="7" max="7" width="16.6640625" customWidth="1"/>
    <col min="8" max="8" width="8.44140625" customWidth="1"/>
    <col min="9" max="16384" width="8.44140625" hidden="1"/>
  </cols>
  <sheetData>
    <row r="1" spans="1:8">
      <c r="A1" s="1" t="s">
        <v>31</v>
      </c>
      <c r="B1" s="1" t="s">
        <v>32</v>
      </c>
      <c r="C1" s="1" t="s">
        <v>33</v>
      </c>
      <c r="D1" s="1" t="s">
        <v>34</v>
      </c>
      <c r="E1" s="1" t="s">
        <v>35</v>
      </c>
      <c r="F1" s="1" t="s">
        <v>36</v>
      </c>
      <c r="G1" s="1" t="s">
        <v>37</v>
      </c>
    </row>
    <row r="2" spans="1:8">
      <c r="A2" s="81">
        <v>8</v>
      </c>
      <c r="B2">
        <v>3</v>
      </c>
      <c r="C2" t="s">
        <v>38</v>
      </c>
      <c r="D2" s="81">
        <v>24954238</v>
      </c>
      <c r="E2" s="81" t="s">
        <v>39</v>
      </c>
      <c r="F2" s="81" t="s">
        <v>40</v>
      </c>
      <c r="G2" s="82">
        <v>1</v>
      </c>
    </row>
    <row r="3" spans="1:8">
      <c r="A3" s="81">
        <v>8</v>
      </c>
      <c r="B3">
        <v>3</v>
      </c>
      <c r="C3" t="s">
        <v>38</v>
      </c>
      <c r="D3" s="83">
        <v>14443939</v>
      </c>
      <c r="E3" s="83" t="s">
        <v>41</v>
      </c>
      <c r="F3" s="83" t="s">
        <v>42</v>
      </c>
      <c r="G3" s="84">
        <v>1</v>
      </c>
      <c r="H3" s="83"/>
    </row>
    <row r="4" spans="1:8">
      <c r="A4" s="81">
        <v>8</v>
      </c>
      <c r="B4">
        <v>3</v>
      </c>
      <c r="C4" t="s">
        <v>38</v>
      </c>
      <c r="D4" s="83">
        <v>24966549</v>
      </c>
      <c r="E4" s="83" t="s">
        <v>43</v>
      </c>
      <c r="F4" s="83" t="s">
        <v>44</v>
      </c>
      <c r="G4" s="84">
        <v>1</v>
      </c>
      <c r="H4" s="83"/>
    </row>
    <row r="5" spans="1:8">
      <c r="A5" s="81">
        <v>8</v>
      </c>
      <c r="B5">
        <v>3</v>
      </c>
      <c r="C5" t="s">
        <v>38</v>
      </c>
      <c r="D5" s="83">
        <v>14505578</v>
      </c>
      <c r="E5" s="83" t="s">
        <v>45</v>
      </c>
      <c r="F5" s="83" t="s">
        <v>46</v>
      </c>
      <c r="G5" s="84">
        <v>1</v>
      </c>
      <c r="H5" s="83"/>
    </row>
    <row r="6" spans="1:8">
      <c r="A6" s="81">
        <v>8</v>
      </c>
      <c r="B6">
        <v>3</v>
      </c>
      <c r="C6" t="s">
        <v>38</v>
      </c>
      <c r="D6" s="83">
        <v>24445660</v>
      </c>
      <c r="E6" s="83" t="s">
        <v>47</v>
      </c>
      <c r="F6" s="83" t="s">
        <v>48</v>
      </c>
      <c r="G6" s="84">
        <v>1</v>
      </c>
      <c r="H6" s="83"/>
    </row>
    <row r="7" spans="1:8">
      <c r="A7" s="81"/>
      <c r="D7" s="83"/>
      <c r="E7" s="83"/>
      <c r="F7" s="83"/>
      <c r="G7" s="84"/>
      <c r="H7" s="83"/>
    </row>
    <row r="8" spans="1:8"/>
    <row r="9" spans="1:8">
      <c r="B9" s="110" t="s">
        <v>49</v>
      </c>
      <c r="C9" s="110"/>
      <c r="D9" s="110"/>
      <c r="E9" s="110"/>
      <c r="F9" s="110"/>
      <c r="G9" s="110"/>
    </row>
    <row r="10" spans="1:8">
      <c r="B10" s="110"/>
      <c r="C10" s="110"/>
      <c r="D10" s="110"/>
      <c r="E10" s="110"/>
      <c r="F10" s="110"/>
      <c r="G10" s="110"/>
    </row>
    <row r="11" spans="1:8">
      <c r="B11" s="110"/>
      <c r="C11" s="110"/>
      <c r="D11" s="110"/>
      <c r="E11" s="110"/>
      <c r="F11" s="110"/>
      <c r="G11" s="110"/>
    </row>
    <row r="12" spans="1:8">
      <c r="B12" s="110"/>
      <c r="C12" s="110"/>
      <c r="D12" s="110"/>
      <c r="E12" s="110"/>
      <c r="F12" s="110"/>
      <c r="G12" s="110"/>
    </row>
    <row r="13" spans="1:8">
      <c r="B13" s="110"/>
      <c r="C13" s="110"/>
      <c r="D13" s="110"/>
      <c r="E13" s="110"/>
      <c r="F13" s="110"/>
      <c r="G13" s="110"/>
    </row>
    <row r="14" spans="1:8">
      <c r="B14" s="110"/>
      <c r="C14" s="110"/>
      <c r="D14" s="110"/>
      <c r="E14" s="110"/>
      <c r="F14" s="110"/>
      <c r="G14" s="110"/>
    </row>
    <row r="15" spans="1:8"/>
  </sheetData>
  <mergeCells count="1">
    <mergeCell ref="B9:G14"/>
  </mergeCells>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87EC-AB95-4A5D-B7EA-51407D8588A1}">
  <sheetPr codeName="Sheet4"/>
  <dimension ref="B1:L37"/>
  <sheetViews>
    <sheetView workbookViewId="0">
      <selection activeCell="I8" sqref="I8"/>
    </sheetView>
  </sheetViews>
  <sheetFormatPr defaultColWidth="9.109375" defaultRowHeight="14.4"/>
  <cols>
    <col min="1" max="1" width="4.44140625" customWidth="1"/>
    <col min="2" max="2" width="39.44140625" bestFit="1" customWidth="1"/>
    <col min="3" max="6" width="9.44140625" customWidth="1"/>
    <col min="7" max="7" width="9.109375" customWidth="1"/>
    <col min="8" max="8" width="23" bestFit="1" customWidth="1"/>
  </cols>
  <sheetData>
    <row r="1" spans="2:12">
      <c r="B1" s="111" t="s">
        <v>50</v>
      </c>
      <c r="C1" s="111"/>
      <c r="D1" s="111"/>
      <c r="E1" s="111"/>
      <c r="F1" s="111"/>
      <c r="H1" s="111" t="s">
        <v>50</v>
      </c>
      <c r="I1" s="111"/>
      <c r="J1" s="111"/>
      <c r="K1" s="111"/>
      <c r="L1" s="111"/>
    </row>
    <row r="2" spans="2:12" ht="15.6">
      <c r="B2" s="9" t="s">
        <v>51</v>
      </c>
      <c r="C2" s="40">
        <f>SCF!C2</f>
        <v>2019</v>
      </c>
      <c r="D2" s="40">
        <f>C2+1</f>
        <v>2020</v>
      </c>
      <c r="E2" s="40">
        <f t="shared" ref="E2:F2" si="0">D2+1</f>
        <v>2021</v>
      </c>
      <c r="F2" s="40">
        <f t="shared" si="0"/>
        <v>2022</v>
      </c>
      <c r="H2" s="9" t="s">
        <v>51</v>
      </c>
      <c r="I2" s="40">
        <f>VLOOKUP(H2,$B$2:$F$16,2,FALSE)</f>
        <v>2019</v>
      </c>
      <c r="J2" s="40">
        <f>VLOOKUP(H2,$B$2:$F$16,3,FALSE)</f>
        <v>2020</v>
      </c>
      <c r="K2" s="40">
        <f>VLOOKUP(H2,$B$2:$F$16,4,FALSE)</f>
        <v>2021</v>
      </c>
      <c r="L2" s="40">
        <f>VLOOKUP(H2,$B$2:$F$16,5,FALSE)</f>
        <v>2022</v>
      </c>
    </row>
    <row r="3" spans="2:12">
      <c r="B3" t="s">
        <v>52</v>
      </c>
      <c r="C3" s="10">
        <v>12.5</v>
      </c>
      <c r="D3" s="10">
        <v>30</v>
      </c>
      <c r="E3" s="10">
        <v>62.5</v>
      </c>
      <c r="F3" s="10">
        <v>65</v>
      </c>
      <c r="H3" s="1" t="s">
        <v>53</v>
      </c>
    </row>
    <row r="4" spans="2:12">
      <c r="B4" t="s">
        <v>54</v>
      </c>
      <c r="C4" s="10">
        <v>5</v>
      </c>
      <c r="D4" s="10">
        <v>12.5</v>
      </c>
      <c r="E4" s="10">
        <v>15</v>
      </c>
      <c r="F4" s="10">
        <v>20</v>
      </c>
      <c r="H4" t="s">
        <v>54</v>
      </c>
      <c r="I4" s="24">
        <f>VLOOKUP(H4,B3:F16,2,0)</f>
        <v>5</v>
      </c>
      <c r="J4" s="24">
        <f>VLOOKUP(H4,B3:F16,3,0)</f>
        <v>12.5</v>
      </c>
      <c r="K4" s="24">
        <f>VLOOKUP(H4,B3:F16,4,0)</f>
        <v>15</v>
      </c>
      <c r="L4" s="24">
        <f>VLOOKUP(H4,B3:F16,5,0)</f>
        <v>20</v>
      </c>
    </row>
    <row r="5" spans="2:12">
      <c r="B5" t="s">
        <v>55</v>
      </c>
      <c r="C5" s="10">
        <v>7.5</v>
      </c>
      <c r="D5" s="10">
        <v>32.5</v>
      </c>
      <c r="E5" s="10">
        <v>20</v>
      </c>
      <c r="F5" s="10">
        <v>45</v>
      </c>
      <c r="H5" t="s">
        <v>56</v>
      </c>
      <c r="I5" s="24">
        <f>VLOOKUP(H5,B3:F16,2,0)</f>
        <v>7.5</v>
      </c>
      <c r="J5" s="24">
        <f>VLOOKUP(H5,B3:F16,3,0)</f>
        <v>17.5</v>
      </c>
      <c r="K5" s="24">
        <f>VLOOKUP(H5,B3:F16,4,0)</f>
        <v>20</v>
      </c>
      <c r="L5" s="24">
        <f>VLOOKUP(H5,B3:F16,5,0)</f>
        <v>27.5</v>
      </c>
    </row>
    <row r="6" spans="2:12">
      <c r="B6" t="s">
        <v>57</v>
      </c>
      <c r="C6" s="10">
        <v>150</v>
      </c>
      <c r="D6" s="10">
        <v>175</v>
      </c>
      <c r="E6" s="10">
        <v>200</v>
      </c>
      <c r="F6" s="10">
        <v>225</v>
      </c>
      <c r="H6" t="s">
        <v>58</v>
      </c>
      <c r="I6" s="24">
        <f>VLOOKUP(H6,B3:F16,2,0)</f>
        <v>22.5</v>
      </c>
      <c r="J6" s="24">
        <f>VLOOKUP(H6,B3:F16,3,0)</f>
        <v>33.75</v>
      </c>
      <c r="K6" s="24">
        <f>VLOOKUP(H6,B3:F16,4,0)</f>
        <v>37.5</v>
      </c>
      <c r="L6" s="24">
        <f>VLOOKUP(H6,B3:F16,5,0)</f>
        <v>30</v>
      </c>
    </row>
    <row r="7" spans="2:12">
      <c r="B7" t="s">
        <v>59</v>
      </c>
      <c r="C7" s="10">
        <v>50</v>
      </c>
      <c r="D7" s="10">
        <v>40</v>
      </c>
      <c r="E7" s="10">
        <v>30</v>
      </c>
      <c r="F7" s="10">
        <v>20</v>
      </c>
      <c r="H7" t="s">
        <v>60</v>
      </c>
      <c r="I7" s="24">
        <f>VLOOKUP(H7,B3:F16,2,0)</f>
        <v>2.5</v>
      </c>
      <c r="J7" s="24">
        <f>VLOOKUP(H7,B3:F16,3,0)</f>
        <v>7.5</v>
      </c>
      <c r="K7" s="24">
        <f>VLOOKUP(H7,B3:F16,4,0)</f>
        <v>8.75</v>
      </c>
      <c r="L7" s="24">
        <f>VLOOKUP(H7,B3:F16,5,0)</f>
        <v>15</v>
      </c>
    </row>
    <row r="8" spans="2:12">
      <c r="B8" t="s">
        <v>56</v>
      </c>
      <c r="C8" s="10">
        <v>7.5</v>
      </c>
      <c r="D8" s="10">
        <v>17.5</v>
      </c>
      <c r="E8" s="10">
        <v>20</v>
      </c>
      <c r="F8" s="10">
        <v>27.5</v>
      </c>
      <c r="H8" s="1" t="s">
        <v>61</v>
      </c>
      <c r="I8" s="25">
        <f>SUM(I4:I7)</f>
        <v>37.5</v>
      </c>
      <c r="J8" s="25">
        <f>SUM(J4:J7)</f>
        <v>71.25</v>
      </c>
      <c r="K8" s="25">
        <f>SUM(K4:K7)</f>
        <v>81.25</v>
      </c>
      <c r="L8" s="25">
        <f>SUM(L4:L7)</f>
        <v>92.5</v>
      </c>
    </row>
    <row r="9" spans="2:12">
      <c r="B9" t="s">
        <v>62</v>
      </c>
      <c r="C9" s="10">
        <v>10</v>
      </c>
      <c r="D9" s="10">
        <v>10</v>
      </c>
      <c r="E9" s="10">
        <v>10</v>
      </c>
      <c r="F9" s="10">
        <v>10</v>
      </c>
    </row>
    <row r="10" spans="2:12">
      <c r="B10" t="s">
        <v>63</v>
      </c>
      <c r="C10" s="10">
        <v>75</v>
      </c>
      <c r="D10" s="10">
        <v>83.75</v>
      </c>
      <c r="E10" s="10">
        <v>93.75</v>
      </c>
      <c r="F10" s="10">
        <v>105</v>
      </c>
      <c r="H10" s="1" t="s">
        <v>64</v>
      </c>
      <c r="I10" s="3"/>
      <c r="J10" s="3"/>
      <c r="K10" s="3"/>
      <c r="L10" s="3"/>
    </row>
    <row r="11" spans="2:12">
      <c r="B11" t="s">
        <v>58</v>
      </c>
      <c r="C11" s="10">
        <v>22.5</v>
      </c>
      <c r="D11" s="10">
        <v>33.75</v>
      </c>
      <c r="E11" s="10">
        <v>37.5</v>
      </c>
      <c r="F11" s="10">
        <v>30</v>
      </c>
      <c r="H11" t="s">
        <v>57</v>
      </c>
      <c r="I11" s="24">
        <f>VLOOKUP($H$11,$B$3:$F$16,2,0)</f>
        <v>150</v>
      </c>
      <c r="J11" s="24">
        <f>VLOOKUP($H$11,$B$3:$F$16,3,0)</f>
        <v>175</v>
      </c>
      <c r="K11" s="24">
        <f>VLOOKUP($H$11,$B$3:$F$16,4,0)</f>
        <v>200</v>
      </c>
      <c r="L11" s="24">
        <f>VLOOKUP($H$11,$B$3:$F$16,5,0)</f>
        <v>225</v>
      </c>
    </row>
    <row r="12" spans="2:12">
      <c r="B12" t="s">
        <v>65</v>
      </c>
      <c r="C12" s="10">
        <v>15</v>
      </c>
      <c r="D12" s="10">
        <v>20</v>
      </c>
      <c r="E12" s="10">
        <v>20</v>
      </c>
      <c r="F12" s="10">
        <v>20</v>
      </c>
      <c r="H12" t="s">
        <v>63</v>
      </c>
      <c r="I12" s="24">
        <f>VLOOKUP($H$12,$B$3:$F$16,2,0)</f>
        <v>75</v>
      </c>
      <c r="J12" s="24">
        <f>VLOOKUP($H$12,$B$3:$F$16,3,0)</f>
        <v>83.75</v>
      </c>
      <c r="K12" s="24">
        <f>VLOOKUP($H$12,$B$3:$F$16,4,0)</f>
        <v>93.75</v>
      </c>
      <c r="L12" s="24">
        <f>VLOOKUP($H$12,$B$3:$F$16,5,0)</f>
        <v>105</v>
      </c>
    </row>
    <row r="13" spans="2:12">
      <c r="B13" t="s">
        <v>66</v>
      </c>
      <c r="C13" s="10">
        <v>12.5</v>
      </c>
      <c r="D13" s="10">
        <v>12.5</v>
      </c>
      <c r="E13" s="10">
        <v>12.5</v>
      </c>
      <c r="F13" s="10">
        <v>12.5</v>
      </c>
      <c r="H13" t="s">
        <v>67</v>
      </c>
      <c r="I13" s="24">
        <f>I11-I12</f>
        <v>75</v>
      </c>
      <c r="J13" s="24">
        <f>J11-J12</f>
        <v>91.25</v>
      </c>
      <c r="K13" s="24">
        <f>K11-K12</f>
        <v>106.25</v>
      </c>
      <c r="L13" s="24">
        <f>L11-L12</f>
        <v>120</v>
      </c>
    </row>
    <row r="14" spans="2:12">
      <c r="B14" t="s">
        <v>68</v>
      </c>
      <c r="C14" s="10">
        <v>20</v>
      </c>
      <c r="D14" s="10">
        <v>25</v>
      </c>
      <c r="E14" s="10">
        <v>25</v>
      </c>
      <c r="F14" s="10">
        <v>30</v>
      </c>
      <c r="H14" t="s">
        <v>66</v>
      </c>
      <c r="I14" s="24">
        <f>VLOOKUP($H$14,$B$3:$F$16,2,0)</f>
        <v>12.5</v>
      </c>
      <c r="J14" s="24">
        <f>VLOOKUP($H$14,$B$3:$F$16,3,0)</f>
        <v>12.5</v>
      </c>
      <c r="K14" s="24">
        <f>VLOOKUP($H$14,$B$3:$F$16,4,0)</f>
        <v>12.5</v>
      </c>
      <c r="L14" s="24">
        <f>VLOOKUP($H$14,$B$3:$F$16,5,0)</f>
        <v>12.5</v>
      </c>
    </row>
    <row r="15" spans="2:12">
      <c r="B15" t="s">
        <v>60</v>
      </c>
      <c r="C15" s="10">
        <v>2.5</v>
      </c>
      <c r="D15" s="10">
        <v>7.5</v>
      </c>
      <c r="E15" s="10">
        <v>8.75</v>
      </c>
      <c r="F15" s="10">
        <v>15</v>
      </c>
      <c r="H15" s="1" t="s">
        <v>69</v>
      </c>
      <c r="I15" s="25">
        <f>SUM(I13:I14)</f>
        <v>87.5</v>
      </c>
      <c r="J15" s="25">
        <f>SUM(J13:J14)</f>
        <v>103.75</v>
      </c>
      <c r="K15" s="25">
        <f>SUM(K13:K14)</f>
        <v>118.75</v>
      </c>
      <c r="L15" s="25">
        <f>SUM(L13:L14)</f>
        <v>132.5</v>
      </c>
    </row>
    <row r="16" spans="2:12">
      <c r="B16" t="s">
        <v>70</v>
      </c>
      <c r="C16" s="10">
        <v>10</v>
      </c>
      <c r="D16" s="10">
        <v>17.5</v>
      </c>
      <c r="E16" s="10">
        <v>32.5</v>
      </c>
      <c r="F16" s="10">
        <v>35</v>
      </c>
      <c r="I16" s="3"/>
      <c r="J16" s="3"/>
      <c r="K16" s="3"/>
      <c r="L16" s="3"/>
    </row>
    <row r="17" spans="2:12">
      <c r="H17" s="1" t="s">
        <v>71</v>
      </c>
      <c r="I17" s="25">
        <f>SUM(I8,I15)</f>
        <v>125</v>
      </c>
      <c r="J17" s="25">
        <f>SUM(J8,J15)</f>
        <v>175</v>
      </c>
      <c r="K17" s="25">
        <f>SUM(K8,K15)</f>
        <v>200</v>
      </c>
      <c r="L17" s="25">
        <f>SUM(L8,L15)</f>
        <v>225</v>
      </c>
    </row>
    <row r="18" spans="2:12">
      <c r="B18" s="112" t="s">
        <v>72</v>
      </c>
      <c r="C18" s="112"/>
      <c r="D18" s="112"/>
      <c r="E18" s="112"/>
      <c r="F18" s="112"/>
      <c r="I18" s="3"/>
      <c r="J18" s="3"/>
      <c r="K18" s="3"/>
      <c r="L18" s="3"/>
    </row>
    <row r="19" spans="2:12">
      <c r="H19" s="1" t="s">
        <v>73</v>
      </c>
      <c r="I19" s="3"/>
      <c r="J19" s="3"/>
      <c r="K19" s="3"/>
      <c r="L19" s="3"/>
    </row>
    <row r="20" spans="2:12">
      <c r="H20" t="s">
        <v>52</v>
      </c>
      <c r="I20" s="24">
        <f>VLOOKUP($H$20,$B$3:$F$16,2,0)</f>
        <v>12.5</v>
      </c>
      <c r="J20" s="24">
        <f>VLOOKUP($H$20,$B$3:$F$16,3,0)</f>
        <v>30</v>
      </c>
      <c r="K20" s="24">
        <f>VLOOKUP($H$20,$B$3:$F$16,4,0)</f>
        <v>62.5</v>
      </c>
      <c r="L20" s="24">
        <f>VLOOKUP($H$20,$B$3:$F$16,5,0)</f>
        <v>65</v>
      </c>
    </row>
    <row r="21" spans="2:12">
      <c r="H21" t="s">
        <v>55</v>
      </c>
      <c r="I21" s="24">
        <f>VLOOKUP($H$21,$B$3:$F$16,2,0)</f>
        <v>7.5</v>
      </c>
      <c r="J21" s="24">
        <f>VLOOKUP($H$21,$B$3:$F$16,3,0)</f>
        <v>32.5</v>
      </c>
      <c r="K21" s="24">
        <f>VLOOKUP($H$21,$B$3:$F$16,4,0)</f>
        <v>20</v>
      </c>
      <c r="L21" s="24">
        <f>VLOOKUP($H$21,$B$3:$F$16,5,0)</f>
        <v>45</v>
      </c>
    </row>
    <row r="22" spans="2:12">
      <c r="H22" t="s">
        <v>62</v>
      </c>
      <c r="I22" s="24">
        <f>VLOOKUP($H$22,$B$3:$F$16,2,0)</f>
        <v>10</v>
      </c>
      <c r="J22" s="24">
        <f>VLOOKUP($H$22,$B$3:$F$16,3,0)</f>
        <v>10</v>
      </c>
      <c r="K22" s="24">
        <f>VLOOKUP($H$22,$B$3:$F$16,4,0)</f>
        <v>10</v>
      </c>
      <c r="L22" s="24">
        <f>VLOOKUP($H$22,$B$3:$F$16,5,0)</f>
        <v>10</v>
      </c>
    </row>
    <row r="23" spans="2:12">
      <c r="H23" s="1" t="s">
        <v>74</v>
      </c>
      <c r="I23" s="25">
        <f>SUM(I20:I22)</f>
        <v>30</v>
      </c>
      <c r="J23" s="25">
        <f>SUM(J20:J22)</f>
        <v>72.5</v>
      </c>
      <c r="K23" s="25">
        <f>SUM(K20:K22)</f>
        <v>92.5</v>
      </c>
      <c r="L23" s="25">
        <f>SUM(L20:L22)</f>
        <v>120</v>
      </c>
    </row>
    <row r="24" spans="2:12">
      <c r="I24" s="3"/>
      <c r="J24" s="3"/>
      <c r="K24" s="3"/>
      <c r="L24" s="3"/>
    </row>
    <row r="25" spans="2:12">
      <c r="H25" s="1" t="s">
        <v>75</v>
      </c>
      <c r="I25" s="3"/>
      <c r="J25" s="3"/>
      <c r="K25" s="3"/>
      <c r="L25" s="3"/>
    </row>
    <row r="26" spans="2:12">
      <c r="H26" t="s">
        <v>59</v>
      </c>
      <c r="I26" s="24">
        <f>VLOOKUP($H$26,$B$3:$F$16,2,0)</f>
        <v>50</v>
      </c>
      <c r="J26" s="24">
        <f>VLOOKUP($H$26,$B$3:$F$16,3,0)</f>
        <v>40</v>
      </c>
      <c r="K26" s="24">
        <f>VLOOKUP($H$26,$B$3:$F$16,4,0)</f>
        <v>30</v>
      </c>
      <c r="L26" s="24">
        <f>VLOOKUP($H$26,$B$3:$F$16,5,0)</f>
        <v>20</v>
      </c>
    </row>
    <row r="27" spans="2:12">
      <c r="H27" t="s">
        <v>65</v>
      </c>
      <c r="I27" s="24">
        <f>VLOOKUP($H$27,$B$3:$F$16,2,0)</f>
        <v>15</v>
      </c>
      <c r="J27" s="24">
        <f>VLOOKUP($H$27,$B$3:$F$16,3,0)</f>
        <v>20</v>
      </c>
      <c r="K27" s="24">
        <f>VLOOKUP($H$27,$B$3:$F$16,4,0)</f>
        <v>20</v>
      </c>
      <c r="L27" s="24">
        <f>VLOOKUP($H$27,$B$3:$F$16,5,0)</f>
        <v>20</v>
      </c>
    </row>
    <row r="28" spans="2:12">
      <c r="H28" s="1" t="s">
        <v>76</v>
      </c>
      <c r="I28" s="25">
        <f>SUM(I26:I27)</f>
        <v>65</v>
      </c>
      <c r="J28" s="25">
        <f>SUM(J26:J27)</f>
        <v>60</v>
      </c>
      <c r="K28" s="25">
        <f>SUM(K26:K27)</f>
        <v>50</v>
      </c>
      <c r="L28" s="25">
        <f>SUM(L26:L27)</f>
        <v>40</v>
      </c>
    </row>
    <row r="29" spans="2:12">
      <c r="I29" s="3"/>
      <c r="J29" s="3"/>
      <c r="K29" s="3"/>
      <c r="L29" s="3"/>
    </row>
    <row r="30" spans="2:12">
      <c r="H30" s="1" t="s">
        <v>77</v>
      </c>
      <c r="I30" s="3"/>
      <c r="J30" s="3"/>
      <c r="K30" s="3"/>
      <c r="L30" s="3"/>
    </row>
    <row r="31" spans="2:12">
      <c r="H31" t="s">
        <v>68</v>
      </c>
      <c r="I31" s="24">
        <f>VLOOKUP($H$31,$B$3:$F$16,2,0)</f>
        <v>20</v>
      </c>
      <c r="J31" s="24">
        <f>VLOOKUP($H$31,$B$3:$F$16,3,0)</f>
        <v>25</v>
      </c>
      <c r="K31" s="24">
        <f>VLOOKUP($H$31,$B$3:$F$16,4,0)</f>
        <v>25</v>
      </c>
      <c r="L31" s="24">
        <f>VLOOKUP($H$31,$B$3:$F$16,5,0)</f>
        <v>30</v>
      </c>
    </row>
    <row r="32" spans="2:12">
      <c r="H32" t="s">
        <v>70</v>
      </c>
      <c r="I32" s="24">
        <f>VLOOKUP($H$32,$B$3:$F$16,2,0)</f>
        <v>10</v>
      </c>
      <c r="J32" s="24">
        <f>VLOOKUP($H$32,$B$3:$F$16,3,0)</f>
        <v>17.5</v>
      </c>
      <c r="K32" s="24">
        <f>VLOOKUP($H$32,$B$3:$F$16,4,0)</f>
        <v>32.5</v>
      </c>
      <c r="L32" s="24">
        <f>VLOOKUP($H$32,$B$3:$F$16,5,0)</f>
        <v>35</v>
      </c>
    </row>
    <row r="33" spans="8:12">
      <c r="H33" s="1" t="s">
        <v>78</v>
      </c>
      <c r="I33" s="25">
        <f>SUM(I31:I32)</f>
        <v>30</v>
      </c>
      <c r="J33" s="25">
        <f>SUM(J31:J32)</f>
        <v>42.5</v>
      </c>
      <c r="K33" s="25">
        <f>SUM(K31:K32)</f>
        <v>57.5</v>
      </c>
      <c r="L33" s="25">
        <f>SUM(L31:L32)</f>
        <v>65</v>
      </c>
    </row>
    <row r="34" spans="8:12">
      <c r="I34" s="3"/>
      <c r="J34" s="3"/>
      <c r="K34" s="3"/>
      <c r="L34" s="3"/>
    </row>
    <row r="35" spans="8:12">
      <c r="H35" s="1" t="s">
        <v>79</v>
      </c>
      <c r="I35" s="25">
        <f>SUM(I23,I28,I33)</f>
        <v>125</v>
      </c>
      <c r="J35" s="25">
        <f>SUM(J23,J28,J33)</f>
        <v>175</v>
      </c>
      <c r="K35" s="25">
        <f>SUM(K23,K28,K33)</f>
        <v>200</v>
      </c>
      <c r="L35" s="25">
        <f>SUM(L23,L28,L33)</f>
        <v>225</v>
      </c>
    </row>
    <row r="36" spans="8:12">
      <c r="I36" s="3"/>
      <c r="J36" s="3"/>
      <c r="K36" s="3"/>
      <c r="L36" s="3"/>
    </row>
    <row r="37" spans="8:12">
      <c r="H37" s="16" t="s">
        <v>80</v>
      </c>
      <c r="I37" s="17">
        <f>I17-I35</f>
        <v>0</v>
      </c>
      <c r="J37" s="17">
        <f>J17-J35</f>
        <v>0</v>
      </c>
      <c r="K37" s="17">
        <f>K17-K35</f>
        <v>0</v>
      </c>
      <c r="L37" s="17">
        <f>L17-L35</f>
        <v>0</v>
      </c>
    </row>
  </sheetData>
  <mergeCells count="3">
    <mergeCell ref="B1:F1"/>
    <mergeCell ref="H1:L1"/>
    <mergeCell ref="B18:F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EF96-8D4B-4E35-A6C5-A319A5C4CF17}">
  <sheetPr codeName="Sheet5"/>
  <dimension ref="B1:L15"/>
  <sheetViews>
    <sheetView workbookViewId="0">
      <selection activeCell="I3" sqref="I3"/>
    </sheetView>
  </sheetViews>
  <sheetFormatPr defaultColWidth="9.109375" defaultRowHeight="14.4"/>
  <cols>
    <col min="1" max="1" width="4.88671875" customWidth="1"/>
    <col min="2" max="2" width="36.44140625" bestFit="1" customWidth="1"/>
    <col min="8" max="8" width="36.44140625" bestFit="1" customWidth="1"/>
  </cols>
  <sheetData>
    <row r="1" spans="2:12">
      <c r="B1" s="111" t="s">
        <v>81</v>
      </c>
      <c r="C1" s="111"/>
      <c r="D1" s="111"/>
      <c r="E1" s="111"/>
      <c r="F1" s="111"/>
      <c r="H1" s="111" t="s">
        <v>81</v>
      </c>
      <c r="I1" s="111"/>
      <c r="J1" s="111"/>
      <c r="K1" s="111"/>
      <c r="L1" s="111"/>
    </row>
    <row r="2" spans="2:12" ht="15.6">
      <c r="B2" s="9" t="s">
        <v>51</v>
      </c>
      <c r="C2" s="40">
        <f>SCF!C2</f>
        <v>2019</v>
      </c>
      <c r="D2" s="40">
        <f>C2+1</f>
        <v>2020</v>
      </c>
      <c r="E2" s="40">
        <f>D2+1</f>
        <v>2021</v>
      </c>
      <c r="F2" s="40">
        <f>E2+1</f>
        <v>2022</v>
      </c>
      <c r="H2" s="9" t="s">
        <v>51</v>
      </c>
      <c r="I2" s="40">
        <f>VLOOKUP(H2,$B$2:$F$9,2,FALSE)</f>
        <v>2019</v>
      </c>
      <c r="J2" s="40">
        <f>VLOOKUP(H2,$B$2:$F$9,3,FALSE)</f>
        <v>2020</v>
      </c>
      <c r="K2" s="40">
        <f>VLOOKUP(H2,$B$2:$F$9,4,FALSE)</f>
        <v>2021</v>
      </c>
      <c r="L2" s="40">
        <f>VLOOKUP(H2,$B$2:$F$9,5,FALSE)</f>
        <v>2022</v>
      </c>
    </row>
    <row r="3" spans="2:12">
      <c r="B3" t="s">
        <v>82</v>
      </c>
      <c r="C3" s="10">
        <v>7.5</v>
      </c>
      <c r="D3" s="10">
        <v>8.75</v>
      </c>
      <c r="E3" s="10">
        <v>10</v>
      </c>
      <c r="F3" s="10">
        <v>11.25</v>
      </c>
      <c r="H3" t="s">
        <v>83</v>
      </c>
      <c r="I3" s="58">
        <f>VLOOKUP($H$3,$B$3:$F$9,2,FALSE)</f>
        <v>100</v>
      </c>
      <c r="J3" s="58">
        <f>VLOOKUP($H$3,$B$3:$F$9,3,FALSE)</f>
        <v>150</v>
      </c>
      <c r="K3" s="58">
        <f>VLOOKUP($H$3,$B$3:$F$9,4,FALSE)</f>
        <v>200</v>
      </c>
      <c r="L3" s="58">
        <f>VLOOKUP($H$3,$B$3:$F$9,5,FALSE)</f>
        <v>250</v>
      </c>
    </row>
    <row r="4" spans="2:12">
      <c r="B4" t="s">
        <v>83</v>
      </c>
      <c r="C4" s="10">
        <v>100</v>
      </c>
      <c r="D4" s="10">
        <v>150</v>
      </c>
      <c r="E4" s="10">
        <v>200</v>
      </c>
      <c r="F4" s="10">
        <v>250</v>
      </c>
      <c r="H4" t="s">
        <v>84</v>
      </c>
      <c r="I4" s="58">
        <f>VLOOKUP($H$4,$B$3:$F$9,2,0)</f>
        <v>75</v>
      </c>
      <c r="J4" s="58">
        <f>VLOOKUP($H$4,$B$3:$F$9,3,0)</f>
        <v>100</v>
      </c>
      <c r="K4" s="58">
        <f>VLOOKUP($H$4,$B$3:$F$9,4,0)</f>
        <v>125</v>
      </c>
      <c r="L4" s="58">
        <f>VLOOKUP($H$4,$B$3:$F$9,5,0)</f>
        <v>200</v>
      </c>
    </row>
    <row r="5" spans="2:12">
      <c r="B5" t="s">
        <v>85</v>
      </c>
      <c r="C5" s="10">
        <v>7.2500000000000009</v>
      </c>
      <c r="D5" s="10">
        <v>7.0000000000000009</v>
      </c>
      <c r="E5" s="10">
        <v>6.0000000000000009</v>
      </c>
      <c r="F5" s="10">
        <v>5</v>
      </c>
      <c r="H5" s="1" t="s">
        <v>86</v>
      </c>
      <c r="I5" s="41">
        <f>I3-I4</f>
        <v>25</v>
      </c>
      <c r="J5" s="41">
        <f>J3-J4</f>
        <v>50</v>
      </c>
      <c r="K5" s="41">
        <f>K3-K4</f>
        <v>75</v>
      </c>
      <c r="L5" s="41">
        <f>L3-L4</f>
        <v>50</v>
      </c>
    </row>
    <row r="6" spans="2:12">
      <c r="B6" t="s">
        <v>84</v>
      </c>
      <c r="C6" s="10">
        <v>75</v>
      </c>
      <c r="D6" s="10">
        <v>100</v>
      </c>
      <c r="E6" s="10">
        <v>125</v>
      </c>
      <c r="F6" s="10">
        <v>200</v>
      </c>
      <c r="H6" t="s">
        <v>87</v>
      </c>
      <c r="I6" s="58">
        <f>VLOOKUP($H$6,$B$3:$F$9,2,0)</f>
        <v>5.25</v>
      </c>
      <c r="J6" s="58">
        <f>VLOOKUP($H$6,$B$3:$F$9,3,0)</f>
        <v>9.25</v>
      </c>
      <c r="K6" s="58">
        <f>VLOOKUP($H$6,$B$3:$F$9,4,0)</f>
        <v>14</v>
      </c>
      <c r="L6" s="58">
        <f>VLOOKUP($H$6,$B$3:$F$9,5,0)</f>
        <v>16.25</v>
      </c>
    </row>
    <row r="7" spans="2:12">
      <c r="B7" t="s">
        <v>88</v>
      </c>
      <c r="C7" s="39">
        <v>0.3</v>
      </c>
      <c r="D7" s="39">
        <v>0.3</v>
      </c>
      <c r="E7" s="39">
        <v>0.3</v>
      </c>
      <c r="F7" s="39">
        <v>0.3</v>
      </c>
      <c r="G7" s="2"/>
      <c r="H7" t="s">
        <v>82</v>
      </c>
      <c r="I7" s="58">
        <f>VLOOKUP($H$7,$B$3:$F$9,2,0)</f>
        <v>7.5</v>
      </c>
      <c r="J7" s="58">
        <f>VLOOKUP($H$7,$B$3:$F$9,3,0)</f>
        <v>8.75</v>
      </c>
      <c r="K7" s="58">
        <f>VLOOKUP($H$7,$B$3:$F$9,4,0)</f>
        <v>10</v>
      </c>
      <c r="L7" s="58">
        <f>VLOOKUP($H$7,$B$3:$F$9,5,0)</f>
        <v>11.25</v>
      </c>
    </row>
    <row r="8" spans="2:12">
      <c r="B8" t="s">
        <v>87</v>
      </c>
      <c r="C8" s="10">
        <v>5.25</v>
      </c>
      <c r="D8" s="10">
        <v>9.25</v>
      </c>
      <c r="E8" s="10">
        <v>14</v>
      </c>
      <c r="F8" s="10">
        <v>16.25</v>
      </c>
      <c r="H8" s="1" t="s">
        <v>89</v>
      </c>
      <c r="I8" s="41">
        <f>I5-(I6+I7)</f>
        <v>12.25</v>
      </c>
      <c r="J8" s="41">
        <f>J5-(J6+J7)</f>
        <v>32</v>
      </c>
      <c r="K8" s="41">
        <f>K5-(K6+K7)</f>
        <v>51</v>
      </c>
      <c r="L8" s="41">
        <f>L5-(L6+L7)</f>
        <v>22.5</v>
      </c>
    </row>
    <row r="9" spans="2:12">
      <c r="B9" t="s">
        <v>90</v>
      </c>
      <c r="C9" s="10">
        <v>2.5</v>
      </c>
      <c r="D9" s="10">
        <v>10</v>
      </c>
      <c r="E9" s="10">
        <v>16.5</v>
      </c>
      <c r="F9" s="10">
        <v>9.75</v>
      </c>
      <c r="G9" s="2"/>
      <c r="H9" t="s">
        <v>85</v>
      </c>
      <c r="I9" s="58">
        <f>VLOOKUP($H$9,$B$3:$F$9,2,0)</f>
        <v>7.2500000000000009</v>
      </c>
      <c r="J9" s="58">
        <f>VLOOKUP($H$9,$B$3:$F$9,3,0)</f>
        <v>7.0000000000000009</v>
      </c>
      <c r="K9" s="58">
        <f>VLOOKUP($H$9,$B$3:$F$9,4,0)</f>
        <v>6.0000000000000009</v>
      </c>
      <c r="L9" s="58">
        <f>VLOOKUP($H$9,$B$3:$F$9,5,0)</f>
        <v>5</v>
      </c>
    </row>
    <row r="10" spans="2:12">
      <c r="H10" s="1" t="s">
        <v>91</v>
      </c>
      <c r="I10" s="41">
        <f>I8-I9</f>
        <v>4.9999999999999991</v>
      </c>
      <c r="J10" s="41">
        <f>J8-J9</f>
        <v>25</v>
      </c>
      <c r="K10" s="41">
        <f>K8-K9</f>
        <v>45</v>
      </c>
      <c r="L10" s="41">
        <f>L8-L9</f>
        <v>17.5</v>
      </c>
    </row>
    <row r="11" spans="2:12">
      <c r="B11" s="112" t="s">
        <v>72</v>
      </c>
      <c r="C11" s="112"/>
      <c r="D11" s="112"/>
      <c r="E11" s="112"/>
      <c r="F11" s="112"/>
      <c r="G11" s="15">
        <v>0.3</v>
      </c>
      <c r="H11" t="s">
        <v>88</v>
      </c>
      <c r="I11" s="59">
        <f>VLOOKUP($H$11,$B$3:$F$9,2,0)</f>
        <v>0.3</v>
      </c>
      <c r="J11" s="59">
        <f>VLOOKUP($H$11,$B$3:$F$9,3,0)</f>
        <v>0.3</v>
      </c>
      <c r="K11" s="59">
        <f>VLOOKUP($H$11,$B$3:$F$9,4,0)</f>
        <v>0.3</v>
      </c>
      <c r="L11" s="59">
        <f>VLOOKUP($H$11,$B$3:$F$9,5,0)</f>
        <v>0.3</v>
      </c>
    </row>
    <row r="12" spans="2:12">
      <c r="H12" t="s">
        <v>92</v>
      </c>
      <c r="I12" s="58">
        <f>I10*I11</f>
        <v>1.4999999999999998</v>
      </c>
      <c r="J12" s="58">
        <f>J10*J11</f>
        <v>7.5</v>
      </c>
      <c r="K12" s="58">
        <f>K10*K11</f>
        <v>13.5</v>
      </c>
      <c r="L12" s="58">
        <f>L10*L11</f>
        <v>5.25</v>
      </c>
    </row>
    <row r="13" spans="2:12">
      <c r="H13" s="1" t="s">
        <v>93</v>
      </c>
      <c r="I13" s="41">
        <f>I10-I12</f>
        <v>3.4999999999999991</v>
      </c>
      <c r="J13" s="41">
        <f>J10-J12</f>
        <v>17.5</v>
      </c>
      <c r="K13" s="41">
        <f>K10-K12</f>
        <v>31.5</v>
      </c>
      <c r="L13" s="41">
        <f>L10-L12</f>
        <v>12.25</v>
      </c>
    </row>
    <row r="14" spans="2:12">
      <c r="H14" t="s">
        <v>90</v>
      </c>
      <c r="I14" s="58">
        <f>VLOOKUP($H$14,$B$3:$F$9,2,0)</f>
        <v>2.5</v>
      </c>
      <c r="J14" s="58">
        <f>VLOOKUP($H$14,$B$3:$F$9,3,0)</f>
        <v>10</v>
      </c>
      <c r="K14" s="58">
        <f>VLOOKUP($H$14,$B$3:$F$9,4,0)</f>
        <v>16.5</v>
      </c>
      <c r="L14" s="58">
        <f>VLOOKUP($H$14,$B$3:$F$9,5,0)</f>
        <v>9.75</v>
      </c>
    </row>
    <row r="15" spans="2:12">
      <c r="H15" s="1" t="s">
        <v>94</v>
      </c>
      <c r="I15" s="41">
        <f>I13-I14</f>
        <v>0.99999999999999911</v>
      </c>
      <c r="J15" s="41">
        <f>J13-J14</f>
        <v>7.5</v>
      </c>
      <c r="K15" s="41">
        <f>K13-K14</f>
        <v>15</v>
      </c>
      <c r="L15" s="41">
        <f>L13-L14</f>
        <v>2.5</v>
      </c>
    </row>
  </sheetData>
  <mergeCells count="3">
    <mergeCell ref="H1:L1"/>
    <mergeCell ref="B1:F1"/>
    <mergeCell ref="B11:F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6156-8A50-4CE2-A905-F620595358F3}">
  <dimension ref="A1:I16"/>
  <sheetViews>
    <sheetView workbookViewId="0">
      <selection activeCell="F12" sqref="F12"/>
    </sheetView>
  </sheetViews>
  <sheetFormatPr defaultColWidth="8.88671875" defaultRowHeight="14.4"/>
  <cols>
    <col min="1" max="1" width="21.109375" bestFit="1" customWidth="1"/>
    <col min="3" max="3" width="12.109375" bestFit="1" customWidth="1"/>
    <col min="5" max="5" width="45.44140625" customWidth="1"/>
    <col min="8" max="8" width="27.88671875" bestFit="1" customWidth="1"/>
  </cols>
  <sheetData>
    <row r="1" spans="1:9">
      <c r="A1" s="111" t="s">
        <v>50</v>
      </c>
      <c r="B1" s="111"/>
      <c r="C1" s="111"/>
      <c r="E1" s="111" t="s">
        <v>81</v>
      </c>
      <c r="F1" s="111"/>
      <c r="H1" s="111" t="s">
        <v>95</v>
      </c>
      <c r="I1" s="111"/>
    </row>
    <row r="2" spans="1:9">
      <c r="B2" s="1">
        <f>SCF!E2</f>
        <v>2021</v>
      </c>
      <c r="C2" s="1">
        <f>B2+1</f>
        <v>2022</v>
      </c>
      <c r="F2" s="1">
        <f>C2</f>
        <v>2022</v>
      </c>
    </row>
    <row r="3" spans="1:9">
      <c r="A3" t="s">
        <v>54</v>
      </c>
      <c r="B3" s="3">
        <v>128</v>
      </c>
      <c r="C3" s="24">
        <f>C13*I7</f>
        <v>192</v>
      </c>
      <c r="E3" t="s">
        <v>83</v>
      </c>
      <c r="F3" s="24">
        <f>(365/I9)*200</f>
        <v>888.88888888888891</v>
      </c>
      <c r="H3" t="s">
        <v>96</v>
      </c>
      <c r="I3" s="3">
        <v>0.8045977011494253</v>
      </c>
    </row>
    <row r="4" spans="1:9">
      <c r="A4" t="s">
        <v>97</v>
      </c>
      <c r="B4" s="3">
        <v>160</v>
      </c>
      <c r="C4" s="24">
        <f>C6-C5-C3</f>
        <v>200</v>
      </c>
      <c r="E4" t="s">
        <v>84</v>
      </c>
      <c r="F4" s="24">
        <f>C5*I8</f>
        <v>569.49152542372883</v>
      </c>
      <c r="H4" t="s">
        <v>98</v>
      </c>
      <c r="I4" s="3">
        <v>3</v>
      </c>
    </row>
    <row r="5" spans="1:9">
      <c r="A5" t="s">
        <v>99</v>
      </c>
      <c r="B5" s="3">
        <v>192</v>
      </c>
      <c r="C5" s="87">
        <f>C6-(I6*C13)</f>
        <v>280</v>
      </c>
      <c r="E5" t="s">
        <v>87</v>
      </c>
      <c r="F5" s="3">
        <v>48</v>
      </c>
      <c r="H5" t="s">
        <v>100</v>
      </c>
      <c r="I5" s="3">
        <v>1.826086956521739</v>
      </c>
    </row>
    <row r="6" spans="1:9">
      <c r="A6" s="1" t="s">
        <v>61</v>
      </c>
      <c r="B6" s="8">
        <v>480</v>
      </c>
      <c r="C6" s="25">
        <f>C13*I5-D8</f>
        <v>672</v>
      </c>
      <c r="E6" t="s">
        <v>82</v>
      </c>
      <c r="F6" s="3">
        <v>32</v>
      </c>
      <c r="H6" t="s">
        <v>101</v>
      </c>
      <c r="I6" s="3">
        <v>1.0652173913043479</v>
      </c>
    </row>
    <row r="7" spans="1:9">
      <c r="A7" t="s">
        <v>102</v>
      </c>
      <c r="B7" s="3">
        <v>1120</v>
      </c>
      <c r="C7" s="24">
        <f>C16-C6</f>
        <v>1088</v>
      </c>
      <c r="E7" s="1" t="s">
        <v>89</v>
      </c>
      <c r="F7" s="24">
        <f>(F3-F4)-F5-F6</f>
        <v>239.39736346516008</v>
      </c>
      <c r="H7" t="s">
        <v>103</v>
      </c>
      <c r="I7" s="3">
        <v>0.52173913043478259</v>
      </c>
    </row>
    <row r="8" spans="1:9">
      <c r="A8" s="1" t="s">
        <v>71</v>
      </c>
      <c r="B8" s="8">
        <v>1600</v>
      </c>
      <c r="C8" s="25">
        <f>SUM(C6:C7)</f>
        <v>1760</v>
      </c>
      <c r="E8" t="s">
        <v>85</v>
      </c>
      <c r="F8" s="24">
        <f>F7/I4</f>
        <v>79.799121155053356</v>
      </c>
      <c r="H8" t="s">
        <v>104</v>
      </c>
      <c r="I8" s="3">
        <v>2.0338983050847457</v>
      </c>
    </row>
    <row r="9" spans="1:9">
      <c r="B9" s="3"/>
      <c r="C9" s="3"/>
      <c r="E9" s="1" t="s">
        <v>91</v>
      </c>
      <c r="F9" s="24">
        <f>F7-F8</f>
        <v>159.59824231010674</v>
      </c>
      <c r="H9" t="s">
        <v>105</v>
      </c>
      <c r="I9" s="3">
        <v>82.125</v>
      </c>
    </row>
    <row r="10" spans="1:9">
      <c r="A10" t="s">
        <v>52</v>
      </c>
      <c r="B10" s="3">
        <v>32</v>
      </c>
      <c r="C10" s="3">
        <v>128</v>
      </c>
      <c r="E10" t="s">
        <v>92</v>
      </c>
      <c r="F10" s="24">
        <f>F9*I10</f>
        <v>47.879472693032021</v>
      </c>
      <c r="H10" t="s">
        <v>106</v>
      </c>
      <c r="I10" s="3">
        <v>0.3</v>
      </c>
    </row>
    <row r="11" spans="1:9">
      <c r="A11" t="s">
        <v>55</v>
      </c>
      <c r="B11" s="3">
        <v>48</v>
      </c>
      <c r="C11" s="3">
        <v>160</v>
      </c>
      <c r="E11" s="1" t="s">
        <v>93</v>
      </c>
      <c r="F11" s="24">
        <f>F9-F10</f>
        <v>111.71876961707471</v>
      </c>
    </row>
    <row r="12" spans="1:9">
      <c r="A12" t="s">
        <v>62</v>
      </c>
      <c r="B12" s="3">
        <v>80</v>
      </c>
      <c r="C12" s="3">
        <v>80</v>
      </c>
    </row>
    <row r="13" spans="1:9">
      <c r="A13" s="1" t="s">
        <v>74</v>
      </c>
      <c r="B13" s="8">
        <v>160</v>
      </c>
      <c r="C13" s="25">
        <f>SUM(C10:C12)</f>
        <v>368</v>
      </c>
    </row>
    <row r="14" spans="1:9">
      <c r="A14" s="1" t="s">
        <v>107</v>
      </c>
      <c r="B14" s="8">
        <v>1200</v>
      </c>
      <c r="C14" s="25">
        <f>(I3*C15)/(1-I3)</f>
        <v>1251.7647058823532</v>
      </c>
    </row>
    <row r="15" spans="1:9">
      <c r="A15" s="1" t="s">
        <v>108</v>
      </c>
      <c r="B15" s="8">
        <v>240</v>
      </c>
      <c r="C15" s="25">
        <f>C6-C13</f>
        <v>304</v>
      </c>
    </row>
    <row r="16" spans="1:9">
      <c r="A16" s="1" t="s">
        <v>109</v>
      </c>
      <c r="B16" s="8">
        <v>1600</v>
      </c>
      <c r="C16" s="8">
        <v>1760</v>
      </c>
    </row>
  </sheetData>
  <mergeCells count="3">
    <mergeCell ref="A1:C1"/>
    <mergeCell ref="E1:F1"/>
    <mergeCell ref="H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O55"/>
  <sheetViews>
    <sheetView topLeftCell="A2" workbookViewId="0">
      <selection activeCell="P13" sqref="P13"/>
    </sheetView>
  </sheetViews>
  <sheetFormatPr defaultColWidth="9.109375" defaultRowHeight="14.4"/>
  <cols>
    <col min="1" max="1" width="4.44140625" customWidth="1"/>
    <col min="2" max="2" width="39.44140625" bestFit="1" customWidth="1"/>
    <col min="3" max="6" width="9.44140625" customWidth="1"/>
    <col min="7" max="7" width="9.109375" customWidth="1"/>
    <col min="8" max="8" width="3" style="11" customWidth="1"/>
    <col min="9" max="9" width="30.44140625" customWidth="1"/>
    <col min="10" max="13" width="9.109375" customWidth="1"/>
  </cols>
  <sheetData>
    <row r="1" spans="1:15">
      <c r="B1" s="111" t="s">
        <v>81</v>
      </c>
      <c r="C1" s="111"/>
      <c r="D1" s="111"/>
      <c r="E1" s="111"/>
      <c r="F1" s="111"/>
      <c r="I1" s="111" t="s">
        <v>110</v>
      </c>
      <c r="J1" s="111"/>
      <c r="K1" s="111"/>
      <c r="L1" s="111"/>
      <c r="M1" s="111"/>
    </row>
    <row r="2" spans="1:15" ht="15.6">
      <c r="B2" s="9"/>
      <c r="C2" s="9">
        <v>2019</v>
      </c>
      <c r="D2" s="9">
        <f>C2+1</f>
        <v>2020</v>
      </c>
      <c r="E2" s="9">
        <f>D2+1</f>
        <v>2021</v>
      </c>
      <c r="F2" s="9">
        <f>E2+1</f>
        <v>2022</v>
      </c>
      <c r="I2" s="9"/>
      <c r="J2" s="9">
        <f>C2</f>
        <v>2019</v>
      </c>
      <c r="K2" s="9">
        <f t="shared" ref="K2:M2" si="0">D2</f>
        <v>2020</v>
      </c>
      <c r="L2" s="9">
        <f t="shared" si="0"/>
        <v>2021</v>
      </c>
      <c r="M2" s="9">
        <f t="shared" si="0"/>
        <v>2022</v>
      </c>
    </row>
    <row r="3" spans="1:15">
      <c r="B3" t="s">
        <v>83</v>
      </c>
      <c r="C3" s="3">
        <v>50</v>
      </c>
      <c r="D3" s="3">
        <v>75</v>
      </c>
      <c r="E3" s="3">
        <v>100</v>
      </c>
      <c r="F3" s="3">
        <v>125</v>
      </c>
      <c r="I3" s="1" t="s">
        <v>111</v>
      </c>
      <c r="J3" s="1"/>
    </row>
    <row r="4" spans="1:15">
      <c r="B4" t="s">
        <v>84</v>
      </c>
      <c r="C4" s="3">
        <v>37.5</v>
      </c>
      <c r="D4" s="3">
        <v>50</v>
      </c>
      <c r="E4" s="3">
        <v>62.5</v>
      </c>
      <c r="F4" s="3">
        <v>100</v>
      </c>
      <c r="I4" t="str">
        <f>B12</f>
        <v>Net Income (NI)</v>
      </c>
      <c r="J4" s="27">
        <f>VLOOKUP($I$4,$B$3:$F$17,2,0)</f>
        <v>1.7499999999999996</v>
      </c>
      <c r="K4" s="27">
        <f>VLOOKUP($I$4,$B$3:$F$17,3,0)</f>
        <v>8.75</v>
      </c>
      <c r="L4" s="27">
        <f>VLOOKUP($I$4,$B$3:$F$17,4,0)</f>
        <v>15.75</v>
      </c>
      <c r="M4" s="27">
        <f>VLOOKUP($I$4,$B$3:$F$17,5,0)</f>
        <v>6.125</v>
      </c>
    </row>
    <row r="5" spans="1:15">
      <c r="B5" s="1" t="s">
        <v>86</v>
      </c>
      <c r="C5" s="8">
        <f>C3-C4</f>
        <v>12.5</v>
      </c>
      <c r="D5" s="8">
        <f>D3-D4</f>
        <v>25</v>
      </c>
      <c r="E5" s="8">
        <f>E3-E4</f>
        <v>37.5</v>
      </c>
      <c r="F5" s="8">
        <f>F3-F4</f>
        <v>25</v>
      </c>
      <c r="I5" t="str">
        <f>B7</f>
        <v>Depreciation</v>
      </c>
      <c r="J5" s="27">
        <f>VLOOKUP($I$5,$B$3:$F$17,2,0)</f>
        <v>3.75</v>
      </c>
      <c r="K5" s="87">
        <f>VLOOKUP($I$5,$B$3:$F$17,3,0)</f>
        <v>4.375</v>
      </c>
      <c r="L5" s="87">
        <f>VLOOKUP($I$5,$B$3:$F$17,4,0)</f>
        <v>5</v>
      </c>
      <c r="M5" s="87">
        <f>VLOOKUP($I$5,$B$3:$F$17,5,0)</f>
        <v>5.625</v>
      </c>
    </row>
    <row r="6" spans="1:15">
      <c r="B6" t="s">
        <v>87</v>
      </c>
      <c r="C6" s="3">
        <v>2.625</v>
      </c>
      <c r="D6" s="3">
        <v>4.625</v>
      </c>
      <c r="E6" s="3">
        <v>7</v>
      </c>
      <c r="F6" s="3">
        <v>8.125</v>
      </c>
      <c r="H6" s="11" t="s">
        <v>112</v>
      </c>
      <c r="I6" t="str">
        <f>B23</f>
        <v>Accounts Receivable</v>
      </c>
      <c r="J6" s="87">
        <v>0</v>
      </c>
      <c r="K6" s="24">
        <f>-C23-D23</f>
        <v>-12.5</v>
      </c>
      <c r="L6" s="87">
        <f>-E23-D23</f>
        <v>-18.75</v>
      </c>
      <c r="M6" s="24">
        <f>-F23-E23</f>
        <v>-23.75</v>
      </c>
      <c r="N6" t="s">
        <v>113</v>
      </c>
      <c r="O6" s="3"/>
    </row>
    <row r="7" spans="1:15">
      <c r="A7" s="2"/>
      <c r="B7" t="s">
        <v>82</v>
      </c>
      <c r="C7" s="3">
        <v>3.75</v>
      </c>
      <c r="D7" s="3">
        <v>4.375</v>
      </c>
      <c r="E7" s="3">
        <v>5</v>
      </c>
      <c r="F7" s="3">
        <v>5.625</v>
      </c>
      <c r="H7" s="11" t="s">
        <v>112</v>
      </c>
      <c r="I7" t="str">
        <f>B24</f>
        <v>Inventories</v>
      </c>
      <c r="J7" s="87">
        <v>0</v>
      </c>
      <c r="K7" s="87">
        <f>-D24-C24</f>
        <v>-28.125</v>
      </c>
      <c r="L7" s="24">
        <f>-E24-D24</f>
        <v>-35.625</v>
      </c>
      <c r="M7" s="87">
        <f>-F24-E24</f>
        <v>-33.75</v>
      </c>
      <c r="N7" t="s">
        <v>113</v>
      </c>
    </row>
    <row r="8" spans="1:15">
      <c r="B8" s="1" t="s">
        <v>89</v>
      </c>
      <c r="C8" s="8">
        <f>C5-SUM(C6:C7)</f>
        <v>6.125</v>
      </c>
      <c r="D8" s="8">
        <f>D5-SUM(D6:D7)</f>
        <v>16</v>
      </c>
      <c r="E8" s="8">
        <f>E5-SUM(E6:E7)</f>
        <v>25.5</v>
      </c>
      <c r="F8" s="8">
        <f>F5-SUM(F6:F7)</f>
        <v>11.25</v>
      </c>
      <c r="H8" s="11" t="s">
        <v>112</v>
      </c>
      <c r="I8" t="str">
        <f>B25</f>
        <v>Other Current Assets</v>
      </c>
      <c r="J8" s="87">
        <v>0</v>
      </c>
      <c r="K8" s="24">
        <f>D25-C25</f>
        <v>2.5</v>
      </c>
      <c r="L8" s="87">
        <f>E25-D25</f>
        <v>0.625</v>
      </c>
      <c r="M8" s="87">
        <f>F25-E25</f>
        <v>3.125</v>
      </c>
      <c r="N8" t="s">
        <v>114</v>
      </c>
    </row>
    <row r="9" spans="1:15">
      <c r="A9" s="2"/>
      <c r="B9" t="s">
        <v>85</v>
      </c>
      <c r="C9" s="3">
        <v>3.6250000000000004</v>
      </c>
      <c r="D9" s="3">
        <v>3.5000000000000004</v>
      </c>
      <c r="E9" s="3">
        <v>3.0000000000000004</v>
      </c>
      <c r="F9" s="3">
        <v>2.5</v>
      </c>
      <c r="H9" s="11" t="s">
        <v>112</v>
      </c>
      <c r="I9" t="str">
        <f>B38</f>
        <v>Accounts Payable</v>
      </c>
      <c r="J9" s="87">
        <v>0</v>
      </c>
      <c r="K9" s="87">
        <f>D38-C38</f>
        <v>8.75</v>
      </c>
      <c r="L9" s="24">
        <f>E38-D38</f>
        <v>16.25</v>
      </c>
      <c r="M9" s="87">
        <f>F38-E38</f>
        <v>1.25</v>
      </c>
      <c r="N9" t="s">
        <v>114</v>
      </c>
    </row>
    <row r="10" spans="1:15">
      <c r="B10" s="1" t="s">
        <v>91</v>
      </c>
      <c r="C10" s="8">
        <f>C8-C9</f>
        <v>2.4999999999999996</v>
      </c>
      <c r="D10" s="8">
        <f>D8-D9</f>
        <v>12.5</v>
      </c>
      <c r="E10" s="8">
        <f>E8-E9</f>
        <v>22.5</v>
      </c>
      <c r="F10" s="8">
        <f>F8-F9</f>
        <v>8.75</v>
      </c>
      <c r="I10" s="1" t="s">
        <v>115</v>
      </c>
      <c r="J10" s="88">
        <f>SUM(J4:J9)</f>
        <v>5.5</v>
      </c>
      <c r="K10" s="25">
        <f>SUM(K4:K9)</f>
        <v>-16.25</v>
      </c>
      <c r="L10" s="25">
        <f>SUM(L4:L9)</f>
        <v>-16.75</v>
      </c>
      <c r="M10" s="25">
        <f>SUM(M4:M9)</f>
        <v>-41.375</v>
      </c>
    </row>
    <row r="11" spans="1:15">
      <c r="A11" s="15">
        <v>0.3</v>
      </c>
      <c r="B11" t="s">
        <v>92</v>
      </c>
      <c r="C11" s="3">
        <f>C10*$A$11</f>
        <v>0.74999999999999989</v>
      </c>
      <c r="D11" s="3">
        <f>D10*$A$11</f>
        <v>3.75</v>
      </c>
      <c r="E11" s="3">
        <f>E10*$A$11</f>
        <v>6.75</v>
      </c>
      <c r="F11" s="3">
        <f>F10*$A$11</f>
        <v>2.625</v>
      </c>
    </row>
    <row r="12" spans="1:15">
      <c r="B12" s="1" t="s">
        <v>93</v>
      </c>
      <c r="C12" s="8">
        <f>C10-C11</f>
        <v>1.7499999999999996</v>
      </c>
      <c r="D12" s="8">
        <f>D10-D11</f>
        <v>8.75</v>
      </c>
      <c r="E12" s="8">
        <f>E10-E11</f>
        <v>15.75</v>
      </c>
      <c r="F12" s="8">
        <f>F10-F11</f>
        <v>6.125</v>
      </c>
      <c r="I12" s="1" t="s">
        <v>116</v>
      </c>
      <c r="J12" s="1"/>
      <c r="K12" s="3"/>
      <c r="L12" s="3"/>
      <c r="M12" s="3"/>
    </row>
    <row r="13" spans="1:15">
      <c r="B13" t="s">
        <v>117</v>
      </c>
      <c r="C13" s="3">
        <v>1.25</v>
      </c>
      <c r="D13" s="3">
        <v>5</v>
      </c>
      <c r="E13" s="3">
        <v>8.25</v>
      </c>
      <c r="F13" s="3">
        <v>4.875</v>
      </c>
      <c r="H13" s="11" t="s">
        <v>112</v>
      </c>
      <c r="I13" t="str">
        <f>B31</f>
        <v>PPE (Net)</v>
      </c>
      <c r="J13" s="87">
        <v>0</v>
      </c>
      <c r="K13" s="87">
        <f t="shared" ref="K13:M14" si="1">-D31-C31</f>
        <v>-83.125</v>
      </c>
      <c r="L13" s="87">
        <f t="shared" si="1"/>
        <v>-98.75</v>
      </c>
      <c r="M13" s="87">
        <f t="shared" si="1"/>
        <v>-113.125</v>
      </c>
      <c r="N13" t="s">
        <v>113</v>
      </c>
    </row>
    <row r="14" spans="1:15">
      <c r="B14" t="s">
        <v>94</v>
      </c>
      <c r="C14" s="3">
        <f>C12-C13</f>
        <v>0.49999999999999956</v>
      </c>
      <c r="D14" s="3">
        <f>D12-D13</f>
        <v>3.75</v>
      </c>
      <c r="E14" s="3">
        <f>E12-E13</f>
        <v>7.5</v>
      </c>
      <c r="F14" s="3">
        <f>F12-F13</f>
        <v>1.25</v>
      </c>
      <c r="H14" s="11" t="s">
        <v>112</v>
      </c>
      <c r="I14" t="str">
        <f>B32</f>
        <v>Goodwill</v>
      </c>
      <c r="J14" s="87">
        <v>0</v>
      </c>
      <c r="K14" s="24">
        <f t="shared" si="1"/>
        <v>-12.5</v>
      </c>
      <c r="L14" s="24">
        <f t="shared" si="1"/>
        <v>-12.5</v>
      </c>
      <c r="M14" s="24">
        <f t="shared" si="1"/>
        <v>-12.5</v>
      </c>
      <c r="N14" t="s">
        <v>113</v>
      </c>
    </row>
    <row r="15" spans="1:15">
      <c r="I15" s="1" t="s">
        <v>118</v>
      </c>
      <c r="J15" s="88">
        <f>SUM(J13:J14)</f>
        <v>0</v>
      </c>
      <c r="K15" s="25">
        <f>SUM(K13:K14)</f>
        <v>-95.625</v>
      </c>
      <c r="L15" s="25">
        <f>SUM(L13:L14)</f>
        <v>-111.25</v>
      </c>
      <c r="M15" s="25">
        <f>SUM(M13:M14)</f>
        <v>-125.625</v>
      </c>
    </row>
    <row r="16" spans="1:15">
      <c r="B16" t="s">
        <v>119</v>
      </c>
      <c r="C16" s="3">
        <v>25</v>
      </c>
      <c r="D16" s="3">
        <v>25</v>
      </c>
      <c r="E16" s="3">
        <v>25</v>
      </c>
      <c r="F16" s="3">
        <v>25</v>
      </c>
      <c r="K16" s="3"/>
      <c r="L16" s="3"/>
      <c r="M16" s="3"/>
    </row>
    <row r="17" spans="2:14">
      <c r="B17" t="s">
        <v>120</v>
      </c>
      <c r="C17" s="3">
        <v>5</v>
      </c>
      <c r="D17" s="3">
        <v>7.5</v>
      </c>
      <c r="E17" s="3">
        <v>8.75</v>
      </c>
      <c r="F17" s="3">
        <v>6.25</v>
      </c>
      <c r="I17" s="1" t="s">
        <v>121</v>
      </c>
      <c r="K17" s="3"/>
      <c r="L17" s="3"/>
      <c r="M17" s="3"/>
    </row>
    <row r="18" spans="2:14">
      <c r="I18" t="str">
        <f>B13</f>
        <v>Dividends (in million $)</v>
      </c>
      <c r="J18" s="27">
        <f>VLOOKUP(I18,B3:F17,2,0)</f>
        <v>1.25</v>
      </c>
      <c r="K18" s="87">
        <f>VLOOKUP(I18,B3:F17,3,FALSE)</f>
        <v>5</v>
      </c>
      <c r="L18" s="27">
        <f>VLOOKUP(I18,B3:F17,4,FALSE)</f>
        <v>8.25</v>
      </c>
      <c r="M18" s="87">
        <f>VLOOKUP(I18,B3:F17,4,FALSE)</f>
        <v>8.25</v>
      </c>
    </row>
    <row r="19" spans="2:14">
      <c r="B19" s="111" t="s">
        <v>50</v>
      </c>
      <c r="C19" s="111"/>
      <c r="D19" s="111"/>
      <c r="E19" s="111"/>
      <c r="F19" s="111"/>
      <c r="H19" s="11" t="s">
        <v>112</v>
      </c>
      <c r="I19" t="str">
        <f>B39</f>
        <v>Notes Payable</v>
      </c>
      <c r="J19" s="87">
        <v>0</v>
      </c>
      <c r="K19" s="24">
        <f t="shared" ref="K19:M20" si="2">D39-C39</f>
        <v>12.5</v>
      </c>
      <c r="L19" s="87">
        <f t="shared" si="2"/>
        <v>-6.25</v>
      </c>
      <c r="M19" s="87">
        <f t="shared" si="2"/>
        <v>12.5</v>
      </c>
      <c r="N19" t="s">
        <v>114</v>
      </c>
    </row>
    <row r="20" spans="2:14" ht="15.6">
      <c r="B20" s="9"/>
      <c r="C20" s="9">
        <f>C2</f>
        <v>2019</v>
      </c>
      <c r="D20" s="9">
        <f>D2</f>
        <v>2020</v>
      </c>
      <c r="E20" s="9">
        <f>E2</f>
        <v>2021</v>
      </c>
      <c r="F20" s="9">
        <f>F2</f>
        <v>2022</v>
      </c>
      <c r="H20" s="11" t="s">
        <v>112</v>
      </c>
      <c r="I20" t="str">
        <f>B40</f>
        <v>Current Portion of LTD</v>
      </c>
      <c r="J20" s="87">
        <v>0</v>
      </c>
      <c r="K20" s="87">
        <f t="shared" si="2"/>
        <v>0</v>
      </c>
      <c r="L20" s="87">
        <f t="shared" si="2"/>
        <v>0</v>
      </c>
      <c r="M20" s="87">
        <f t="shared" si="2"/>
        <v>0</v>
      </c>
      <c r="N20" t="s">
        <v>114</v>
      </c>
    </row>
    <row r="21" spans="2:14">
      <c r="B21" s="1" t="s">
        <v>53</v>
      </c>
      <c r="H21" s="11" t="s">
        <v>112</v>
      </c>
      <c r="I21" t="str">
        <f>B44</f>
        <v>Long Term Loan</v>
      </c>
      <c r="J21" s="87">
        <v>0</v>
      </c>
      <c r="K21" s="87">
        <f t="shared" ref="K21:M22" si="3">D44-C44</f>
        <v>-5</v>
      </c>
      <c r="L21" s="87">
        <f t="shared" si="3"/>
        <v>-5</v>
      </c>
      <c r="M21" s="87">
        <f t="shared" si="3"/>
        <v>-5</v>
      </c>
      <c r="N21" t="s">
        <v>114</v>
      </c>
    </row>
    <row r="22" spans="2:14">
      <c r="B22" t="s">
        <v>54</v>
      </c>
      <c r="C22" s="3">
        <v>2.5</v>
      </c>
      <c r="D22" s="3">
        <v>6.25</v>
      </c>
      <c r="E22" s="3">
        <v>7.5</v>
      </c>
      <c r="F22" s="3">
        <v>10</v>
      </c>
      <c r="H22" s="11" t="s">
        <v>112</v>
      </c>
      <c r="I22" t="str">
        <f>B45</f>
        <v>Bonds Payable</v>
      </c>
      <c r="J22" s="87">
        <v>0</v>
      </c>
      <c r="K22" s="87">
        <f t="shared" si="3"/>
        <v>2.5</v>
      </c>
      <c r="L22" s="87">
        <f t="shared" si="3"/>
        <v>0</v>
      </c>
      <c r="M22" s="87">
        <f t="shared" si="3"/>
        <v>0</v>
      </c>
      <c r="N22" t="s">
        <v>114</v>
      </c>
    </row>
    <row r="23" spans="2:14">
      <c r="B23" t="s">
        <v>56</v>
      </c>
      <c r="C23" s="3">
        <v>3.75</v>
      </c>
      <c r="D23" s="3">
        <v>8.75</v>
      </c>
      <c r="E23" s="3">
        <v>10</v>
      </c>
      <c r="F23" s="3">
        <v>13.75</v>
      </c>
      <c r="H23" s="11" t="s">
        <v>112</v>
      </c>
      <c r="I23" t="str">
        <f>B49</f>
        <v>Contributed Capital</v>
      </c>
      <c r="J23" s="87">
        <v>0</v>
      </c>
      <c r="K23" s="24">
        <f>D49-C49</f>
        <v>2.5</v>
      </c>
      <c r="L23" s="24">
        <f>E49-D49</f>
        <v>0</v>
      </c>
      <c r="M23" s="24">
        <f>F49-E49</f>
        <v>2.5</v>
      </c>
      <c r="N23" t="s">
        <v>114</v>
      </c>
    </row>
    <row r="24" spans="2:14">
      <c r="B24" t="s">
        <v>58</v>
      </c>
      <c r="C24" s="3">
        <v>11.25</v>
      </c>
      <c r="D24" s="3">
        <v>16.875</v>
      </c>
      <c r="E24" s="3">
        <v>18.75</v>
      </c>
      <c r="F24" s="3">
        <v>15</v>
      </c>
      <c r="I24" s="1" t="s">
        <v>122</v>
      </c>
      <c r="J24" s="29">
        <f>SUM(J18:J23)</f>
        <v>1.25</v>
      </c>
      <c r="K24" s="25">
        <f>SUM(K18:K23)</f>
        <v>17.5</v>
      </c>
      <c r="L24" s="25">
        <f>SUM(L18:L23)</f>
        <v>-3</v>
      </c>
      <c r="M24" s="25">
        <f>SUM(M18:M23)</f>
        <v>18.25</v>
      </c>
    </row>
    <row r="25" spans="2:14">
      <c r="B25" t="s">
        <v>60</v>
      </c>
      <c r="C25" s="3">
        <v>1.25</v>
      </c>
      <c r="D25" s="3">
        <v>3.75</v>
      </c>
      <c r="E25" s="3">
        <v>4.375</v>
      </c>
      <c r="F25" s="3">
        <v>7.5</v>
      </c>
      <c r="K25" s="3"/>
      <c r="L25" s="3"/>
      <c r="M25" s="3"/>
    </row>
    <row r="26" spans="2:14">
      <c r="B26" s="1" t="s">
        <v>61</v>
      </c>
      <c r="C26" s="8">
        <f>SUM(C22:C25)</f>
        <v>18.75</v>
      </c>
      <c r="D26" s="8">
        <f>SUM(D22:D25)</f>
        <v>35.625</v>
      </c>
      <c r="E26" s="8">
        <f>SUM(E22:E25)</f>
        <v>40.625</v>
      </c>
      <c r="F26" s="8">
        <f>SUM(F22:F25)</f>
        <v>46.25</v>
      </c>
      <c r="I26" s="1" t="s">
        <v>123</v>
      </c>
      <c r="J26" s="88">
        <f>SUM(J10,J15,J24)</f>
        <v>6.75</v>
      </c>
      <c r="K26" s="25">
        <f>SUM(K10,K15,K24)</f>
        <v>-94.375</v>
      </c>
      <c r="L26" s="25">
        <f>SUM(L10,L15,L24)</f>
        <v>-131</v>
      </c>
      <c r="M26" s="25">
        <f>SUM(M10,M15,M24)</f>
        <v>-148.75</v>
      </c>
    </row>
    <row r="27" spans="2:14">
      <c r="K27" s="3"/>
      <c r="L27" s="3"/>
      <c r="M27" s="3"/>
    </row>
    <row r="28" spans="2:14">
      <c r="B28" s="1" t="s">
        <v>64</v>
      </c>
      <c r="C28" s="3"/>
      <c r="D28" s="3"/>
      <c r="E28" s="3"/>
      <c r="F28" s="3"/>
      <c r="I28" t="s">
        <v>124</v>
      </c>
      <c r="J28" s="24">
        <f>C22</f>
        <v>2.5</v>
      </c>
      <c r="K28" s="24">
        <f>D22</f>
        <v>6.25</v>
      </c>
      <c r="L28" s="24">
        <f>E22</f>
        <v>7.5</v>
      </c>
      <c r="M28" s="24">
        <f>F22</f>
        <v>10</v>
      </c>
    </row>
    <row r="29" spans="2:14">
      <c r="B29" t="s">
        <v>57</v>
      </c>
      <c r="C29" s="10">
        <v>75</v>
      </c>
      <c r="D29" s="10">
        <v>87.5</v>
      </c>
      <c r="E29" s="10">
        <v>100</v>
      </c>
      <c r="F29" s="10">
        <v>112.5</v>
      </c>
      <c r="I29" s="1" t="s">
        <v>125</v>
      </c>
      <c r="J29" s="25">
        <f>SUM(J26,J28)</f>
        <v>9.25</v>
      </c>
      <c r="K29" s="25">
        <f>SUM(K26,K28)</f>
        <v>-88.125</v>
      </c>
      <c r="L29" s="25">
        <f>SUM(L26,L28)</f>
        <v>-123.5</v>
      </c>
      <c r="M29" s="25">
        <f>SUM(M26,M28)</f>
        <v>-138.75</v>
      </c>
    </row>
    <row r="30" spans="2:14">
      <c r="B30" t="s">
        <v>126</v>
      </c>
      <c r="C30" s="10">
        <v>37.5</v>
      </c>
      <c r="D30" s="10">
        <f>C30+D7</f>
        <v>41.875</v>
      </c>
      <c r="E30" s="10">
        <f>D30+E7</f>
        <v>46.875</v>
      </c>
      <c r="F30" s="10">
        <f>E30+F7</f>
        <v>52.5</v>
      </c>
    </row>
    <row r="31" spans="2:14">
      <c r="B31" t="s">
        <v>67</v>
      </c>
      <c r="C31" s="3">
        <f>C29-C30</f>
        <v>37.5</v>
      </c>
      <c r="D31" s="3">
        <f>D29-D30</f>
        <v>45.625</v>
      </c>
      <c r="E31" s="3">
        <f>E29-E30</f>
        <v>53.125</v>
      </c>
      <c r="F31" s="3">
        <f>F29-F30</f>
        <v>60</v>
      </c>
    </row>
    <row r="32" spans="2:14">
      <c r="B32" t="s">
        <v>66</v>
      </c>
      <c r="C32" s="3">
        <v>6.25</v>
      </c>
      <c r="D32" s="3">
        <v>6.25</v>
      </c>
      <c r="E32" s="3">
        <v>6.25</v>
      </c>
      <c r="F32" s="3">
        <v>6.25</v>
      </c>
    </row>
    <row r="33" spans="2:13">
      <c r="B33" s="1" t="s">
        <v>69</v>
      </c>
      <c r="C33" s="8">
        <f>SUM(C31:C32)</f>
        <v>43.75</v>
      </c>
      <c r="D33" s="8">
        <f>SUM(D31:D32)</f>
        <v>51.875</v>
      </c>
      <c r="E33" s="8">
        <f>SUM(E31:E32)</f>
        <v>59.375</v>
      </c>
      <c r="F33" s="8">
        <f>SUM(F31:F32)</f>
        <v>66.25</v>
      </c>
    </row>
    <row r="34" spans="2:13">
      <c r="C34" s="3"/>
      <c r="D34" s="3"/>
      <c r="E34" s="3"/>
      <c r="F34" s="3"/>
    </row>
    <row r="35" spans="2:13">
      <c r="B35" s="1" t="s">
        <v>71</v>
      </c>
      <c r="C35" s="8">
        <f>C26+C33</f>
        <v>62.5</v>
      </c>
      <c r="D35" s="8">
        <f>D26+D33</f>
        <v>87.5</v>
      </c>
      <c r="E35" s="8">
        <f>E26+E33</f>
        <v>100</v>
      </c>
      <c r="F35" s="8">
        <f>F26+F33</f>
        <v>112.5</v>
      </c>
      <c r="I35" s="5"/>
      <c r="J35" s="5"/>
      <c r="K35" s="8"/>
      <c r="L35" s="8"/>
      <c r="M35" s="8"/>
    </row>
    <row r="36" spans="2:13">
      <c r="C36" s="3"/>
      <c r="D36" s="3"/>
      <c r="E36" s="3"/>
      <c r="F36" s="3"/>
      <c r="K36" s="3"/>
      <c r="L36" s="3"/>
      <c r="M36" s="3"/>
    </row>
    <row r="37" spans="2:13">
      <c r="B37" s="1" t="s">
        <v>73</v>
      </c>
      <c r="C37" s="3"/>
      <c r="D37" s="3"/>
      <c r="E37" s="3"/>
      <c r="F37" s="3"/>
      <c r="K37" s="3"/>
      <c r="L37" s="3"/>
      <c r="M37" s="3"/>
    </row>
    <row r="38" spans="2:13">
      <c r="B38" t="s">
        <v>52</v>
      </c>
      <c r="C38" s="3">
        <v>6.25</v>
      </c>
      <c r="D38" s="3">
        <v>15</v>
      </c>
      <c r="E38" s="3">
        <v>31.25</v>
      </c>
      <c r="F38" s="3">
        <v>32.5</v>
      </c>
      <c r="K38" s="3"/>
      <c r="L38" s="3"/>
      <c r="M38" s="3"/>
    </row>
    <row r="39" spans="2:13">
      <c r="B39" t="s">
        <v>55</v>
      </c>
      <c r="C39" s="3">
        <v>3.75</v>
      </c>
      <c r="D39" s="3">
        <v>16.25</v>
      </c>
      <c r="E39" s="3">
        <v>10</v>
      </c>
      <c r="F39" s="3">
        <v>22.5</v>
      </c>
      <c r="I39" s="5"/>
      <c r="J39" s="5"/>
      <c r="K39" s="8"/>
      <c r="L39" s="8"/>
      <c r="M39" s="8"/>
    </row>
    <row r="40" spans="2:13">
      <c r="B40" t="s">
        <v>62</v>
      </c>
      <c r="C40" s="3">
        <v>5</v>
      </c>
      <c r="D40" s="3">
        <f>C40</f>
        <v>5</v>
      </c>
      <c r="E40" s="3">
        <f>D40</f>
        <v>5</v>
      </c>
      <c r="F40" s="3">
        <f>E40</f>
        <v>5</v>
      </c>
    </row>
    <row r="41" spans="2:13">
      <c r="B41" s="1" t="s">
        <v>74</v>
      </c>
      <c r="C41" s="8">
        <f>SUM(C38:C40)</f>
        <v>15</v>
      </c>
      <c r="D41" s="8">
        <f>SUM(D38:D40)</f>
        <v>36.25</v>
      </c>
      <c r="E41" s="8">
        <f>SUM(E38:E40)</f>
        <v>46.25</v>
      </c>
      <c r="F41" s="8">
        <f>SUM(F38:F40)</f>
        <v>60</v>
      </c>
    </row>
    <row r="42" spans="2:13">
      <c r="C42" s="3"/>
      <c r="D42" s="3"/>
      <c r="E42" s="3"/>
      <c r="F42" s="3"/>
      <c r="I42" s="1"/>
      <c r="J42" s="8"/>
      <c r="K42" s="8"/>
      <c r="L42" s="8"/>
      <c r="M42" s="8"/>
    </row>
    <row r="43" spans="2:13">
      <c r="B43" s="1" t="s">
        <v>75</v>
      </c>
      <c r="C43" s="3"/>
      <c r="D43" s="3"/>
      <c r="E43" s="3"/>
      <c r="F43" s="3"/>
    </row>
    <row r="44" spans="2:13">
      <c r="B44" t="s">
        <v>59</v>
      </c>
      <c r="C44" s="3">
        <v>25</v>
      </c>
      <c r="D44" s="3">
        <f>C44-D40</f>
        <v>20</v>
      </c>
      <c r="E44" s="3">
        <f>D44-E40</f>
        <v>15</v>
      </c>
      <c r="F44" s="3">
        <f>E44-F40</f>
        <v>10</v>
      </c>
    </row>
    <row r="45" spans="2:13">
      <c r="B45" t="s">
        <v>65</v>
      </c>
      <c r="C45" s="3">
        <v>7.5</v>
      </c>
      <c r="D45" s="3">
        <v>10</v>
      </c>
      <c r="E45" s="3">
        <v>10</v>
      </c>
      <c r="F45" s="3">
        <v>10</v>
      </c>
    </row>
    <row r="46" spans="2:13">
      <c r="B46" s="1" t="s">
        <v>76</v>
      </c>
      <c r="C46" s="8">
        <f>SUM(C44:C45)</f>
        <v>32.5</v>
      </c>
      <c r="D46" s="8">
        <f>SUM(D44:D45)</f>
        <v>30</v>
      </c>
      <c r="E46" s="8">
        <f>SUM(E44:E45)</f>
        <v>25</v>
      </c>
      <c r="F46" s="8">
        <f>SUM(F44:F45)</f>
        <v>20</v>
      </c>
    </row>
    <row r="47" spans="2:13">
      <c r="C47" s="3"/>
      <c r="D47" s="3"/>
      <c r="E47" s="3"/>
      <c r="F47" s="3"/>
    </row>
    <row r="48" spans="2:13">
      <c r="B48" s="1" t="s">
        <v>77</v>
      </c>
      <c r="C48" s="3"/>
      <c r="D48" s="3"/>
      <c r="E48" s="3"/>
      <c r="F48" s="3"/>
    </row>
    <row r="49" spans="2:6">
      <c r="B49" t="s">
        <v>68</v>
      </c>
      <c r="C49" s="3">
        <v>10</v>
      </c>
      <c r="D49" s="3">
        <v>12.5</v>
      </c>
      <c r="E49" s="3">
        <v>12.5</v>
      </c>
      <c r="F49" s="3">
        <v>15</v>
      </c>
    </row>
    <row r="50" spans="2:6">
      <c r="B50" t="s">
        <v>70</v>
      </c>
      <c r="C50" s="3">
        <v>5</v>
      </c>
      <c r="D50" s="3">
        <f>C50+D14</f>
        <v>8.75</v>
      </c>
      <c r="E50" s="3">
        <f>D50+E14</f>
        <v>16.25</v>
      </c>
      <c r="F50" s="3">
        <f>E50+F14</f>
        <v>17.5</v>
      </c>
    </row>
    <row r="51" spans="2:6">
      <c r="B51" s="1" t="s">
        <v>78</v>
      </c>
      <c r="C51" s="8">
        <f>SUM(C49:C50)</f>
        <v>15</v>
      </c>
      <c r="D51" s="8">
        <f>SUM(D49:D50)</f>
        <v>21.25</v>
      </c>
      <c r="E51" s="8">
        <f>SUM(E49:E50)</f>
        <v>28.75</v>
      </c>
      <c r="F51" s="8">
        <f>SUM(F49:F50)</f>
        <v>32.5</v>
      </c>
    </row>
    <row r="52" spans="2:6">
      <c r="C52" s="3"/>
      <c r="D52" s="3"/>
      <c r="E52" s="3"/>
      <c r="F52" s="3"/>
    </row>
    <row r="53" spans="2:6">
      <c r="B53" s="1" t="s">
        <v>79</v>
      </c>
      <c r="C53" s="8">
        <f>C41+C46+C51</f>
        <v>62.5</v>
      </c>
      <c r="D53" s="8">
        <f>D41+D46+D51</f>
        <v>87.5</v>
      </c>
      <c r="E53" s="8">
        <f>E41+E46+E51</f>
        <v>100</v>
      </c>
      <c r="F53" s="8">
        <f>F41+F46+F51</f>
        <v>112.5</v>
      </c>
    </row>
    <row r="54" spans="2:6">
      <c r="C54" s="3"/>
      <c r="D54" s="3"/>
      <c r="E54" s="3"/>
      <c r="F54" s="3"/>
    </row>
    <row r="55" spans="2:6">
      <c r="B55" s="16" t="s">
        <v>80</v>
      </c>
      <c r="C55" s="17">
        <f>C35-C53</f>
        <v>0</v>
      </c>
      <c r="D55" s="17">
        <f>D35-D53</f>
        <v>0</v>
      </c>
      <c r="E55" s="17">
        <f>E35-E53</f>
        <v>0</v>
      </c>
      <c r="F55" s="17">
        <f>F35-F53</f>
        <v>0</v>
      </c>
    </row>
  </sheetData>
  <mergeCells count="3">
    <mergeCell ref="B1:F1"/>
    <mergeCell ref="I1:M1"/>
    <mergeCell ref="B19:F1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L55"/>
  <sheetViews>
    <sheetView topLeftCell="A45" workbookViewId="0">
      <selection activeCell="M57" sqref="M57"/>
    </sheetView>
  </sheetViews>
  <sheetFormatPr defaultColWidth="9.109375" defaultRowHeight="14.4"/>
  <cols>
    <col min="1" max="1" width="4.44140625" customWidth="1"/>
    <col min="2" max="2" width="39.44140625" bestFit="1" customWidth="1"/>
    <col min="3" max="6" width="9.44140625" customWidth="1"/>
    <col min="7" max="7" width="9.109375" customWidth="1"/>
    <col min="8" max="8" width="35.88671875" customWidth="1"/>
    <col min="9" max="10" width="9.109375" customWidth="1"/>
    <col min="11" max="11" width="11.109375" customWidth="1"/>
    <col min="12" max="12" width="9.109375" customWidth="1"/>
  </cols>
  <sheetData>
    <row r="1" spans="1:12">
      <c r="B1" s="111" t="s">
        <v>81</v>
      </c>
      <c r="C1" s="111"/>
      <c r="D1" s="111"/>
      <c r="E1" s="111"/>
      <c r="F1" s="111"/>
      <c r="H1" s="111" t="s">
        <v>127</v>
      </c>
      <c r="I1" s="111"/>
      <c r="J1" s="111"/>
      <c r="K1" s="111"/>
      <c r="L1" s="111"/>
    </row>
    <row r="2" spans="1:12" ht="15.6">
      <c r="B2" s="9"/>
      <c r="C2" s="9">
        <f>SCF!C2</f>
        <v>2019</v>
      </c>
      <c r="D2" s="9">
        <f>SCF!D2</f>
        <v>2020</v>
      </c>
      <c r="E2" s="9">
        <f>SCF!E2</f>
        <v>2021</v>
      </c>
      <c r="F2" s="9">
        <f>SCF!F2</f>
        <v>2022</v>
      </c>
      <c r="H2" s="9"/>
      <c r="I2" s="40">
        <f>C2</f>
        <v>2019</v>
      </c>
      <c r="J2" s="40">
        <f>D2</f>
        <v>2020</v>
      </c>
      <c r="K2" s="40">
        <f>E2</f>
        <v>2021</v>
      </c>
      <c r="L2" s="40">
        <f>F2</f>
        <v>2022</v>
      </c>
    </row>
    <row r="3" spans="1:12">
      <c r="B3" t="str">
        <f>SCF!B3</f>
        <v>Sales</v>
      </c>
      <c r="C3" s="3">
        <f>SCF!C3</f>
        <v>50</v>
      </c>
      <c r="D3" s="3">
        <f>SCF!D3</f>
        <v>75</v>
      </c>
      <c r="E3" s="3">
        <f>SCF!E3</f>
        <v>100</v>
      </c>
      <c r="F3" s="3">
        <f>SCF!F3</f>
        <v>125</v>
      </c>
      <c r="H3" t="str">
        <f>B3</f>
        <v>Sales</v>
      </c>
      <c r="I3" s="86">
        <v>0</v>
      </c>
      <c r="J3" s="26">
        <f>(D3-$C$3)/$C$3</f>
        <v>0.5</v>
      </c>
      <c r="K3" s="26">
        <f t="shared" ref="K3:L3" si="0">(E3-$C$3)/$C$3</f>
        <v>1</v>
      </c>
      <c r="L3" s="26">
        <f t="shared" si="0"/>
        <v>1.5</v>
      </c>
    </row>
    <row r="4" spans="1:12">
      <c r="B4" t="str">
        <f>SCF!B4</f>
        <v>Cost of Goods Sold (COGS)</v>
      </c>
      <c r="C4" s="3">
        <f>SCF!C4</f>
        <v>37.5</v>
      </c>
      <c r="D4" s="3">
        <f>SCF!D4</f>
        <v>50</v>
      </c>
      <c r="E4" s="3">
        <f>SCF!E4</f>
        <v>62.5</v>
      </c>
      <c r="F4" s="3">
        <f>SCF!F4</f>
        <v>100</v>
      </c>
      <c r="H4" t="str">
        <f t="shared" ref="H4:H12" si="1">B4</f>
        <v>Cost of Goods Sold (COGS)</v>
      </c>
      <c r="I4" s="86">
        <v>0</v>
      </c>
      <c r="J4" s="26">
        <f>(D4-$C$4)/$C$4</f>
        <v>0.33333333333333331</v>
      </c>
      <c r="K4" s="26">
        <f t="shared" ref="K4:L4" si="2">(E4-$C$4)/$C$4</f>
        <v>0.66666666666666663</v>
      </c>
      <c r="L4" s="26">
        <f t="shared" si="2"/>
        <v>1.6666666666666667</v>
      </c>
    </row>
    <row r="5" spans="1:12">
      <c r="B5" s="1" t="str">
        <f>SCF!B5</f>
        <v>Gross Profit</v>
      </c>
      <c r="C5" s="8">
        <f>C3-C4</f>
        <v>12.5</v>
      </c>
      <c r="D5" s="8">
        <f>D3-D4</f>
        <v>25</v>
      </c>
      <c r="E5" s="8">
        <f>E3-E4</f>
        <v>37.5</v>
      </c>
      <c r="F5" s="8">
        <f>F3-F4</f>
        <v>25</v>
      </c>
      <c r="H5" s="1" t="str">
        <f t="shared" si="1"/>
        <v>Gross Profit</v>
      </c>
      <c r="I5" s="86">
        <v>0</v>
      </c>
      <c r="J5" s="26">
        <f>(D5-$C$5)/$C$5</f>
        <v>1</v>
      </c>
      <c r="K5" s="26">
        <f t="shared" ref="K5:L5" si="3">(E5-$C$5)/$C$5</f>
        <v>2</v>
      </c>
      <c r="L5" s="26">
        <f t="shared" si="3"/>
        <v>1</v>
      </c>
    </row>
    <row r="6" spans="1:12">
      <c r="B6" t="str">
        <f>SCF!B6</f>
        <v>Selling, General &amp; Administrative Expenses</v>
      </c>
      <c r="C6" s="3">
        <f>SCF!C6</f>
        <v>2.625</v>
      </c>
      <c r="D6" s="3">
        <f>SCF!D6</f>
        <v>4.625</v>
      </c>
      <c r="E6" s="3">
        <f>SCF!E6</f>
        <v>7</v>
      </c>
      <c r="F6" s="3">
        <f>SCF!F6</f>
        <v>8.125</v>
      </c>
      <c r="H6" t="str">
        <f t="shared" si="1"/>
        <v>Selling, General &amp; Administrative Expenses</v>
      </c>
      <c r="I6" s="86">
        <v>0</v>
      </c>
      <c r="J6" s="26">
        <f>(D6-$C$6)/$C$6</f>
        <v>0.76190476190476186</v>
      </c>
      <c r="K6" s="26">
        <f t="shared" ref="K6:L6" si="4">(E6-$C$6)/$C$6</f>
        <v>1.6666666666666667</v>
      </c>
      <c r="L6" s="26">
        <f t="shared" si="4"/>
        <v>2.0952380952380953</v>
      </c>
    </row>
    <row r="7" spans="1:12">
      <c r="A7" s="2"/>
      <c r="B7" t="str">
        <f>SCF!B7</f>
        <v>Depreciation</v>
      </c>
      <c r="C7" s="3">
        <f>SCF!C7</f>
        <v>3.75</v>
      </c>
      <c r="D7" s="3">
        <f>SCF!D7</f>
        <v>4.375</v>
      </c>
      <c r="E7" s="3">
        <f>SCF!E7</f>
        <v>5</v>
      </c>
      <c r="F7" s="3">
        <f>SCF!F7</f>
        <v>5.625</v>
      </c>
      <c r="H7" t="str">
        <f t="shared" si="1"/>
        <v>Depreciation</v>
      </c>
      <c r="I7" s="86">
        <v>0</v>
      </c>
      <c r="J7" s="26">
        <f>(D7-$C$7)/$C$7</f>
        <v>0.16666666666666666</v>
      </c>
      <c r="K7" s="26">
        <f t="shared" ref="K7:L7" si="5">(E7-$C$7)/$C$7</f>
        <v>0.33333333333333331</v>
      </c>
      <c r="L7" s="26">
        <f t="shared" si="5"/>
        <v>0.5</v>
      </c>
    </row>
    <row r="8" spans="1:12">
      <c r="B8" s="1" t="str">
        <f>SCF!B8</f>
        <v>Earnings Before Interest and Tax (EBIT)</v>
      </c>
      <c r="C8" s="8">
        <f>C5-SUM(C6:C7)</f>
        <v>6.125</v>
      </c>
      <c r="D8" s="8">
        <f>D5-SUM(D6:D7)</f>
        <v>16</v>
      </c>
      <c r="E8" s="8">
        <f>E5-SUM(E6:E7)</f>
        <v>25.5</v>
      </c>
      <c r="F8" s="8">
        <f>F5-SUM(F6:F7)</f>
        <v>11.25</v>
      </c>
      <c r="H8" s="1" t="str">
        <f t="shared" si="1"/>
        <v>Earnings Before Interest and Tax (EBIT)</v>
      </c>
      <c r="I8" s="86">
        <v>0</v>
      </c>
      <c r="J8" s="26">
        <f>(D8-$C$8)/$C$8</f>
        <v>1.6122448979591837</v>
      </c>
      <c r="K8" s="26">
        <f t="shared" ref="K8:L8" si="6">(E8-$C$8)/$C$8</f>
        <v>3.1632653061224492</v>
      </c>
      <c r="L8" s="26">
        <f t="shared" si="6"/>
        <v>0.83673469387755106</v>
      </c>
    </row>
    <row r="9" spans="1:12">
      <c r="A9" s="2"/>
      <c r="B9" t="str">
        <f>SCF!B9</f>
        <v>Interest expense</v>
      </c>
      <c r="C9" s="3">
        <f>SCF!C9</f>
        <v>3.6250000000000004</v>
      </c>
      <c r="D9" s="3">
        <f>SCF!D9</f>
        <v>3.5000000000000004</v>
      </c>
      <c r="E9" s="3">
        <f>SCF!E9</f>
        <v>3.0000000000000004</v>
      </c>
      <c r="F9" s="3">
        <f>SCF!F9</f>
        <v>2.5</v>
      </c>
      <c r="H9" t="str">
        <f t="shared" si="1"/>
        <v>Interest expense</v>
      </c>
      <c r="I9" s="86">
        <v>0</v>
      </c>
      <c r="J9" s="26">
        <f>(D9-$C$9)/$C$9</f>
        <v>-3.4482758620689648E-2</v>
      </c>
      <c r="K9" s="26">
        <f t="shared" ref="K9:L9" si="7">(E9-$C$9)/$C$9</f>
        <v>-0.17241379310344826</v>
      </c>
      <c r="L9" s="26">
        <f t="shared" si="7"/>
        <v>-0.31034482758620696</v>
      </c>
    </row>
    <row r="10" spans="1:12">
      <c r="B10" s="1" t="str">
        <f>SCF!B10</f>
        <v>Earnings Before Tax (EBT)</v>
      </c>
      <c r="C10" s="8">
        <f>C8-C9</f>
        <v>2.4999999999999996</v>
      </c>
      <c r="D10" s="8">
        <f>D8-D9</f>
        <v>12.5</v>
      </c>
      <c r="E10" s="8">
        <f>E8-E9</f>
        <v>22.5</v>
      </c>
      <c r="F10" s="8">
        <f>F8-F9</f>
        <v>8.75</v>
      </c>
      <c r="H10" s="1" t="str">
        <f t="shared" si="1"/>
        <v>Earnings Before Tax (EBT)</v>
      </c>
      <c r="I10" s="86">
        <v>0</v>
      </c>
      <c r="J10" s="26">
        <f>(D10-$C$10)/$C$10</f>
        <v>4.0000000000000009</v>
      </c>
      <c r="K10" s="26">
        <f t="shared" ref="K10:L10" si="8">(E10-$C$10)/$C$10</f>
        <v>8.0000000000000018</v>
      </c>
      <c r="L10" s="26">
        <f t="shared" si="8"/>
        <v>2.5000000000000004</v>
      </c>
    </row>
    <row r="11" spans="1:12">
      <c r="A11" s="15">
        <f>SCF!A11</f>
        <v>0.3</v>
      </c>
      <c r="B11" t="str">
        <f>SCF!B11</f>
        <v>Tax expense</v>
      </c>
      <c r="C11" s="3">
        <f>C10*$A$11</f>
        <v>0.74999999999999989</v>
      </c>
      <c r="D11" s="3">
        <f>D10*$A$11</f>
        <v>3.75</v>
      </c>
      <c r="E11" s="3">
        <f>E10*$A$11</f>
        <v>6.75</v>
      </c>
      <c r="F11" s="3">
        <f>F10*$A$11</f>
        <v>2.625</v>
      </c>
      <c r="H11" t="str">
        <f t="shared" si="1"/>
        <v>Tax expense</v>
      </c>
      <c r="I11" s="86">
        <v>0</v>
      </c>
      <c r="J11" s="26">
        <f>(D11-$C$11)/$C$11</f>
        <v>4.0000000000000009</v>
      </c>
      <c r="K11" s="26">
        <f t="shared" ref="K11:L11" si="9">(E11-$C$11)/$C$11</f>
        <v>8.0000000000000018</v>
      </c>
      <c r="L11" s="26">
        <f t="shared" si="9"/>
        <v>2.5000000000000004</v>
      </c>
    </row>
    <row r="12" spans="1:12">
      <c r="B12" s="1" t="str">
        <f>SCF!B12</f>
        <v>Net Income (NI)</v>
      </c>
      <c r="C12" s="8">
        <f>C10-C11</f>
        <v>1.7499999999999996</v>
      </c>
      <c r="D12" s="8">
        <f>D10-D11</f>
        <v>8.75</v>
      </c>
      <c r="E12" s="8">
        <f>E10-E11</f>
        <v>15.75</v>
      </c>
      <c r="F12" s="8">
        <f>F10-F11</f>
        <v>6.125</v>
      </c>
      <c r="H12" s="1" t="str">
        <f t="shared" si="1"/>
        <v>Net Income (NI)</v>
      </c>
      <c r="I12" s="86">
        <v>0</v>
      </c>
      <c r="J12" s="26">
        <f>(D12-$C$12)/$C$12</f>
        <v>4.0000000000000009</v>
      </c>
      <c r="K12" s="26">
        <f t="shared" ref="K12:L12" si="10">(E12-$C$12)/$C$12</f>
        <v>8.0000000000000018</v>
      </c>
      <c r="L12" s="26">
        <f t="shared" si="10"/>
        <v>2.5000000000000004</v>
      </c>
    </row>
    <row r="13" spans="1:12">
      <c r="B13" t="str">
        <f>SCF!B13</f>
        <v>Dividends (in million $)</v>
      </c>
      <c r="C13" s="3">
        <f>SCF!C13</f>
        <v>1.25</v>
      </c>
      <c r="D13" s="3">
        <f>SCF!D13</f>
        <v>5</v>
      </c>
      <c r="E13" s="3">
        <f>SCF!E13</f>
        <v>8.25</v>
      </c>
      <c r="F13" s="3">
        <f>SCF!F13</f>
        <v>4.875</v>
      </c>
    </row>
    <row r="14" spans="1:12">
      <c r="B14" t="str">
        <f>SCF!B14</f>
        <v>Additional Retained Earnings (in million $)</v>
      </c>
      <c r="C14" s="3">
        <f>C12-C13</f>
        <v>0.49999999999999956</v>
      </c>
      <c r="D14" s="3">
        <f>D12-D13</f>
        <v>3.75</v>
      </c>
      <c r="E14" s="3">
        <f>E12-E13</f>
        <v>7.5</v>
      </c>
      <c r="F14" s="3">
        <f>F12-F13</f>
        <v>1.25</v>
      </c>
    </row>
    <row r="16" spans="1:12">
      <c r="B16" t="str">
        <f>SCF!B16</f>
        <v>Shares Outstanding (in million)</v>
      </c>
      <c r="C16" s="3">
        <f>SCF!C16</f>
        <v>25</v>
      </c>
      <c r="D16" s="3">
        <f>SCF!D16</f>
        <v>25</v>
      </c>
      <c r="E16" s="3">
        <f>SCF!E16</f>
        <v>25</v>
      </c>
      <c r="F16" s="3">
        <f>SCF!F16</f>
        <v>25</v>
      </c>
    </row>
    <row r="17" spans="2:12">
      <c r="B17" t="str">
        <f>SCF!B17</f>
        <v>Market Value per Share ($/Share)</v>
      </c>
      <c r="C17" s="3">
        <f>SCF!C17</f>
        <v>5</v>
      </c>
      <c r="D17" s="3">
        <f>SCF!D17</f>
        <v>7.5</v>
      </c>
      <c r="E17" s="3">
        <f>SCF!E17</f>
        <v>8.75</v>
      </c>
      <c r="F17" s="3">
        <f>SCF!F17</f>
        <v>6.25</v>
      </c>
    </row>
    <row r="19" spans="2:12">
      <c r="B19" s="111" t="s">
        <v>50</v>
      </c>
      <c r="C19" s="111"/>
      <c r="D19" s="111"/>
      <c r="E19" s="111"/>
      <c r="F19" s="111"/>
      <c r="H19" s="111" t="s">
        <v>127</v>
      </c>
      <c r="I19" s="111"/>
      <c r="J19" s="111"/>
      <c r="K19" s="111"/>
      <c r="L19" s="111"/>
    </row>
    <row r="20" spans="2:12" ht="15.6">
      <c r="B20" s="9"/>
      <c r="C20" s="9">
        <f>C2</f>
        <v>2019</v>
      </c>
      <c r="D20" s="9">
        <f>D2</f>
        <v>2020</v>
      </c>
      <c r="E20" s="9">
        <f>E2</f>
        <v>2021</v>
      </c>
      <c r="F20" s="9">
        <f>F2</f>
        <v>2022</v>
      </c>
      <c r="H20" s="9"/>
      <c r="I20" s="40">
        <f>C20</f>
        <v>2019</v>
      </c>
      <c r="J20" s="40">
        <f>D20</f>
        <v>2020</v>
      </c>
      <c r="K20" s="40">
        <f>E20</f>
        <v>2021</v>
      </c>
      <c r="L20" s="40">
        <f>F20</f>
        <v>2022</v>
      </c>
    </row>
    <row r="21" spans="2:12">
      <c r="B21" s="1" t="str">
        <f>SCF!B21</f>
        <v>Current Assets</v>
      </c>
      <c r="H21" s="1" t="str">
        <f t="shared" ref="H21:H26" si="11">B21</f>
        <v>Current Assets</v>
      </c>
      <c r="I21" s="85"/>
    </row>
    <row r="22" spans="2:12">
      <c r="B22" t="str">
        <f>SCF!B22</f>
        <v>Cash</v>
      </c>
      <c r="C22" s="3">
        <f>SCF!C22</f>
        <v>2.5</v>
      </c>
      <c r="D22" s="3">
        <f>SCF!D22</f>
        <v>6.25</v>
      </c>
      <c r="E22" s="3">
        <f>SCF!E22</f>
        <v>7.5</v>
      </c>
      <c r="F22" s="3">
        <f>SCF!F22</f>
        <v>10</v>
      </c>
      <c r="H22" t="str">
        <f t="shared" si="11"/>
        <v>Cash</v>
      </c>
      <c r="I22" s="86">
        <v>0</v>
      </c>
      <c r="J22" s="26">
        <f>(D22-$C$22)/$C$22</f>
        <v>1.5</v>
      </c>
      <c r="K22" s="26">
        <f t="shared" ref="K22:L22" si="12">(E22-$C$22)/$C$22</f>
        <v>2</v>
      </c>
      <c r="L22" s="26">
        <f t="shared" si="12"/>
        <v>3</v>
      </c>
    </row>
    <row r="23" spans="2:12">
      <c r="B23" t="str">
        <f>SCF!B23</f>
        <v>Accounts Receivable</v>
      </c>
      <c r="C23" s="3">
        <f>SCF!C23</f>
        <v>3.75</v>
      </c>
      <c r="D23" s="3">
        <f>SCF!D23</f>
        <v>8.75</v>
      </c>
      <c r="E23" s="3">
        <f>SCF!E23</f>
        <v>10</v>
      </c>
      <c r="F23" s="3">
        <f>SCF!F23</f>
        <v>13.75</v>
      </c>
      <c r="H23" t="str">
        <f t="shared" si="11"/>
        <v>Accounts Receivable</v>
      </c>
      <c r="I23" s="86">
        <v>0</v>
      </c>
      <c r="J23" s="26">
        <f>(D23-$C$23)/$C$23</f>
        <v>1.3333333333333333</v>
      </c>
      <c r="K23" s="26">
        <f t="shared" ref="K23:L23" si="13">(E23-$C$23)/$C$23</f>
        <v>1.6666666666666667</v>
      </c>
      <c r="L23" s="26">
        <f t="shared" si="13"/>
        <v>2.6666666666666665</v>
      </c>
    </row>
    <row r="24" spans="2:12">
      <c r="B24" t="str">
        <f>SCF!B24</f>
        <v>Inventories</v>
      </c>
      <c r="C24" s="3">
        <f>SCF!C24</f>
        <v>11.25</v>
      </c>
      <c r="D24" s="3">
        <f>SCF!D24</f>
        <v>16.875</v>
      </c>
      <c r="E24" s="3">
        <f>SCF!E24</f>
        <v>18.75</v>
      </c>
      <c r="F24" s="3">
        <f>SCF!F24</f>
        <v>15</v>
      </c>
      <c r="H24" t="str">
        <f t="shared" si="11"/>
        <v>Inventories</v>
      </c>
      <c r="I24" s="86">
        <v>0</v>
      </c>
      <c r="J24" s="26">
        <f>(D24-$C$24)/$C$24</f>
        <v>0.5</v>
      </c>
      <c r="K24" s="26">
        <f t="shared" ref="K24:L24" si="14">(E24-$C$24)/$C$24</f>
        <v>0.66666666666666663</v>
      </c>
      <c r="L24" s="26">
        <f t="shared" si="14"/>
        <v>0.33333333333333331</v>
      </c>
    </row>
    <row r="25" spans="2:12">
      <c r="B25" t="str">
        <f>SCF!B25</f>
        <v>Other Current Assets</v>
      </c>
      <c r="C25" s="3">
        <f>SCF!C25</f>
        <v>1.25</v>
      </c>
      <c r="D25" s="3">
        <f>SCF!D25</f>
        <v>3.75</v>
      </c>
      <c r="E25" s="3">
        <f>SCF!E25</f>
        <v>4.375</v>
      </c>
      <c r="F25" s="3">
        <f>SCF!F25</f>
        <v>7.5</v>
      </c>
      <c r="H25" t="str">
        <f t="shared" si="11"/>
        <v>Other Current Assets</v>
      </c>
      <c r="I25" s="86">
        <v>0</v>
      </c>
      <c r="J25" s="26">
        <f>(D25-$C$25)/$C$25</f>
        <v>2</v>
      </c>
      <c r="K25" s="26">
        <f t="shared" ref="K25:L25" si="15">(E25-$C$25)/$C$25</f>
        <v>2.5</v>
      </c>
      <c r="L25" s="26">
        <f t="shared" si="15"/>
        <v>5</v>
      </c>
    </row>
    <row r="26" spans="2:12">
      <c r="B26" s="1" t="str">
        <f>SCF!B26</f>
        <v>Total Current Assets</v>
      </c>
      <c r="C26" s="8">
        <f>SUM(C22:C25)</f>
        <v>18.75</v>
      </c>
      <c r="D26" s="8">
        <f>SUM(D22:D25)</f>
        <v>35.625</v>
      </c>
      <c r="E26" s="8">
        <f>SUM(E22:E25)</f>
        <v>40.625</v>
      </c>
      <c r="F26" s="8">
        <f>SUM(F22:F25)</f>
        <v>46.25</v>
      </c>
      <c r="H26" s="1" t="str">
        <f t="shared" si="11"/>
        <v>Total Current Assets</v>
      </c>
      <c r="I26" s="86">
        <v>0</v>
      </c>
      <c r="J26" s="26">
        <f>(D26-$C$26)/$C$26</f>
        <v>0.9</v>
      </c>
      <c r="K26" s="26">
        <f t="shared" ref="K26:L26" si="16">(E26-$C$26)/$C$26</f>
        <v>1.1666666666666667</v>
      </c>
      <c r="L26" s="26">
        <f t="shared" si="16"/>
        <v>1.4666666666666666</v>
      </c>
    </row>
    <row r="27" spans="2:12">
      <c r="I27" s="85"/>
    </row>
    <row r="28" spans="2:12">
      <c r="B28" s="1" t="str">
        <f>SCF!B28</f>
        <v>Long Term Assets</v>
      </c>
      <c r="C28" s="3"/>
      <c r="D28" s="3"/>
      <c r="E28" s="3"/>
      <c r="F28" s="3"/>
      <c r="H28" s="1" t="str">
        <f t="shared" ref="H28:H33" si="17">B28</f>
        <v>Long Term Assets</v>
      </c>
      <c r="I28" s="85"/>
    </row>
    <row r="29" spans="2:12">
      <c r="B29" t="str">
        <f>SCF!B29</f>
        <v>PPE (Gross)</v>
      </c>
      <c r="C29" s="3">
        <f>SCF!C29</f>
        <v>75</v>
      </c>
      <c r="D29" s="3">
        <f>SCF!D29</f>
        <v>87.5</v>
      </c>
      <c r="E29" s="3">
        <f>SCF!E29</f>
        <v>100</v>
      </c>
      <c r="F29" s="3">
        <f>SCF!F29</f>
        <v>112.5</v>
      </c>
      <c r="H29" t="str">
        <f t="shared" si="17"/>
        <v>PPE (Gross)</v>
      </c>
      <c r="I29" s="86">
        <v>0</v>
      </c>
      <c r="J29" s="26">
        <f>(D29-$C$29)/$C$29</f>
        <v>0.16666666666666666</v>
      </c>
      <c r="K29" s="26">
        <f t="shared" ref="K29:L29" si="18">(E29-$C$29)/$C$29</f>
        <v>0.33333333333333331</v>
      </c>
      <c r="L29" s="26">
        <f t="shared" si="18"/>
        <v>0.5</v>
      </c>
    </row>
    <row r="30" spans="2:12">
      <c r="B30" t="str">
        <f>SCF!B30</f>
        <v>Acc Dep</v>
      </c>
      <c r="C30" s="3">
        <f>SCF!C30</f>
        <v>37.5</v>
      </c>
      <c r="D30" s="3">
        <f>SCF!D30</f>
        <v>41.875</v>
      </c>
      <c r="E30" s="3">
        <f>SCF!E30</f>
        <v>46.875</v>
      </c>
      <c r="F30" s="3">
        <f>SCF!F30</f>
        <v>52.5</v>
      </c>
      <c r="H30" t="str">
        <f t="shared" si="17"/>
        <v>Acc Dep</v>
      </c>
      <c r="I30" s="86">
        <v>0</v>
      </c>
      <c r="J30" s="26">
        <f>(D30-$C$30)/$C$30</f>
        <v>0.11666666666666667</v>
      </c>
      <c r="K30" s="26">
        <f t="shared" ref="K30:L30" si="19">(E30-$C$30)/$C$30</f>
        <v>0.25</v>
      </c>
      <c r="L30" s="26">
        <f t="shared" si="19"/>
        <v>0.4</v>
      </c>
    </row>
    <row r="31" spans="2:12">
      <c r="B31" t="str">
        <f>SCF!B31</f>
        <v>PPE (Net)</v>
      </c>
      <c r="C31" s="3">
        <f>C29-C30</f>
        <v>37.5</v>
      </c>
      <c r="D31" s="3">
        <f>D29-D30</f>
        <v>45.625</v>
      </c>
      <c r="E31" s="3">
        <f>E29-E30</f>
        <v>53.125</v>
      </c>
      <c r="F31" s="3">
        <f>F29-F30</f>
        <v>60</v>
      </c>
      <c r="H31" t="str">
        <f t="shared" si="17"/>
        <v>PPE (Net)</v>
      </c>
      <c r="I31" s="86">
        <v>0</v>
      </c>
      <c r="J31" s="26">
        <f>(D31-$C$31)/$C$31</f>
        <v>0.21666666666666667</v>
      </c>
      <c r="K31" s="26">
        <f t="shared" ref="K31:L31" si="20">(E31-$C$31)/$C$31</f>
        <v>0.41666666666666669</v>
      </c>
      <c r="L31" s="26">
        <f t="shared" si="20"/>
        <v>0.6</v>
      </c>
    </row>
    <row r="32" spans="2:12">
      <c r="B32" t="str">
        <f>SCF!B32</f>
        <v>Goodwill</v>
      </c>
      <c r="C32" s="3">
        <f>SCF!C32</f>
        <v>6.25</v>
      </c>
      <c r="D32" s="3">
        <f>SCF!D32</f>
        <v>6.25</v>
      </c>
      <c r="E32" s="3">
        <f>SCF!E32</f>
        <v>6.25</v>
      </c>
      <c r="F32" s="3">
        <f>SCF!F32</f>
        <v>6.25</v>
      </c>
      <c r="H32" t="str">
        <f t="shared" si="17"/>
        <v>Goodwill</v>
      </c>
      <c r="I32" s="86">
        <v>0</v>
      </c>
      <c r="J32" s="26">
        <f>(D32-$C$32)/$C$32</f>
        <v>0</v>
      </c>
      <c r="K32" s="26">
        <f t="shared" ref="K32:L32" si="21">(E32-$C$32)/$C$32</f>
        <v>0</v>
      </c>
      <c r="L32" s="26">
        <f t="shared" si="21"/>
        <v>0</v>
      </c>
    </row>
    <row r="33" spans="2:12">
      <c r="B33" s="1" t="str">
        <f>SCF!B33</f>
        <v>Total Long Term Assets</v>
      </c>
      <c r="C33" s="8">
        <f>SUM(C31:C32)</f>
        <v>43.75</v>
      </c>
      <c r="D33" s="8">
        <f>SUM(D31:D32)</f>
        <v>51.875</v>
      </c>
      <c r="E33" s="8">
        <f>SUM(E31:E32)</f>
        <v>59.375</v>
      </c>
      <c r="F33" s="8">
        <f>SUM(F31:F32)</f>
        <v>66.25</v>
      </c>
      <c r="H33" s="1" t="str">
        <f t="shared" si="17"/>
        <v>Total Long Term Assets</v>
      </c>
      <c r="I33" s="86">
        <v>0</v>
      </c>
      <c r="J33" s="26">
        <f>(D33-$C$33)/$C$33</f>
        <v>0.18571428571428572</v>
      </c>
      <c r="K33" s="26">
        <f t="shared" ref="K33:L33" si="22">(E33-$C$33)/$C$33</f>
        <v>0.35714285714285715</v>
      </c>
      <c r="L33" s="26">
        <f t="shared" si="22"/>
        <v>0.51428571428571423</v>
      </c>
    </row>
    <row r="34" spans="2:12">
      <c r="C34" s="3"/>
      <c r="D34" s="3"/>
      <c r="E34" s="3"/>
      <c r="F34" s="3"/>
      <c r="I34" s="85"/>
    </row>
    <row r="35" spans="2:12">
      <c r="B35" s="1" t="str">
        <f>SCF!B35</f>
        <v>Total Assets</v>
      </c>
      <c r="C35" s="8">
        <f>C26+C33</f>
        <v>62.5</v>
      </c>
      <c r="D35" s="8">
        <f>D26+D33</f>
        <v>87.5</v>
      </c>
      <c r="E35" s="8">
        <f>E26+E33</f>
        <v>100</v>
      </c>
      <c r="F35" s="8">
        <f>F26+F33</f>
        <v>112.5</v>
      </c>
      <c r="H35" s="1" t="str">
        <f>B35</f>
        <v>Total Assets</v>
      </c>
      <c r="I35" s="86">
        <v>0</v>
      </c>
      <c r="J35" s="26">
        <f>(D35-$C$35)/$C$35</f>
        <v>0.4</v>
      </c>
      <c r="K35" s="26">
        <f t="shared" ref="K35:L35" si="23">(E35-$C$35)/$C$35</f>
        <v>0.6</v>
      </c>
      <c r="L35" s="26">
        <f t="shared" si="23"/>
        <v>0.8</v>
      </c>
    </row>
    <row r="36" spans="2:12">
      <c r="C36" s="3"/>
      <c r="D36" s="3"/>
      <c r="E36" s="3"/>
      <c r="F36" s="3"/>
      <c r="I36" s="85"/>
    </row>
    <row r="37" spans="2:12">
      <c r="B37" s="1" t="str">
        <f>SCF!B37</f>
        <v>Current Liabilities</v>
      </c>
      <c r="C37" s="3"/>
      <c r="D37" s="3"/>
      <c r="E37" s="3"/>
      <c r="F37" s="3"/>
      <c r="H37" s="1" t="str">
        <f>B37</f>
        <v>Current Liabilities</v>
      </c>
      <c r="I37" s="85"/>
    </row>
    <row r="38" spans="2:12">
      <c r="B38" t="str">
        <f>SCF!B38</f>
        <v>Accounts Payable</v>
      </c>
      <c r="C38" s="3">
        <f>SCF!C38</f>
        <v>6.25</v>
      </c>
      <c r="D38" s="3">
        <f>SCF!D38</f>
        <v>15</v>
      </c>
      <c r="E38" s="3">
        <f>SCF!E38</f>
        <v>31.25</v>
      </c>
      <c r="F38" s="3">
        <f>SCF!F38</f>
        <v>32.5</v>
      </c>
      <c r="H38" t="str">
        <f>B38</f>
        <v>Accounts Payable</v>
      </c>
      <c r="I38" s="86">
        <v>0</v>
      </c>
      <c r="J38" s="26">
        <f>(D38-$C$38)/$C$38</f>
        <v>1.4</v>
      </c>
      <c r="K38" s="26">
        <f t="shared" ref="K38:L38" si="24">(E38-$C$38)/$C$38</f>
        <v>4</v>
      </c>
      <c r="L38" s="26">
        <f t="shared" si="24"/>
        <v>4.2</v>
      </c>
    </row>
    <row r="39" spans="2:12">
      <c r="B39" t="str">
        <f>SCF!B39</f>
        <v>Notes Payable</v>
      </c>
      <c r="C39" s="3">
        <f>SCF!C39</f>
        <v>3.75</v>
      </c>
      <c r="D39" s="3">
        <f>SCF!D39</f>
        <v>16.25</v>
      </c>
      <c r="E39" s="3">
        <f>SCF!E39</f>
        <v>10</v>
      </c>
      <c r="F39" s="3">
        <f>SCF!F39</f>
        <v>22.5</v>
      </c>
      <c r="H39" t="str">
        <f>B39</f>
        <v>Notes Payable</v>
      </c>
      <c r="I39" s="86">
        <v>0</v>
      </c>
      <c r="J39" s="26">
        <f>(D39-$C$39)/$C$39</f>
        <v>3.3333333333333335</v>
      </c>
      <c r="K39" s="26">
        <f t="shared" ref="K39:L39" si="25">(E39-$C$39)/$C$39</f>
        <v>1.6666666666666667</v>
      </c>
      <c r="L39" s="26">
        <f t="shared" si="25"/>
        <v>5</v>
      </c>
    </row>
    <row r="40" spans="2:12">
      <c r="B40" t="str">
        <f>SCF!B40</f>
        <v>Current Portion of LTD</v>
      </c>
      <c r="C40" s="3">
        <f>SCF!C40</f>
        <v>5</v>
      </c>
      <c r="D40" s="3">
        <f>SCF!D40</f>
        <v>5</v>
      </c>
      <c r="E40" s="3">
        <f>SCF!E40</f>
        <v>5</v>
      </c>
      <c r="F40" s="3">
        <f>SCF!F40</f>
        <v>5</v>
      </c>
      <c r="H40" t="str">
        <f>B40</f>
        <v>Current Portion of LTD</v>
      </c>
      <c r="I40" s="86">
        <v>0</v>
      </c>
      <c r="J40" s="26">
        <f>(D40-$C$40)/$C$40</f>
        <v>0</v>
      </c>
      <c r="K40" s="26">
        <f t="shared" ref="K40:L40" si="26">(E40-$C$40)/$C$40</f>
        <v>0</v>
      </c>
      <c r="L40" s="26">
        <f t="shared" si="26"/>
        <v>0</v>
      </c>
    </row>
    <row r="41" spans="2:12">
      <c r="B41" s="1" t="str">
        <f>SCF!B41</f>
        <v>Total Current Liabilities</v>
      </c>
      <c r="C41" s="8">
        <f>SUM(C38:C40)</f>
        <v>15</v>
      </c>
      <c r="D41" s="8">
        <f>SUM(D38:D40)</f>
        <v>36.25</v>
      </c>
      <c r="E41" s="8">
        <f>SUM(E38:E40)</f>
        <v>46.25</v>
      </c>
      <c r="F41" s="8">
        <f>SUM(F38:F40)</f>
        <v>60</v>
      </c>
      <c r="H41" s="1" t="str">
        <f>B41</f>
        <v>Total Current Liabilities</v>
      </c>
      <c r="I41" s="86">
        <v>0</v>
      </c>
      <c r="J41" s="26">
        <f>(D41-$C$41)/$C$41</f>
        <v>1.4166666666666667</v>
      </c>
      <c r="K41" s="26">
        <f t="shared" ref="K41:L41" si="27">(E41-$C$41)/$C$41</f>
        <v>2.0833333333333335</v>
      </c>
      <c r="L41" s="26">
        <f t="shared" si="27"/>
        <v>3</v>
      </c>
    </row>
    <row r="42" spans="2:12">
      <c r="C42" s="3"/>
      <c r="D42" s="3"/>
      <c r="E42" s="3"/>
      <c r="F42" s="3"/>
      <c r="I42" s="85"/>
    </row>
    <row r="43" spans="2:12">
      <c r="B43" s="1" t="str">
        <f>SCF!B43</f>
        <v>Long Term Liabilities</v>
      </c>
      <c r="C43" s="3"/>
      <c r="D43" s="3"/>
      <c r="E43" s="3"/>
      <c r="F43" s="3"/>
      <c r="H43" s="1" t="str">
        <f>B43</f>
        <v>Long Term Liabilities</v>
      </c>
      <c r="I43" s="85"/>
    </row>
    <row r="44" spans="2:12">
      <c r="B44" t="str">
        <f>SCF!B44</f>
        <v>Long Term Loan</v>
      </c>
      <c r="C44" s="3">
        <f>SCF!C44</f>
        <v>25</v>
      </c>
      <c r="D44" s="3">
        <f>SCF!D44</f>
        <v>20</v>
      </c>
      <c r="E44" s="3">
        <f>SCF!E44</f>
        <v>15</v>
      </c>
      <c r="F44" s="3">
        <f>SCF!F44</f>
        <v>10</v>
      </c>
      <c r="H44" t="str">
        <f>B44</f>
        <v>Long Term Loan</v>
      </c>
      <c r="I44" s="86">
        <v>0</v>
      </c>
      <c r="J44" s="26">
        <f>(D44-$C$44)/$C$44</f>
        <v>-0.2</v>
      </c>
      <c r="K44" s="26">
        <f t="shared" ref="K44:L44" si="28">(E44-$C$44)/$C$44</f>
        <v>-0.4</v>
      </c>
      <c r="L44" s="26">
        <f t="shared" si="28"/>
        <v>-0.6</v>
      </c>
    </row>
    <row r="45" spans="2:12">
      <c r="B45" t="str">
        <f>SCF!B45</f>
        <v>Bonds Payable</v>
      </c>
      <c r="C45" s="3">
        <f>SCF!C45</f>
        <v>7.5</v>
      </c>
      <c r="D45" s="3">
        <f>SCF!D45</f>
        <v>10</v>
      </c>
      <c r="E45" s="3">
        <f>SCF!E45</f>
        <v>10</v>
      </c>
      <c r="F45" s="3">
        <f>SCF!F45</f>
        <v>10</v>
      </c>
      <c r="H45" t="str">
        <f>B45</f>
        <v>Bonds Payable</v>
      </c>
      <c r="I45" s="86">
        <v>0</v>
      </c>
      <c r="J45" s="26">
        <f>(D45-$C$45)/$C$45</f>
        <v>0.33333333333333331</v>
      </c>
      <c r="K45" s="26">
        <f t="shared" ref="K45:L45" si="29">(E45-$C$45)/$C$45</f>
        <v>0.33333333333333331</v>
      </c>
      <c r="L45" s="26">
        <f t="shared" si="29"/>
        <v>0.33333333333333331</v>
      </c>
    </row>
    <row r="46" spans="2:12">
      <c r="B46" s="1" t="str">
        <f>SCF!B46</f>
        <v>Total Long Term Liabilities</v>
      </c>
      <c r="C46" s="8">
        <f>SUM(C44:C45)</f>
        <v>32.5</v>
      </c>
      <c r="D46" s="8">
        <f>SUM(D44:D45)</f>
        <v>30</v>
      </c>
      <c r="E46" s="8">
        <f>SUM(E44:E45)</f>
        <v>25</v>
      </c>
      <c r="F46" s="8">
        <f>SUM(F44:F45)</f>
        <v>20</v>
      </c>
      <c r="H46" s="1" t="str">
        <f>B46</f>
        <v>Total Long Term Liabilities</v>
      </c>
      <c r="I46" s="86">
        <v>0</v>
      </c>
      <c r="J46" s="26">
        <f>(D46-$C$46)/$C$46</f>
        <v>-7.6923076923076927E-2</v>
      </c>
      <c r="K46" s="26">
        <f t="shared" ref="K46:L46" si="30">(E46-$C$46)/$C$46</f>
        <v>-0.23076923076923078</v>
      </c>
      <c r="L46" s="26">
        <f t="shared" si="30"/>
        <v>-0.38461538461538464</v>
      </c>
    </row>
    <row r="47" spans="2:12">
      <c r="C47" s="3"/>
      <c r="D47" s="3"/>
      <c r="E47" s="3"/>
      <c r="F47" s="3"/>
      <c r="I47" s="85"/>
    </row>
    <row r="48" spans="2:12">
      <c r="B48" s="1" t="str">
        <f>SCF!B48</f>
        <v>Shareholders' Equity</v>
      </c>
      <c r="C48" s="3"/>
      <c r="D48" s="3"/>
      <c r="E48" s="3"/>
      <c r="F48" s="3"/>
      <c r="H48" s="1" t="str">
        <f>B48</f>
        <v>Shareholders' Equity</v>
      </c>
      <c r="I48" s="85"/>
    </row>
    <row r="49" spans="2:12">
      <c r="B49" t="str">
        <f>SCF!B49</f>
        <v>Contributed Capital</v>
      </c>
      <c r="C49" s="3">
        <f>SCF!C49</f>
        <v>10</v>
      </c>
      <c r="D49" s="3">
        <f>SCF!D49</f>
        <v>12.5</v>
      </c>
      <c r="E49" s="3">
        <f>SCF!E49</f>
        <v>12.5</v>
      </c>
      <c r="F49" s="3">
        <f>SCF!F49</f>
        <v>15</v>
      </c>
      <c r="H49" t="str">
        <f>B49</f>
        <v>Contributed Capital</v>
      </c>
      <c r="I49" s="86">
        <v>0</v>
      </c>
      <c r="J49" s="26">
        <f>(D49-$C$49)/$C$49</f>
        <v>0.25</v>
      </c>
      <c r="K49" s="26">
        <f t="shared" ref="K49:L49" si="31">(E49-$C$49)/$C$49</f>
        <v>0.25</v>
      </c>
      <c r="L49" s="26">
        <f t="shared" si="31"/>
        <v>0.5</v>
      </c>
    </row>
    <row r="50" spans="2:12">
      <c r="B50" t="str">
        <f>SCF!B50</f>
        <v>Retained Earnings</v>
      </c>
      <c r="C50" s="3">
        <f>SCF!C50</f>
        <v>5</v>
      </c>
      <c r="D50" s="3">
        <f>C50+D14</f>
        <v>8.75</v>
      </c>
      <c r="E50" s="3">
        <f>D50+E14</f>
        <v>16.25</v>
      </c>
      <c r="F50" s="3">
        <f>E50+F14</f>
        <v>17.5</v>
      </c>
      <c r="H50" t="str">
        <f>B50</f>
        <v>Retained Earnings</v>
      </c>
      <c r="I50" s="86">
        <v>0</v>
      </c>
      <c r="J50" s="26">
        <f>(D50-$C$50)/$C$50</f>
        <v>0.75</v>
      </c>
      <c r="K50" s="26">
        <f t="shared" ref="K50:L50" si="32">(E50-$C$50)/$C$50</f>
        <v>2.25</v>
      </c>
      <c r="L50" s="26">
        <f t="shared" si="32"/>
        <v>2.5</v>
      </c>
    </row>
    <row r="51" spans="2:12">
      <c r="B51" s="1" t="str">
        <f>SCF!B51</f>
        <v>Total Shareholders' Equity</v>
      </c>
      <c r="C51" s="8">
        <f>SUM(C49:C50)</f>
        <v>15</v>
      </c>
      <c r="D51" s="8">
        <f>SUM(D49:D50)</f>
        <v>21.25</v>
      </c>
      <c r="E51" s="8">
        <f>SUM(E49:E50)</f>
        <v>28.75</v>
      </c>
      <c r="F51" s="8">
        <f>SUM(F49:F50)</f>
        <v>32.5</v>
      </c>
      <c r="H51" s="1" t="str">
        <f>B51</f>
        <v>Total Shareholders' Equity</v>
      </c>
      <c r="I51" s="86">
        <v>0</v>
      </c>
      <c r="J51" s="26">
        <f>(D51-$C$51)/$C$51</f>
        <v>0.41666666666666669</v>
      </c>
      <c r="K51" s="26">
        <f t="shared" ref="K51:L51" si="33">(E51-$C$51)/$C$51</f>
        <v>0.91666666666666663</v>
      </c>
      <c r="L51" s="26">
        <f t="shared" si="33"/>
        <v>1.1666666666666667</v>
      </c>
    </row>
    <row r="52" spans="2:12">
      <c r="C52" s="3"/>
      <c r="D52" s="3"/>
      <c r="E52" s="3"/>
      <c r="F52" s="3"/>
      <c r="I52" s="85"/>
    </row>
    <row r="53" spans="2:12">
      <c r="B53" s="1" t="str">
        <f>SCF!B53</f>
        <v>Total Liabilities and Equity</v>
      </c>
      <c r="C53" s="8">
        <f>C41+C46+C51</f>
        <v>62.5</v>
      </c>
      <c r="D53" s="8">
        <f>D41+D46+D51</f>
        <v>87.5</v>
      </c>
      <c r="E53" s="8">
        <f>E41+E46+E51</f>
        <v>100</v>
      </c>
      <c r="F53" s="8">
        <f>F41+F46+F51</f>
        <v>112.5</v>
      </c>
      <c r="H53" s="1" t="str">
        <f>B53</f>
        <v>Total Liabilities and Equity</v>
      </c>
      <c r="I53" s="86">
        <v>0</v>
      </c>
      <c r="J53" s="26">
        <f>(D53-$C$53)/$C$53</f>
        <v>0.4</v>
      </c>
      <c r="K53" s="26">
        <f t="shared" ref="K53:L53" si="34">(E53-$C$53)/$C$53</f>
        <v>0.6</v>
      </c>
      <c r="L53" s="26">
        <f t="shared" si="34"/>
        <v>0.8</v>
      </c>
    </row>
    <row r="54" spans="2:12">
      <c r="C54" s="3"/>
      <c r="D54" s="3"/>
      <c r="E54" s="3"/>
      <c r="F54" s="3"/>
      <c r="I54" s="85"/>
    </row>
    <row r="55" spans="2:12">
      <c r="B55" s="1" t="str">
        <f>SCF!B55</f>
        <v>Balance</v>
      </c>
      <c r="C55" s="17">
        <f>C35-C53</f>
        <v>0</v>
      </c>
      <c r="D55" s="17">
        <f>D35-D53</f>
        <v>0</v>
      </c>
      <c r="E55" s="17">
        <f>E35-E53</f>
        <v>0</v>
      </c>
      <c r="F55" s="17">
        <f>F35-F53</f>
        <v>0</v>
      </c>
      <c r="I55" s="85"/>
    </row>
  </sheetData>
  <mergeCells count="4">
    <mergeCell ref="B1:F1"/>
    <mergeCell ref="H1:L1"/>
    <mergeCell ref="B19:F19"/>
    <mergeCell ref="H19:L19"/>
  </mergeCell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T55"/>
  <sheetViews>
    <sheetView topLeftCell="A16" zoomScale="85" zoomScaleNormal="85" workbookViewId="0">
      <selection activeCell="Q23" sqref="Q23"/>
    </sheetView>
  </sheetViews>
  <sheetFormatPr defaultColWidth="9.109375" defaultRowHeight="14.4"/>
  <cols>
    <col min="1" max="1" width="4.44140625" customWidth="1"/>
    <col min="2" max="2" width="39.44140625" bestFit="1" customWidth="1"/>
    <col min="3" max="6" width="9.44140625" customWidth="1"/>
    <col min="7" max="7" width="9.109375" customWidth="1"/>
    <col min="8" max="8" width="35.88671875" customWidth="1"/>
    <col min="9" max="12" width="9.109375" customWidth="1"/>
  </cols>
  <sheetData>
    <row r="1" spans="1:12">
      <c r="B1" s="111" t="s">
        <v>81</v>
      </c>
      <c r="C1" s="111"/>
      <c r="D1" s="111"/>
      <c r="E1" s="111"/>
      <c r="F1" s="111"/>
      <c r="H1" s="111" t="s">
        <v>128</v>
      </c>
      <c r="I1" s="111"/>
      <c r="J1" s="111"/>
      <c r="K1" s="111"/>
      <c r="L1" s="111"/>
    </row>
    <row r="2" spans="1:12" ht="15.6">
      <c r="B2" s="9"/>
      <c r="C2" s="9">
        <f>SCF!C2</f>
        <v>2019</v>
      </c>
      <c r="D2" s="9">
        <f>SCF!D2</f>
        <v>2020</v>
      </c>
      <c r="E2" s="9">
        <f>SCF!E2</f>
        <v>2021</v>
      </c>
      <c r="F2" s="9">
        <f>SCF!F2</f>
        <v>2022</v>
      </c>
      <c r="H2" s="9"/>
      <c r="I2" s="40">
        <f>C2</f>
        <v>2019</v>
      </c>
      <c r="J2" s="40">
        <f>D2</f>
        <v>2020</v>
      </c>
      <c r="K2" s="40">
        <f>E2</f>
        <v>2021</v>
      </c>
      <c r="L2" s="40">
        <f>F2</f>
        <v>2022</v>
      </c>
    </row>
    <row r="3" spans="1:12">
      <c r="B3" t="str">
        <f>SCF!B3</f>
        <v>Sales</v>
      </c>
      <c r="C3" s="3">
        <f>SCF!C3</f>
        <v>50</v>
      </c>
      <c r="D3" s="3">
        <f>SCF!D3</f>
        <v>75</v>
      </c>
      <c r="E3" s="3">
        <f>SCF!E3</f>
        <v>100</v>
      </c>
      <c r="F3" s="3">
        <f>SCF!F3</f>
        <v>125</v>
      </c>
      <c r="H3" t="str">
        <f>B3</f>
        <v>Sales</v>
      </c>
      <c r="I3" s="86">
        <v>0</v>
      </c>
      <c r="J3" s="59">
        <f>(D3-C3)/C3</f>
        <v>0.5</v>
      </c>
      <c r="K3" s="59">
        <f>(E3-D3)/D3</f>
        <v>0.33333333333333331</v>
      </c>
      <c r="L3" s="59">
        <f>(F3-E3)/E3</f>
        <v>0.25</v>
      </c>
    </row>
    <row r="4" spans="1:12">
      <c r="B4" t="str">
        <f>SCF!B4</f>
        <v>Cost of Goods Sold (COGS)</v>
      </c>
      <c r="C4" s="3">
        <f>SCF!C4</f>
        <v>37.5</v>
      </c>
      <c r="D4" s="3">
        <f>SCF!D4</f>
        <v>50</v>
      </c>
      <c r="E4" s="3">
        <f>SCF!E4</f>
        <v>62.5</v>
      </c>
      <c r="F4" s="3">
        <f>SCF!F4</f>
        <v>100</v>
      </c>
      <c r="H4" t="str">
        <f t="shared" ref="H4:H12" si="0">B4</f>
        <v>Cost of Goods Sold (COGS)</v>
      </c>
      <c r="I4" s="86">
        <v>0</v>
      </c>
      <c r="J4" s="59">
        <f t="shared" ref="J4:J12" si="1">(D4-C4)/C4</f>
        <v>0.33333333333333331</v>
      </c>
      <c r="K4" s="59">
        <f t="shared" ref="K4:L5" si="2">(E4-D4)/D4</f>
        <v>0.25</v>
      </c>
      <c r="L4" s="59">
        <f t="shared" si="2"/>
        <v>0.6</v>
      </c>
    </row>
    <row r="5" spans="1:12">
      <c r="B5" s="1" t="str">
        <f>SCF!B5</f>
        <v>Gross Profit</v>
      </c>
      <c r="C5" s="8">
        <f>C3-C4</f>
        <v>12.5</v>
      </c>
      <c r="D5" s="8">
        <f>D3-D4</f>
        <v>25</v>
      </c>
      <c r="E5" s="8">
        <f>E3-E4</f>
        <v>37.5</v>
      </c>
      <c r="F5" s="8">
        <f>F3-F4</f>
        <v>25</v>
      </c>
      <c r="H5" s="1" t="str">
        <f t="shared" si="0"/>
        <v>Gross Profit</v>
      </c>
      <c r="I5" s="86">
        <v>0</v>
      </c>
      <c r="J5" s="59">
        <f t="shared" si="1"/>
        <v>1</v>
      </c>
      <c r="K5" s="59">
        <f t="shared" si="2"/>
        <v>0.5</v>
      </c>
      <c r="L5" s="59">
        <f>(F5-E5)/E5</f>
        <v>-0.33333333333333331</v>
      </c>
    </row>
    <row r="6" spans="1:12">
      <c r="B6" t="str">
        <f>SCF!B6</f>
        <v>Selling, General &amp; Administrative Expenses</v>
      </c>
      <c r="C6" s="3">
        <f>SCF!C6</f>
        <v>2.625</v>
      </c>
      <c r="D6" s="3">
        <f>SCF!D6</f>
        <v>4.625</v>
      </c>
      <c r="E6" s="3">
        <f>SCF!E6</f>
        <v>7</v>
      </c>
      <c r="F6" s="3">
        <f>SCF!F6</f>
        <v>8.125</v>
      </c>
      <c r="H6" t="str">
        <f t="shared" si="0"/>
        <v>Selling, General &amp; Administrative Expenses</v>
      </c>
      <c r="I6" s="86">
        <v>0</v>
      </c>
      <c r="J6" s="59">
        <f t="shared" si="1"/>
        <v>0.76190476190476186</v>
      </c>
      <c r="K6" s="59">
        <f>(E6-D6)/D6</f>
        <v>0.51351351351351349</v>
      </c>
      <c r="L6" s="59">
        <f>(F6-E6)/E6</f>
        <v>0.16071428571428573</v>
      </c>
    </row>
    <row r="7" spans="1:12">
      <c r="A7" s="2"/>
      <c r="B7" t="str">
        <f>SCF!B7</f>
        <v>Depreciation</v>
      </c>
      <c r="C7" s="3">
        <f>SCF!C7</f>
        <v>3.75</v>
      </c>
      <c r="D7" s="3">
        <f>SCF!D7</f>
        <v>4.375</v>
      </c>
      <c r="E7" s="3">
        <f>SCF!E7</f>
        <v>5</v>
      </c>
      <c r="F7" s="3">
        <f>SCF!F7</f>
        <v>5.625</v>
      </c>
      <c r="H7" t="str">
        <f t="shared" si="0"/>
        <v>Depreciation</v>
      </c>
      <c r="I7" s="86">
        <v>0</v>
      </c>
      <c r="J7" s="59">
        <f t="shared" si="1"/>
        <v>0.16666666666666666</v>
      </c>
      <c r="K7" s="59">
        <f>(E7-D7)/D7</f>
        <v>0.14285714285714285</v>
      </c>
      <c r="L7" s="59">
        <f>(F7-E7)/E7</f>
        <v>0.125</v>
      </c>
    </row>
    <row r="8" spans="1:12">
      <c r="B8" s="1" t="str">
        <f>SCF!B8</f>
        <v>Earnings Before Interest and Tax (EBIT)</v>
      </c>
      <c r="C8" s="8">
        <f>C5-SUM(C6:C7)</f>
        <v>6.125</v>
      </c>
      <c r="D8" s="8">
        <f>D5-SUM(D6:D7)</f>
        <v>16</v>
      </c>
      <c r="E8" s="8">
        <f>E5-SUM(E6:E7)</f>
        <v>25.5</v>
      </c>
      <c r="F8" s="8">
        <f>F5-SUM(F6:F7)</f>
        <v>11.25</v>
      </c>
      <c r="H8" s="1" t="str">
        <f t="shared" si="0"/>
        <v>Earnings Before Interest and Tax (EBIT)</v>
      </c>
      <c r="I8" s="86">
        <v>0</v>
      </c>
      <c r="J8" s="59">
        <f t="shared" si="1"/>
        <v>1.6122448979591837</v>
      </c>
      <c r="K8" s="59">
        <f t="shared" ref="K8:L10" si="3">(E8-D8)/D8</f>
        <v>0.59375</v>
      </c>
      <c r="L8" s="59">
        <f t="shared" si="3"/>
        <v>-0.55882352941176472</v>
      </c>
    </row>
    <row r="9" spans="1:12">
      <c r="A9" s="2"/>
      <c r="B9" t="str">
        <f>SCF!B9</f>
        <v>Interest expense</v>
      </c>
      <c r="C9" s="3">
        <f>SCF!C9</f>
        <v>3.6250000000000004</v>
      </c>
      <c r="D9" s="3">
        <f>SCF!D9</f>
        <v>3.5000000000000004</v>
      </c>
      <c r="E9" s="3">
        <f>SCF!E9</f>
        <v>3.0000000000000004</v>
      </c>
      <c r="F9" s="3">
        <f>SCF!F9</f>
        <v>2.5</v>
      </c>
      <c r="H9" t="str">
        <f t="shared" si="0"/>
        <v>Interest expense</v>
      </c>
      <c r="I9" s="86">
        <v>0</v>
      </c>
      <c r="J9" s="59">
        <f t="shared" si="1"/>
        <v>-3.4482758620689648E-2</v>
      </c>
      <c r="K9" s="59">
        <f t="shared" si="3"/>
        <v>-0.14285714285714285</v>
      </c>
      <c r="L9" s="59">
        <f t="shared" si="3"/>
        <v>-0.1666666666666668</v>
      </c>
    </row>
    <row r="10" spans="1:12">
      <c r="B10" s="1" t="str">
        <f>SCF!B10</f>
        <v>Earnings Before Tax (EBT)</v>
      </c>
      <c r="C10" s="8">
        <f>C8-C9</f>
        <v>2.4999999999999996</v>
      </c>
      <c r="D10" s="8">
        <f>D8-D9</f>
        <v>12.5</v>
      </c>
      <c r="E10" s="8">
        <f>E8-E9</f>
        <v>22.5</v>
      </c>
      <c r="F10" s="8">
        <f>F8-F9</f>
        <v>8.75</v>
      </c>
      <c r="H10" s="1" t="str">
        <f t="shared" si="0"/>
        <v>Earnings Before Tax (EBT)</v>
      </c>
      <c r="I10" s="86">
        <v>0</v>
      </c>
      <c r="J10" s="59">
        <f t="shared" si="1"/>
        <v>4.0000000000000009</v>
      </c>
      <c r="K10" s="59">
        <f t="shared" si="3"/>
        <v>0.8</v>
      </c>
      <c r="L10" s="59">
        <f t="shared" si="3"/>
        <v>-0.61111111111111116</v>
      </c>
    </row>
    <row r="11" spans="1:12">
      <c r="A11" s="15">
        <f>SCF!A11</f>
        <v>0.3</v>
      </c>
      <c r="B11" t="str">
        <f>SCF!B11</f>
        <v>Tax expense</v>
      </c>
      <c r="C11" s="3">
        <f>C10*$A$11</f>
        <v>0.74999999999999989</v>
      </c>
      <c r="D11" s="3">
        <f>D10*$A$11</f>
        <v>3.75</v>
      </c>
      <c r="E11" s="3">
        <f>E10*$A$11</f>
        <v>6.75</v>
      </c>
      <c r="F11" s="3">
        <f>F10*$A$11</f>
        <v>2.625</v>
      </c>
      <c r="H11" t="str">
        <f t="shared" si="0"/>
        <v>Tax expense</v>
      </c>
      <c r="I11" s="86">
        <v>0</v>
      </c>
      <c r="J11" s="59">
        <f>(D11-C11)/C11</f>
        <v>4.0000000000000009</v>
      </c>
      <c r="K11" s="59">
        <f>(E11-D11)/D11</f>
        <v>0.8</v>
      </c>
      <c r="L11" s="59">
        <f>(F11-E11)/E11</f>
        <v>-0.61111111111111116</v>
      </c>
    </row>
    <row r="12" spans="1:12">
      <c r="B12" s="1" t="str">
        <f>SCF!B12</f>
        <v>Net Income (NI)</v>
      </c>
      <c r="C12" s="8">
        <f>C10-C11</f>
        <v>1.7499999999999996</v>
      </c>
      <c r="D12" s="8">
        <f>D10-D11</f>
        <v>8.75</v>
      </c>
      <c r="E12" s="8">
        <f>E10-E11</f>
        <v>15.75</v>
      </c>
      <c r="F12" s="8">
        <f>F10-F11</f>
        <v>6.125</v>
      </c>
      <c r="H12" s="1" t="str">
        <f t="shared" si="0"/>
        <v>Net Income (NI)</v>
      </c>
      <c r="I12" s="86">
        <v>0</v>
      </c>
      <c r="J12" s="59">
        <f t="shared" si="1"/>
        <v>4.0000000000000009</v>
      </c>
      <c r="K12" s="59">
        <f t="shared" ref="K12:L12" si="4">(E12-D12)/D12</f>
        <v>0.8</v>
      </c>
      <c r="L12" s="59">
        <f t="shared" si="4"/>
        <v>-0.61111111111111116</v>
      </c>
    </row>
    <row r="13" spans="1:12">
      <c r="B13" t="str">
        <f>SCF!B13</f>
        <v>Dividends (in million $)</v>
      </c>
      <c r="C13" s="3">
        <f>SCF!C13</f>
        <v>1.25</v>
      </c>
      <c r="D13" s="3">
        <f>SCF!D13</f>
        <v>5</v>
      </c>
      <c r="E13" s="3">
        <f>SCF!E13</f>
        <v>8.25</v>
      </c>
      <c r="F13" s="3">
        <f>SCF!F13</f>
        <v>4.875</v>
      </c>
    </row>
    <row r="14" spans="1:12">
      <c r="B14" t="str">
        <f>SCF!B14</f>
        <v>Additional Retained Earnings (in million $)</v>
      </c>
      <c r="C14" s="3">
        <f>C12-C13</f>
        <v>0.49999999999999956</v>
      </c>
      <c r="D14" s="3">
        <f>D12-D13</f>
        <v>3.75</v>
      </c>
      <c r="E14" s="3">
        <f>E12-E13</f>
        <v>7.5</v>
      </c>
      <c r="F14" s="3">
        <f>F12-F13</f>
        <v>1.25</v>
      </c>
    </row>
    <row r="16" spans="1:12">
      <c r="B16" t="str">
        <f>SCF!B16</f>
        <v>Shares Outstanding (in million)</v>
      </c>
      <c r="C16" s="3">
        <f>SCF!C16</f>
        <v>25</v>
      </c>
      <c r="D16" s="3">
        <f>SCF!D16</f>
        <v>25</v>
      </c>
      <c r="E16" s="3">
        <f>SCF!E16</f>
        <v>25</v>
      </c>
      <c r="F16" s="3">
        <f>SCF!F16</f>
        <v>25</v>
      </c>
    </row>
    <row r="17" spans="2:20">
      <c r="B17" t="str">
        <f>SCF!B17</f>
        <v>Market Value per Share ($/Share)</v>
      </c>
      <c r="C17" s="3">
        <f>SCF!C17</f>
        <v>5</v>
      </c>
      <c r="D17" s="3">
        <f>SCF!D17</f>
        <v>7.5</v>
      </c>
      <c r="E17" s="3">
        <f>SCF!E17</f>
        <v>8.75</v>
      </c>
      <c r="F17" s="3">
        <f>SCF!F17</f>
        <v>6.25</v>
      </c>
    </row>
    <row r="19" spans="2:20">
      <c r="B19" s="111" t="s">
        <v>50</v>
      </c>
      <c r="C19" s="111"/>
      <c r="D19" s="111"/>
      <c r="E19" s="111"/>
      <c r="F19" s="111"/>
      <c r="H19" s="111" t="s">
        <v>128</v>
      </c>
      <c r="I19" s="111"/>
      <c r="J19" s="111"/>
      <c r="K19" s="111"/>
      <c r="L19" s="111"/>
    </row>
    <row r="20" spans="2:20" ht="15.6">
      <c r="B20" s="9"/>
      <c r="C20" s="9">
        <f>C2</f>
        <v>2019</v>
      </c>
      <c r="D20" s="9">
        <f>D2</f>
        <v>2020</v>
      </c>
      <c r="E20" s="9">
        <f>E2</f>
        <v>2021</v>
      </c>
      <c r="F20" s="9">
        <f>F2</f>
        <v>2022</v>
      </c>
      <c r="H20" s="9"/>
      <c r="I20" s="40">
        <f>C20</f>
        <v>2019</v>
      </c>
      <c r="J20" s="40">
        <f>D20</f>
        <v>2020</v>
      </c>
      <c r="K20" s="40">
        <f>E20</f>
        <v>2021</v>
      </c>
      <c r="L20" s="40">
        <f>F20</f>
        <v>2022</v>
      </c>
    </row>
    <row r="21" spans="2:20">
      <c r="B21" s="1" t="str">
        <f>SCF!B21</f>
        <v>Current Assets</v>
      </c>
      <c r="H21" s="1" t="str">
        <f t="shared" ref="H21:H26" si="5">B21</f>
        <v>Current Assets</v>
      </c>
      <c r="I21" s="85"/>
      <c r="J21" s="85"/>
      <c r="K21" s="85"/>
      <c r="L21" s="85"/>
    </row>
    <row r="22" spans="2:20">
      <c r="B22" t="str">
        <f>SCF!B22</f>
        <v>Cash</v>
      </c>
      <c r="C22" s="3">
        <f>SCF!C22</f>
        <v>2.5</v>
      </c>
      <c r="D22" s="3">
        <f>SCF!D22</f>
        <v>6.25</v>
      </c>
      <c r="E22" s="3">
        <f>SCF!E22</f>
        <v>7.5</v>
      </c>
      <c r="F22" s="3">
        <f>SCF!F22</f>
        <v>10</v>
      </c>
      <c r="H22" t="str">
        <f t="shared" si="5"/>
        <v>Cash</v>
      </c>
      <c r="I22" s="86">
        <v>0</v>
      </c>
      <c r="J22" s="59">
        <f>(D22-C22)/C22</f>
        <v>1.5</v>
      </c>
      <c r="K22" s="59">
        <f t="shared" ref="K22:L26" si="6">(E22-D22)/D22</f>
        <v>0.2</v>
      </c>
      <c r="L22" s="59">
        <f t="shared" si="6"/>
        <v>0.33333333333333331</v>
      </c>
    </row>
    <row r="23" spans="2:20">
      <c r="B23" t="str">
        <f>SCF!B23</f>
        <v>Accounts Receivable</v>
      </c>
      <c r="C23" s="3">
        <f>SCF!C23</f>
        <v>3.75</v>
      </c>
      <c r="D23" s="3">
        <f>SCF!D23</f>
        <v>8.75</v>
      </c>
      <c r="E23" s="3">
        <f>SCF!E23</f>
        <v>10</v>
      </c>
      <c r="F23" s="3">
        <f>SCF!F23</f>
        <v>13.75</v>
      </c>
      <c r="H23" t="str">
        <f t="shared" si="5"/>
        <v>Accounts Receivable</v>
      </c>
      <c r="I23" s="86">
        <v>0</v>
      </c>
      <c r="J23" s="59">
        <f>(D23-C23)/C23</f>
        <v>1.3333333333333333</v>
      </c>
      <c r="K23" s="59">
        <f t="shared" si="6"/>
        <v>0.14285714285714285</v>
      </c>
      <c r="L23" s="59">
        <f t="shared" si="6"/>
        <v>0.375</v>
      </c>
    </row>
    <row r="24" spans="2:20">
      <c r="B24" t="str">
        <f>SCF!B24</f>
        <v>Inventories</v>
      </c>
      <c r="C24" s="3">
        <f>SCF!C24</f>
        <v>11.25</v>
      </c>
      <c r="D24" s="3">
        <f>SCF!D24</f>
        <v>16.875</v>
      </c>
      <c r="E24" s="3">
        <f>SCF!E24</f>
        <v>18.75</v>
      </c>
      <c r="F24" s="3">
        <f>SCF!F24</f>
        <v>15</v>
      </c>
      <c r="H24" t="str">
        <f t="shared" si="5"/>
        <v>Inventories</v>
      </c>
      <c r="I24" s="86">
        <v>0</v>
      </c>
      <c r="J24" s="59">
        <f>(D24-C24)/C24</f>
        <v>0.5</v>
      </c>
      <c r="K24" s="59">
        <f t="shared" si="6"/>
        <v>0.1111111111111111</v>
      </c>
      <c r="L24" s="59">
        <f t="shared" si="6"/>
        <v>-0.2</v>
      </c>
    </row>
    <row r="25" spans="2:20">
      <c r="B25" t="str">
        <f>SCF!B25</f>
        <v>Other Current Assets</v>
      </c>
      <c r="C25" s="3">
        <f>SCF!C25</f>
        <v>1.25</v>
      </c>
      <c r="D25" s="3">
        <f>SCF!D25</f>
        <v>3.75</v>
      </c>
      <c r="E25" s="3">
        <f>SCF!E25</f>
        <v>4.375</v>
      </c>
      <c r="F25" s="3">
        <f>SCF!F25</f>
        <v>7.5</v>
      </c>
      <c r="H25" t="str">
        <f t="shared" si="5"/>
        <v>Other Current Assets</v>
      </c>
      <c r="I25" s="86">
        <v>0</v>
      </c>
      <c r="J25" s="59">
        <f>(D25-C25)/C25</f>
        <v>2</v>
      </c>
      <c r="K25" s="59">
        <f t="shared" si="6"/>
        <v>0.16666666666666666</v>
      </c>
      <c r="L25" s="59">
        <f t="shared" si="6"/>
        <v>0.7142857142857143</v>
      </c>
    </row>
    <row r="26" spans="2:20">
      <c r="B26" s="1" t="str">
        <f>SCF!B26</f>
        <v>Total Current Assets</v>
      </c>
      <c r="C26" s="8">
        <f>SUM(C22:C25)</f>
        <v>18.75</v>
      </c>
      <c r="D26" s="8">
        <f>SUM(D22:D25)</f>
        <v>35.625</v>
      </c>
      <c r="E26" s="8">
        <f>SUM(E22:E25)</f>
        <v>40.625</v>
      </c>
      <c r="F26" s="8">
        <f>SUM(F22:F25)</f>
        <v>46.25</v>
      </c>
      <c r="H26" s="1" t="str">
        <f t="shared" si="5"/>
        <v>Total Current Assets</v>
      </c>
      <c r="I26" s="86">
        <v>0</v>
      </c>
      <c r="J26" s="59">
        <f>(D26-C26)/C26</f>
        <v>0.9</v>
      </c>
      <c r="K26" s="59">
        <f t="shared" si="6"/>
        <v>0.14035087719298245</v>
      </c>
      <c r="L26" s="59">
        <f t="shared" si="6"/>
        <v>0.13846153846153847</v>
      </c>
    </row>
    <row r="27" spans="2:20">
      <c r="I27" s="85"/>
      <c r="J27" s="85"/>
      <c r="K27" s="85"/>
      <c r="L27" s="85"/>
      <c r="Q27" s="39"/>
      <c r="R27" s="89"/>
      <c r="S27" s="89"/>
      <c r="T27" s="89"/>
    </row>
    <row r="28" spans="2:20">
      <c r="B28" s="1" t="str">
        <f>SCF!B28</f>
        <v>Long Term Assets</v>
      </c>
      <c r="C28" s="3"/>
      <c r="D28" s="3"/>
      <c r="E28" s="3"/>
      <c r="F28" s="3"/>
      <c r="H28" s="1" t="str">
        <f t="shared" ref="H28:H33" si="7">B28</f>
        <v>Long Term Assets</v>
      </c>
      <c r="I28" s="85"/>
      <c r="J28" s="85"/>
      <c r="K28" s="85"/>
      <c r="L28" s="85"/>
    </row>
    <row r="29" spans="2:20">
      <c r="B29" t="str">
        <f>SCF!B29</f>
        <v>PPE (Gross)</v>
      </c>
      <c r="C29" s="3">
        <f>SCF!C29</f>
        <v>75</v>
      </c>
      <c r="D29" s="3">
        <f>SCF!D29</f>
        <v>87.5</v>
      </c>
      <c r="E29" s="3">
        <f>SCF!E29</f>
        <v>100</v>
      </c>
      <c r="F29" s="3">
        <f>SCF!F29</f>
        <v>112.5</v>
      </c>
      <c r="H29" t="str">
        <f t="shared" si="7"/>
        <v>PPE (Gross)</v>
      </c>
      <c r="I29" s="86">
        <v>0</v>
      </c>
      <c r="J29" s="59">
        <f>(D29-C29)/C29</f>
        <v>0.16666666666666666</v>
      </c>
      <c r="K29" s="59">
        <f t="shared" ref="K29:L33" si="8">(E29-D29)/D29</f>
        <v>0.14285714285714285</v>
      </c>
      <c r="L29" s="59">
        <f t="shared" si="8"/>
        <v>0.125</v>
      </c>
    </row>
    <row r="30" spans="2:20">
      <c r="B30" t="str">
        <f>SCF!B30</f>
        <v>Acc Dep</v>
      </c>
      <c r="C30" s="3">
        <f>SCF!C30</f>
        <v>37.5</v>
      </c>
      <c r="D30" s="3">
        <f>SCF!D30</f>
        <v>41.875</v>
      </c>
      <c r="E30" s="3">
        <f>SCF!E30</f>
        <v>46.875</v>
      </c>
      <c r="F30" s="3">
        <f>SCF!F30</f>
        <v>52.5</v>
      </c>
      <c r="H30" t="str">
        <f t="shared" si="7"/>
        <v>Acc Dep</v>
      </c>
      <c r="I30" s="86">
        <v>0</v>
      </c>
      <c r="J30" s="59">
        <f>(D30-C30)/C30</f>
        <v>0.11666666666666667</v>
      </c>
      <c r="K30" s="59">
        <f t="shared" si="8"/>
        <v>0.11940298507462686</v>
      </c>
      <c r="L30" s="59">
        <f t="shared" si="8"/>
        <v>0.12</v>
      </c>
    </row>
    <row r="31" spans="2:20">
      <c r="B31" t="str">
        <f>SCF!B31</f>
        <v>PPE (Net)</v>
      </c>
      <c r="C31" s="3">
        <f>C29-C30</f>
        <v>37.5</v>
      </c>
      <c r="D31" s="3">
        <f>D29-D30</f>
        <v>45.625</v>
      </c>
      <c r="E31" s="3">
        <f>E29-E30</f>
        <v>53.125</v>
      </c>
      <c r="F31" s="3">
        <f>F29-F30</f>
        <v>60</v>
      </c>
      <c r="H31" t="str">
        <f t="shared" si="7"/>
        <v>PPE (Net)</v>
      </c>
      <c r="I31" s="86">
        <v>0</v>
      </c>
      <c r="J31" s="59">
        <f>(D31-C31)/C31</f>
        <v>0.21666666666666667</v>
      </c>
      <c r="K31" s="59">
        <f t="shared" si="8"/>
        <v>0.16438356164383561</v>
      </c>
      <c r="L31" s="59">
        <f t="shared" si="8"/>
        <v>0.12941176470588237</v>
      </c>
      <c r="O31" s="1"/>
      <c r="P31" s="2"/>
      <c r="Q31" s="2"/>
      <c r="R31" s="2"/>
      <c r="S31" s="2"/>
    </row>
    <row r="32" spans="2:20">
      <c r="B32" t="str">
        <f>SCF!B32</f>
        <v>Goodwill</v>
      </c>
      <c r="C32" s="3">
        <f>SCF!C32</f>
        <v>6.25</v>
      </c>
      <c r="D32" s="3">
        <f>SCF!D32</f>
        <v>6.25</v>
      </c>
      <c r="E32" s="3">
        <f>SCF!E32</f>
        <v>6.25</v>
      </c>
      <c r="F32" s="3">
        <f>SCF!F32</f>
        <v>6.25</v>
      </c>
      <c r="H32" t="str">
        <f t="shared" si="7"/>
        <v>Goodwill</v>
      </c>
      <c r="I32" s="86">
        <v>0</v>
      </c>
      <c r="J32" s="59">
        <f>(D32-C32)/C32</f>
        <v>0</v>
      </c>
      <c r="K32" s="59">
        <f t="shared" si="8"/>
        <v>0</v>
      </c>
      <c r="L32" s="59">
        <f t="shared" si="8"/>
        <v>0</v>
      </c>
      <c r="P32" s="6"/>
      <c r="Q32" s="6"/>
      <c r="R32" s="6"/>
      <c r="S32" s="6"/>
    </row>
    <row r="33" spans="2:19">
      <c r="B33" s="1" t="str">
        <f>SCF!B33</f>
        <v>Total Long Term Assets</v>
      </c>
      <c r="C33" s="8">
        <f>SUM(C31:C32)</f>
        <v>43.75</v>
      </c>
      <c r="D33" s="8">
        <f>SUM(D31:D32)</f>
        <v>51.875</v>
      </c>
      <c r="E33" s="8">
        <f>SUM(E31:E32)</f>
        <v>59.375</v>
      </c>
      <c r="F33" s="8">
        <f>SUM(F31:F32)</f>
        <v>66.25</v>
      </c>
      <c r="H33" s="1" t="str">
        <f t="shared" si="7"/>
        <v>Total Long Term Assets</v>
      </c>
      <c r="I33" s="86">
        <v>0</v>
      </c>
      <c r="J33" s="59">
        <f>(D33-C33)/C33</f>
        <v>0.18571428571428572</v>
      </c>
      <c r="K33" s="59">
        <f t="shared" si="8"/>
        <v>0.14457831325301204</v>
      </c>
      <c r="L33" s="59">
        <f t="shared" si="8"/>
        <v>0.11578947368421053</v>
      </c>
    </row>
    <row r="34" spans="2:19">
      <c r="C34" s="3"/>
      <c r="D34" s="3"/>
      <c r="E34" s="3"/>
      <c r="F34" s="3"/>
      <c r="I34" s="85"/>
      <c r="J34" s="85"/>
      <c r="K34" s="85"/>
      <c r="L34" s="85"/>
      <c r="P34" s="6"/>
      <c r="Q34" s="6"/>
      <c r="R34" s="6"/>
      <c r="S34" s="6"/>
    </row>
    <row r="35" spans="2:19">
      <c r="B35" s="1" t="str">
        <f>SCF!B35</f>
        <v>Total Assets</v>
      </c>
      <c r="C35" s="8">
        <f>C26+C33</f>
        <v>62.5</v>
      </c>
      <c r="D35" s="8">
        <f>D26+D33</f>
        <v>87.5</v>
      </c>
      <c r="E35" s="8">
        <f>E26+E33</f>
        <v>100</v>
      </c>
      <c r="F35" s="8">
        <f>F26+F33</f>
        <v>112.5</v>
      </c>
      <c r="H35" s="1" t="str">
        <f>B35</f>
        <v>Total Assets</v>
      </c>
      <c r="I35" s="86">
        <v>0</v>
      </c>
      <c r="J35" s="59">
        <f>(D35-C35)/C35</f>
        <v>0.4</v>
      </c>
      <c r="K35" s="59">
        <f t="shared" ref="K35:L35" si="9">(E35-D35)/D35</f>
        <v>0.14285714285714285</v>
      </c>
      <c r="L35" s="59">
        <f t="shared" si="9"/>
        <v>0.125</v>
      </c>
      <c r="P35" s="6"/>
      <c r="Q35" s="6"/>
      <c r="R35" s="6"/>
      <c r="S35" s="6"/>
    </row>
    <row r="36" spans="2:19">
      <c r="C36" s="3"/>
      <c r="D36" s="3"/>
      <c r="E36" s="3"/>
      <c r="F36" s="3"/>
      <c r="I36" s="85"/>
      <c r="J36" s="85"/>
      <c r="K36" s="85"/>
      <c r="L36" s="85"/>
      <c r="Q36" s="6"/>
      <c r="R36" s="6"/>
      <c r="S36" s="6"/>
    </row>
    <row r="37" spans="2:19">
      <c r="B37" s="1" t="str">
        <f>SCF!B37</f>
        <v>Current Liabilities</v>
      </c>
      <c r="C37" s="3"/>
      <c r="D37" s="3"/>
      <c r="E37" s="3"/>
      <c r="F37" s="3"/>
      <c r="H37" s="1" t="str">
        <f>B37</f>
        <v>Current Liabilities</v>
      </c>
      <c r="I37" s="85"/>
      <c r="J37" s="85"/>
      <c r="K37" s="85"/>
      <c r="L37" s="85"/>
      <c r="Q37" s="6"/>
      <c r="R37" s="6"/>
      <c r="S37" s="6"/>
    </row>
    <row r="38" spans="2:19">
      <c r="B38" t="str">
        <f>SCF!B38</f>
        <v>Accounts Payable</v>
      </c>
      <c r="C38" s="3">
        <f>SCF!C38</f>
        <v>6.25</v>
      </c>
      <c r="D38" s="3">
        <f>SCF!D38</f>
        <v>15</v>
      </c>
      <c r="E38" s="3">
        <f>SCF!E38</f>
        <v>31.25</v>
      </c>
      <c r="F38" s="3">
        <f>SCF!F38</f>
        <v>32.5</v>
      </c>
      <c r="H38" t="str">
        <f>B38</f>
        <v>Accounts Payable</v>
      </c>
      <c r="I38" s="86">
        <v>0</v>
      </c>
      <c r="J38" s="59">
        <f>(D38-C38)/C38</f>
        <v>1.4</v>
      </c>
      <c r="K38" s="59">
        <f t="shared" ref="K38:L41" si="10">(E38-D38)/D38</f>
        <v>1.0833333333333333</v>
      </c>
      <c r="L38" s="59">
        <f t="shared" si="10"/>
        <v>0.04</v>
      </c>
    </row>
    <row r="39" spans="2:19">
      <c r="B39" t="str">
        <f>SCF!B39</f>
        <v>Notes Payable</v>
      </c>
      <c r="C39" s="3">
        <f>SCF!C39</f>
        <v>3.75</v>
      </c>
      <c r="D39" s="3">
        <f>SCF!D39</f>
        <v>16.25</v>
      </c>
      <c r="E39" s="3">
        <f>SCF!E39</f>
        <v>10</v>
      </c>
      <c r="F39" s="3">
        <f>SCF!F39</f>
        <v>22.5</v>
      </c>
      <c r="H39" t="str">
        <f>B39</f>
        <v>Notes Payable</v>
      </c>
      <c r="I39" s="86">
        <v>0</v>
      </c>
      <c r="J39" s="59">
        <f>(D39-C39)/C39</f>
        <v>3.3333333333333335</v>
      </c>
      <c r="K39" s="59">
        <f t="shared" si="10"/>
        <v>-0.38461538461538464</v>
      </c>
      <c r="L39" s="59">
        <f t="shared" si="10"/>
        <v>1.25</v>
      </c>
    </row>
    <row r="40" spans="2:19">
      <c r="B40" t="str">
        <f>SCF!B40</f>
        <v>Current Portion of LTD</v>
      </c>
      <c r="C40" s="3">
        <f>SCF!C40</f>
        <v>5</v>
      </c>
      <c r="D40" s="3">
        <f>SCF!D40</f>
        <v>5</v>
      </c>
      <c r="E40" s="3">
        <f>SCF!E40</f>
        <v>5</v>
      </c>
      <c r="F40" s="3">
        <f>SCF!F40</f>
        <v>5</v>
      </c>
      <c r="H40" t="str">
        <f>B40</f>
        <v>Current Portion of LTD</v>
      </c>
      <c r="I40" s="86">
        <v>0</v>
      </c>
      <c r="J40" s="59">
        <f>(D40-C40)/C40</f>
        <v>0</v>
      </c>
      <c r="K40" s="59">
        <f t="shared" si="10"/>
        <v>0</v>
      </c>
      <c r="L40" s="59">
        <f t="shared" si="10"/>
        <v>0</v>
      </c>
    </row>
    <row r="41" spans="2:19">
      <c r="B41" s="1" t="str">
        <f>SCF!B41</f>
        <v>Total Current Liabilities</v>
      </c>
      <c r="C41" s="8">
        <f>SUM(C38:C40)</f>
        <v>15</v>
      </c>
      <c r="D41" s="8">
        <f>SUM(D38:D40)</f>
        <v>36.25</v>
      </c>
      <c r="E41" s="8">
        <f>SUM(E38:E40)</f>
        <v>46.25</v>
      </c>
      <c r="F41" s="8">
        <f>SUM(F38:F40)</f>
        <v>60</v>
      </c>
      <c r="H41" s="1" t="str">
        <f>B41</f>
        <v>Total Current Liabilities</v>
      </c>
      <c r="I41" s="86">
        <v>0</v>
      </c>
      <c r="J41" s="59">
        <f>(D41-C41)/C41</f>
        <v>1.4166666666666667</v>
      </c>
      <c r="K41" s="59">
        <f t="shared" si="10"/>
        <v>0.27586206896551724</v>
      </c>
      <c r="L41" s="59">
        <f t="shared" si="10"/>
        <v>0.29729729729729731</v>
      </c>
    </row>
    <row r="42" spans="2:19">
      <c r="C42" s="3"/>
      <c r="D42" s="3"/>
      <c r="E42" s="3"/>
      <c r="F42" s="3"/>
      <c r="I42" s="85"/>
      <c r="J42" s="85"/>
      <c r="K42" s="85"/>
      <c r="L42" s="85"/>
    </row>
    <row r="43" spans="2:19">
      <c r="B43" s="1" t="str">
        <f>SCF!B43</f>
        <v>Long Term Liabilities</v>
      </c>
      <c r="C43" s="3"/>
      <c r="D43" s="3"/>
      <c r="E43" s="3"/>
      <c r="F43" s="3"/>
      <c r="H43" s="1" t="str">
        <f>B43</f>
        <v>Long Term Liabilities</v>
      </c>
      <c r="I43" s="85"/>
      <c r="J43" s="85"/>
      <c r="K43" s="85"/>
      <c r="L43" s="85"/>
    </row>
    <row r="44" spans="2:19">
      <c r="B44" t="str">
        <f>SCF!B44</f>
        <v>Long Term Loan</v>
      </c>
      <c r="C44" s="3">
        <f>SCF!C44</f>
        <v>25</v>
      </c>
      <c r="D44" s="3">
        <f>SCF!D44</f>
        <v>20</v>
      </c>
      <c r="E44" s="3">
        <f>SCF!E44</f>
        <v>15</v>
      </c>
      <c r="F44" s="3">
        <f>SCF!F44</f>
        <v>10</v>
      </c>
      <c r="H44" t="str">
        <f>B44</f>
        <v>Long Term Loan</v>
      </c>
      <c r="I44" s="86">
        <v>0</v>
      </c>
      <c r="J44" s="59">
        <f>(D44-C44)/C44</f>
        <v>-0.2</v>
      </c>
      <c r="K44" s="59">
        <f t="shared" ref="K44:L46" si="11">(E44-D44)/D44</f>
        <v>-0.25</v>
      </c>
      <c r="L44" s="59">
        <f t="shared" si="11"/>
        <v>-0.33333333333333331</v>
      </c>
    </row>
    <row r="45" spans="2:19">
      <c r="B45" t="str">
        <f>SCF!B45</f>
        <v>Bonds Payable</v>
      </c>
      <c r="C45" s="3">
        <f>SCF!C45</f>
        <v>7.5</v>
      </c>
      <c r="D45" s="3">
        <f>SCF!D45</f>
        <v>10</v>
      </c>
      <c r="E45" s="3">
        <f>SCF!E45</f>
        <v>10</v>
      </c>
      <c r="F45" s="3">
        <f>SCF!F45</f>
        <v>10</v>
      </c>
      <c r="H45" t="str">
        <f>B45</f>
        <v>Bonds Payable</v>
      </c>
      <c r="I45" s="86">
        <v>0</v>
      </c>
      <c r="J45" s="59">
        <f>(D45-C45)/C45</f>
        <v>0.33333333333333331</v>
      </c>
      <c r="K45" s="59">
        <f t="shared" si="11"/>
        <v>0</v>
      </c>
      <c r="L45" s="59">
        <f t="shared" si="11"/>
        <v>0</v>
      </c>
    </row>
    <row r="46" spans="2:19">
      <c r="B46" s="1" t="str">
        <f>SCF!B46</f>
        <v>Total Long Term Liabilities</v>
      </c>
      <c r="C46" s="8">
        <f>SUM(C44:C45)</f>
        <v>32.5</v>
      </c>
      <c r="D46" s="8">
        <f>SUM(D44:D45)</f>
        <v>30</v>
      </c>
      <c r="E46" s="8">
        <f>SUM(E44:E45)</f>
        <v>25</v>
      </c>
      <c r="F46" s="8">
        <f>SUM(F44:F45)</f>
        <v>20</v>
      </c>
      <c r="H46" s="1" t="str">
        <f>B46</f>
        <v>Total Long Term Liabilities</v>
      </c>
      <c r="I46" s="86">
        <v>0</v>
      </c>
      <c r="J46" s="59">
        <f>(D46-C46)/C46</f>
        <v>-7.6923076923076927E-2</v>
      </c>
      <c r="K46" s="59">
        <f t="shared" si="11"/>
        <v>-0.16666666666666666</v>
      </c>
      <c r="L46" s="59">
        <f t="shared" si="11"/>
        <v>-0.2</v>
      </c>
    </row>
    <row r="47" spans="2:19">
      <c r="C47" s="3"/>
      <c r="D47" s="3"/>
      <c r="E47" s="3"/>
      <c r="F47" s="3"/>
      <c r="I47" s="85"/>
      <c r="J47" s="85"/>
      <c r="K47" s="85"/>
      <c r="L47" s="85"/>
    </row>
    <row r="48" spans="2:19">
      <c r="B48" s="1" t="str">
        <f>SCF!B48</f>
        <v>Shareholders' Equity</v>
      </c>
      <c r="C48" s="3"/>
      <c r="D48" s="3"/>
      <c r="E48" s="3"/>
      <c r="F48" s="3"/>
      <c r="H48" s="1" t="str">
        <f>B48</f>
        <v>Shareholders' Equity</v>
      </c>
      <c r="I48" s="85"/>
      <c r="J48" s="85"/>
      <c r="K48" s="85"/>
      <c r="L48" s="85"/>
    </row>
    <row r="49" spans="2:12">
      <c r="B49" t="str">
        <f>SCF!B49</f>
        <v>Contributed Capital</v>
      </c>
      <c r="C49" s="3">
        <f>SCF!C49</f>
        <v>10</v>
      </c>
      <c r="D49" s="3">
        <f>SCF!D49</f>
        <v>12.5</v>
      </c>
      <c r="E49" s="3">
        <f>SCF!E49</f>
        <v>12.5</v>
      </c>
      <c r="F49" s="3">
        <f>SCF!F49</f>
        <v>15</v>
      </c>
      <c r="H49" t="str">
        <f>B49</f>
        <v>Contributed Capital</v>
      </c>
      <c r="I49" s="86">
        <v>0</v>
      </c>
      <c r="J49" s="59">
        <f>(D49-C49)/C49</f>
        <v>0.25</v>
      </c>
      <c r="K49" s="59">
        <f t="shared" ref="K49:L51" si="12">(E49-D49)/D49</f>
        <v>0</v>
      </c>
      <c r="L49" s="59">
        <f t="shared" si="12"/>
        <v>0.2</v>
      </c>
    </row>
    <row r="50" spans="2:12">
      <c r="B50" t="str">
        <f>SCF!B50</f>
        <v>Retained Earnings</v>
      </c>
      <c r="C50" s="3">
        <f>SCF!C50</f>
        <v>5</v>
      </c>
      <c r="D50" s="3">
        <f>C50+D14</f>
        <v>8.75</v>
      </c>
      <c r="E50" s="3">
        <f>D50+E14</f>
        <v>16.25</v>
      </c>
      <c r="F50" s="3">
        <f>E50+F14</f>
        <v>17.5</v>
      </c>
      <c r="H50" t="str">
        <f>B50</f>
        <v>Retained Earnings</v>
      </c>
      <c r="I50" s="86">
        <v>0</v>
      </c>
      <c r="J50" s="59">
        <f>(D50-C50)/C50</f>
        <v>0.75</v>
      </c>
      <c r="K50" s="59">
        <f t="shared" si="12"/>
        <v>0.8571428571428571</v>
      </c>
      <c r="L50" s="59">
        <f t="shared" si="12"/>
        <v>7.6923076923076927E-2</v>
      </c>
    </row>
    <row r="51" spans="2:12">
      <c r="B51" s="1" t="str">
        <f>SCF!B51</f>
        <v>Total Shareholders' Equity</v>
      </c>
      <c r="C51" s="8">
        <f>SUM(C49:C50)</f>
        <v>15</v>
      </c>
      <c r="D51" s="8">
        <f>SUM(D49:D50)</f>
        <v>21.25</v>
      </c>
      <c r="E51" s="8">
        <f>SUM(E49:E50)</f>
        <v>28.75</v>
      </c>
      <c r="F51" s="8">
        <f>SUM(F49:F50)</f>
        <v>32.5</v>
      </c>
      <c r="H51" s="1" t="str">
        <f>B51</f>
        <v>Total Shareholders' Equity</v>
      </c>
      <c r="I51" s="86">
        <v>0</v>
      </c>
      <c r="J51" s="59">
        <f>(D51-C51)/C51</f>
        <v>0.41666666666666669</v>
      </c>
      <c r="K51" s="59">
        <f t="shared" si="12"/>
        <v>0.35294117647058826</v>
      </c>
      <c r="L51" s="59">
        <f t="shared" si="12"/>
        <v>0.13043478260869565</v>
      </c>
    </row>
    <row r="52" spans="2:12">
      <c r="C52" s="3"/>
      <c r="D52" s="3"/>
      <c r="E52" s="3"/>
      <c r="F52" s="3"/>
      <c r="I52" s="85"/>
      <c r="J52" s="85"/>
      <c r="K52" s="85"/>
      <c r="L52" s="85"/>
    </row>
    <row r="53" spans="2:12">
      <c r="B53" s="1" t="str">
        <f>SCF!B53</f>
        <v>Total Liabilities and Equity</v>
      </c>
      <c r="C53" s="8">
        <f>C41+C46+C51</f>
        <v>62.5</v>
      </c>
      <c r="D53" s="8">
        <f>D41+D46+D51</f>
        <v>87.5</v>
      </c>
      <c r="E53" s="8">
        <f>E41+E46+E51</f>
        <v>100</v>
      </c>
      <c r="F53" s="8">
        <f>F41+F46+F51</f>
        <v>112.5</v>
      </c>
      <c r="H53" s="1" t="str">
        <f>B53</f>
        <v>Total Liabilities and Equity</v>
      </c>
      <c r="I53" s="86">
        <v>0</v>
      </c>
      <c r="J53" s="59">
        <f>(D53-C53)/C53</f>
        <v>0.4</v>
      </c>
      <c r="K53" s="59">
        <f t="shared" ref="K53:L53" si="13">(E53-D53)/D53</f>
        <v>0.14285714285714285</v>
      </c>
      <c r="L53" s="59">
        <f t="shared" si="13"/>
        <v>0.125</v>
      </c>
    </row>
    <row r="54" spans="2:12">
      <c r="C54" s="3"/>
      <c r="D54" s="3"/>
      <c r="E54" s="3"/>
      <c r="F54" s="3"/>
    </row>
    <row r="55" spans="2:12">
      <c r="B55" s="1" t="str">
        <f>SCF!B55</f>
        <v>Balance</v>
      </c>
      <c r="C55" s="17">
        <f>C35-C53</f>
        <v>0</v>
      </c>
      <c r="D55" s="17">
        <f>D35-D53</f>
        <v>0</v>
      </c>
      <c r="E55" s="17">
        <f>E35-E53</f>
        <v>0</v>
      </c>
      <c r="F55" s="17">
        <f>F35-F53</f>
        <v>0</v>
      </c>
    </row>
  </sheetData>
  <mergeCells count="4">
    <mergeCell ref="B1:F1"/>
    <mergeCell ref="H1:L1"/>
    <mergeCell ref="B19:F19"/>
    <mergeCell ref="H19:L1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L55"/>
  <sheetViews>
    <sheetView topLeftCell="A15" workbookViewId="0">
      <selection activeCell="I23" sqref="I23"/>
    </sheetView>
  </sheetViews>
  <sheetFormatPr defaultColWidth="9.109375" defaultRowHeight="14.4"/>
  <cols>
    <col min="1" max="1" width="4.44140625" customWidth="1"/>
    <col min="2" max="2" width="39.44140625" bestFit="1" customWidth="1"/>
    <col min="3" max="6" width="9.44140625" customWidth="1"/>
    <col min="7" max="7" width="9.109375" customWidth="1"/>
    <col min="8" max="8" width="35.88671875" customWidth="1"/>
  </cols>
  <sheetData>
    <row r="1" spans="1:12">
      <c r="B1" s="111" t="s">
        <v>81</v>
      </c>
      <c r="C1" s="111"/>
      <c r="D1" s="111"/>
      <c r="E1" s="111"/>
      <c r="F1" s="111"/>
      <c r="H1" s="111" t="s">
        <v>129</v>
      </c>
      <c r="I1" s="111"/>
      <c r="J1" s="111"/>
      <c r="K1" s="111"/>
      <c r="L1" s="111"/>
    </row>
    <row r="2" spans="1:12" ht="15.6">
      <c r="B2" s="9"/>
      <c r="C2" s="9">
        <f>SCF!C2</f>
        <v>2019</v>
      </c>
      <c r="D2" s="9">
        <f>SCF!D2</f>
        <v>2020</v>
      </c>
      <c r="E2" s="9">
        <f>SCF!E2</f>
        <v>2021</v>
      </c>
      <c r="F2" s="9">
        <f>SCF!F2</f>
        <v>2022</v>
      </c>
      <c r="H2" s="9"/>
      <c r="I2" s="40">
        <f>C2</f>
        <v>2019</v>
      </c>
      <c r="J2" s="40">
        <f>D2</f>
        <v>2020</v>
      </c>
      <c r="K2" s="40">
        <f>E2</f>
        <v>2021</v>
      </c>
      <c r="L2" s="40">
        <f>F2</f>
        <v>2022</v>
      </c>
    </row>
    <row r="3" spans="1:12">
      <c r="B3" t="str">
        <f>SCF!B3</f>
        <v>Sales</v>
      </c>
      <c r="C3" s="3">
        <f>SCF!C3</f>
        <v>50</v>
      </c>
      <c r="D3" s="3">
        <f>SCF!D3</f>
        <v>75</v>
      </c>
      <c r="E3" s="3">
        <f>SCF!E3</f>
        <v>100</v>
      </c>
      <c r="F3" s="3">
        <f>SCF!F3</f>
        <v>125</v>
      </c>
      <c r="H3" t="str">
        <f>B3</f>
        <v>Sales</v>
      </c>
      <c r="I3" s="59">
        <f>C3/C3</f>
        <v>1</v>
      </c>
      <c r="J3" s="59">
        <f>D3/D3</f>
        <v>1</v>
      </c>
      <c r="K3" s="59">
        <f>E3/E3</f>
        <v>1</v>
      </c>
      <c r="L3" s="59">
        <f>F3/F3</f>
        <v>1</v>
      </c>
    </row>
    <row r="4" spans="1:12">
      <c r="B4" t="str">
        <f>SCF!B4</f>
        <v>Cost of Goods Sold (COGS)</v>
      </c>
      <c r="C4" s="3">
        <f>SCF!C4</f>
        <v>37.5</v>
      </c>
      <c r="D4" s="3">
        <f>SCF!D4</f>
        <v>50</v>
      </c>
      <c r="E4" s="3">
        <f>SCF!E4</f>
        <v>62.5</v>
      </c>
      <c r="F4" s="3">
        <f>SCF!F4</f>
        <v>100</v>
      </c>
      <c r="H4" t="str">
        <f t="shared" ref="H4:H12" si="0">B4</f>
        <v>Cost of Goods Sold (COGS)</v>
      </c>
      <c r="I4" s="59">
        <f>C4/C3</f>
        <v>0.75</v>
      </c>
      <c r="J4" s="59">
        <f>D4/D3</f>
        <v>0.66666666666666663</v>
      </c>
      <c r="K4" s="59">
        <f>E4/E3</f>
        <v>0.625</v>
      </c>
      <c r="L4" s="59">
        <f>F4/F3</f>
        <v>0.8</v>
      </c>
    </row>
    <row r="5" spans="1:12">
      <c r="B5" s="1" t="str">
        <f>SCF!B5</f>
        <v>Gross Profit</v>
      </c>
      <c r="C5" s="8">
        <f>C3-C4</f>
        <v>12.5</v>
      </c>
      <c r="D5" s="8">
        <f>D3-D4</f>
        <v>25</v>
      </c>
      <c r="E5" s="8">
        <f>E3-E4</f>
        <v>37.5</v>
      </c>
      <c r="F5" s="8">
        <f>F3-F4</f>
        <v>25</v>
      </c>
      <c r="H5" s="1" t="str">
        <f t="shared" si="0"/>
        <v>Gross Profit</v>
      </c>
      <c r="I5" s="59">
        <f>C5/C3</f>
        <v>0.25</v>
      </c>
      <c r="J5" s="59">
        <f>D5/D3</f>
        <v>0.33333333333333331</v>
      </c>
      <c r="K5" s="59">
        <f>E5/E3</f>
        <v>0.375</v>
      </c>
      <c r="L5" s="59">
        <f>F5/F3</f>
        <v>0.2</v>
      </c>
    </row>
    <row r="6" spans="1:12">
      <c r="B6" t="str">
        <f>SCF!B6</f>
        <v>Selling, General &amp; Administrative Expenses</v>
      </c>
      <c r="C6" s="3">
        <f>SCF!C6</f>
        <v>2.625</v>
      </c>
      <c r="D6" s="3">
        <f>SCF!D6</f>
        <v>4.625</v>
      </c>
      <c r="E6" s="3">
        <f>SCF!E6</f>
        <v>7</v>
      </c>
      <c r="F6" s="3">
        <f>SCF!F6</f>
        <v>8.125</v>
      </c>
      <c r="H6" t="str">
        <f t="shared" si="0"/>
        <v>Selling, General &amp; Administrative Expenses</v>
      </c>
      <c r="I6" s="59">
        <f>C6/C3</f>
        <v>5.2499999999999998E-2</v>
      </c>
      <c r="J6" s="59">
        <f t="shared" ref="J6:L6" si="1">D6/D3</f>
        <v>6.1666666666666668E-2</v>
      </c>
      <c r="K6" s="59">
        <f t="shared" si="1"/>
        <v>7.0000000000000007E-2</v>
      </c>
      <c r="L6" s="59">
        <f t="shared" si="1"/>
        <v>6.5000000000000002E-2</v>
      </c>
    </row>
    <row r="7" spans="1:12">
      <c r="A7" s="2"/>
      <c r="B7" t="str">
        <f>SCF!B7</f>
        <v>Depreciation</v>
      </c>
      <c r="C7" s="3">
        <f>SCF!C7</f>
        <v>3.75</v>
      </c>
      <c r="D7" s="3">
        <f>SCF!D7</f>
        <v>4.375</v>
      </c>
      <c r="E7" s="3">
        <f>SCF!E7</f>
        <v>5</v>
      </c>
      <c r="F7" s="3">
        <f>SCF!F7</f>
        <v>5.625</v>
      </c>
      <c r="H7" t="str">
        <f t="shared" si="0"/>
        <v>Depreciation</v>
      </c>
      <c r="I7" s="59">
        <f>C7/C3</f>
        <v>7.4999999999999997E-2</v>
      </c>
      <c r="J7" s="59">
        <f t="shared" ref="J7:L7" si="2">D7/D3</f>
        <v>5.8333333333333334E-2</v>
      </c>
      <c r="K7" s="59">
        <f t="shared" si="2"/>
        <v>0.05</v>
      </c>
      <c r="L7" s="59">
        <f t="shared" si="2"/>
        <v>4.4999999999999998E-2</v>
      </c>
    </row>
    <row r="8" spans="1:12">
      <c r="B8" s="1" t="str">
        <f>SCF!B8</f>
        <v>Earnings Before Interest and Tax (EBIT)</v>
      </c>
      <c r="C8" s="8">
        <f>C5-SUM(C6:C7)</f>
        <v>6.125</v>
      </c>
      <c r="D8" s="8">
        <f>D5-SUM(D6:D7)</f>
        <v>16</v>
      </c>
      <c r="E8" s="8">
        <f>E5-SUM(E6:E7)</f>
        <v>25.5</v>
      </c>
      <c r="F8" s="8">
        <f>F5-SUM(F6:F7)</f>
        <v>11.25</v>
      </c>
      <c r="H8" s="1" t="str">
        <f t="shared" si="0"/>
        <v>Earnings Before Interest and Tax (EBIT)</v>
      </c>
      <c r="I8" s="59">
        <f>C8/C3</f>
        <v>0.1225</v>
      </c>
      <c r="J8" s="59">
        <f t="shared" ref="J8:L8" si="3">D8/D3</f>
        <v>0.21333333333333335</v>
      </c>
      <c r="K8" s="59">
        <f t="shared" si="3"/>
        <v>0.255</v>
      </c>
      <c r="L8" s="59">
        <f t="shared" si="3"/>
        <v>0.09</v>
      </c>
    </row>
    <row r="9" spans="1:12">
      <c r="A9" s="2"/>
      <c r="B9" t="str">
        <f>SCF!B9</f>
        <v>Interest expense</v>
      </c>
      <c r="C9" s="3">
        <f>SCF!C9</f>
        <v>3.6250000000000004</v>
      </c>
      <c r="D9" s="3">
        <f>SCF!D9</f>
        <v>3.5000000000000004</v>
      </c>
      <c r="E9" s="3">
        <f>SCF!E9</f>
        <v>3.0000000000000004</v>
      </c>
      <c r="F9" s="3">
        <f>SCF!F9</f>
        <v>2.5</v>
      </c>
      <c r="H9" t="str">
        <f t="shared" si="0"/>
        <v>Interest expense</v>
      </c>
      <c r="I9" s="59">
        <f>C9/C3</f>
        <v>7.2500000000000009E-2</v>
      </c>
      <c r="J9" s="59">
        <f>D9/D3</f>
        <v>4.6666666666666676E-2</v>
      </c>
      <c r="K9" s="59">
        <f>E9/E3</f>
        <v>3.0000000000000006E-2</v>
      </c>
      <c r="L9" s="59">
        <f>F9/F3</f>
        <v>0.02</v>
      </c>
    </row>
    <row r="10" spans="1:12">
      <c r="B10" s="1" t="str">
        <f>SCF!B10</f>
        <v>Earnings Before Tax (EBT)</v>
      </c>
      <c r="C10" s="8">
        <f>C8-C9</f>
        <v>2.4999999999999996</v>
      </c>
      <c r="D10" s="8">
        <f>D8-D9</f>
        <v>12.5</v>
      </c>
      <c r="E10" s="8">
        <f>E8-E9</f>
        <v>22.5</v>
      </c>
      <c r="F10" s="8">
        <f>F8-F9</f>
        <v>8.75</v>
      </c>
      <c r="H10" s="1" t="str">
        <f t="shared" si="0"/>
        <v>Earnings Before Tax (EBT)</v>
      </c>
      <c r="I10" s="59">
        <f>C10/C3</f>
        <v>4.9999999999999989E-2</v>
      </c>
      <c r="J10" s="59">
        <f t="shared" ref="J10:L10" si="4">D10/D3</f>
        <v>0.16666666666666666</v>
      </c>
      <c r="K10" s="59">
        <f t="shared" si="4"/>
        <v>0.22500000000000001</v>
      </c>
      <c r="L10" s="59">
        <f t="shared" si="4"/>
        <v>7.0000000000000007E-2</v>
      </c>
    </row>
    <row r="11" spans="1:12">
      <c r="A11" s="15">
        <f>SCF!A11</f>
        <v>0.3</v>
      </c>
      <c r="B11" t="str">
        <f>SCF!B11</f>
        <v>Tax expense</v>
      </c>
      <c r="C11" s="3">
        <f>C10*$A$11</f>
        <v>0.74999999999999989</v>
      </c>
      <c r="D11" s="3">
        <f>D10*$A$11</f>
        <v>3.75</v>
      </c>
      <c r="E11" s="3">
        <f>E10*$A$11</f>
        <v>6.75</v>
      </c>
      <c r="F11" s="3">
        <f>F10*$A$11</f>
        <v>2.625</v>
      </c>
      <c r="H11" t="str">
        <f t="shared" si="0"/>
        <v>Tax expense</v>
      </c>
      <c r="I11" s="59">
        <f>C11/C3</f>
        <v>1.4999999999999998E-2</v>
      </c>
      <c r="J11" s="59">
        <f t="shared" ref="J11:L11" si="5">D11/D3</f>
        <v>0.05</v>
      </c>
      <c r="K11" s="59">
        <f t="shared" si="5"/>
        <v>6.7500000000000004E-2</v>
      </c>
      <c r="L11" s="59">
        <f t="shared" si="5"/>
        <v>2.1000000000000001E-2</v>
      </c>
    </row>
    <row r="12" spans="1:12">
      <c r="B12" s="1" t="str">
        <f>SCF!B12</f>
        <v>Net Income (NI)</v>
      </c>
      <c r="C12" s="8">
        <f>C10-C11</f>
        <v>1.7499999999999996</v>
      </c>
      <c r="D12" s="8">
        <f>D10-D11</f>
        <v>8.75</v>
      </c>
      <c r="E12" s="8">
        <f>E10-E11</f>
        <v>15.75</v>
      </c>
      <c r="F12" s="8">
        <f>F10-F11</f>
        <v>6.125</v>
      </c>
      <c r="H12" s="1" t="str">
        <f t="shared" si="0"/>
        <v>Net Income (NI)</v>
      </c>
      <c r="I12" s="59">
        <f>C12/C3</f>
        <v>3.4999999999999989E-2</v>
      </c>
      <c r="J12" s="59">
        <f t="shared" ref="J12:L12" si="6">D12/D3</f>
        <v>0.11666666666666667</v>
      </c>
      <c r="K12" s="59">
        <f t="shared" si="6"/>
        <v>0.1575</v>
      </c>
      <c r="L12" s="59">
        <f t="shared" si="6"/>
        <v>4.9000000000000002E-2</v>
      </c>
    </row>
    <row r="13" spans="1:12">
      <c r="B13" t="str">
        <f>SCF!B13</f>
        <v>Dividends (in million $)</v>
      </c>
      <c r="C13" s="3">
        <f>SCF!C13</f>
        <v>1.25</v>
      </c>
      <c r="D13" s="3">
        <f>SCF!D13</f>
        <v>5</v>
      </c>
      <c r="E13" s="3">
        <f>SCF!E13</f>
        <v>8.25</v>
      </c>
      <c r="F13" s="3">
        <f>SCF!F13</f>
        <v>4.875</v>
      </c>
    </row>
    <row r="14" spans="1:12">
      <c r="B14" t="str">
        <f>SCF!B14</f>
        <v>Additional Retained Earnings (in million $)</v>
      </c>
      <c r="C14" s="3">
        <f>C12-C13</f>
        <v>0.49999999999999956</v>
      </c>
      <c r="D14" s="3">
        <f>D12-D13</f>
        <v>3.75</v>
      </c>
      <c r="E14" s="3">
        <f>E12-E13</f>
        <v>7.5</v>
      </c>
      <c r="F14" s="3">
        <f>F12-F13</f>
        <v>1.25</v>
      </c>
    </row>
    <row r="16" spans="1:12">
      <c r="B16" t="str">
        <f>SCF!B16</f>
        <v>Shares Outstanding (in million)</v>
      </c>
      <c r="C16" s="3">
        <f>SCF!C16</f>
        <v>25</v>
      </c>
      <c r="D16" s="3">
        <f>SCF!D16</f>
        <v>25</v>
      </c>
      <c r="E16" s="3">
        <f>SCF!E16</f>
        <v>25</v>
      </c>
      <c r="F16" s="3">
        <f>SCF!F16</f>
        <v>25</v>
      </c>
    </row>
    <row r="17" spans="2:12">
      <c r="B17" t="str">
        <f>SCF!B17</f>
        <v>Market Value per Share ($/Share)</v>
      </c>
      <c r="C17" s="3">
        <f>SCF!C17</f>
        <v>5</v>
      </c>
      <c r="D17" s="3">
        <f>SCF!D17</f>
        <v>7.5</v>
      </c>
      <c r="E17" s="3">
        <f>SCF!E17</f>
        <v>8.75</v>
      </c>
      <c r="F17" s="3">
        <f>SCF!F17</f>
        <v>6.25</v>
      </c>
    </row>
    <row r="19" spans="2:12">
      <c r="B19" s="111" t="s">
        <v>50</v>
      </c>
      <c r="C19" s="111"/>
      <c r="D19" s="111"/>
      <c r="E19" s="111"/>
      <c r="F19" s="111"/>
      <c r="H19" s="111" t="s">
        <v>129</v>
      </c>
      <c r="I19" s="111"/>
      <c r="J19" s="111"/>
      <c r="K19" s="111"/>
      <c r="L19" s="111"/>
    </row>
    <row r="20" spans="2:12" ht="15.6">
      <c r="B20" s="9"/>
      <c r="C20" s="9">
        <f>C2</f>
        <v>2019</v>
      </c>
      <c r="D20" s="9">
        <f>D2</f>
        <v>2020</v>
      </c>
      <c r="E20" s="9">
        <f>E2</f>
        <v>2021</v>
      </c>
      <c r="F20" s="9">
        <f>F2</f>
        <v>2022</v>
      </c>
      <c r="H20" s="9"/>
      <c r="I20" s="40">
        <f>C20</f>
        <v>2019</v>
      </c>
      <c r="J20" s="40">
        <f>D20</f>
        <v>2020</v>
      </c>
      <c r="K20" s="40">
        <f>E20</f>
        <v>2021</v>
      </c>
      <c r="L20" s="40">
        <f>F20</f>
        <v>2022</v>
      </c>
    </row>
    <row r="21" spans="2:12">
      <c r="B21" s="1" t="str">
        <f>SCF!B21</f>
        <v>Current Assets</v>
      </c>
      <c r="H21" s="1" t="str">
        <f t="shared" ref="H21:H26" si="7">B21</f>
        <v>Current Assets</v>
      </c>
      <c r="I21" s="85"/>
      <c r="J21" s="85"/>
      <c r="K21" s="85"/>
      <c r="L21" s="85"/>
    </row>
    <row r="22" spans="2:12">
      <c r="B22" t="str">
        <f>SCF!B22</f>
        <v>Cash</v>
      </c>
      <c r="C22" s="3">
        <f>SCF!C22</f>
        <v>2.5</v>
      </c>
      <c r="D22" s="3">
        <f>SCF!D22</f>
        <v>6.25</v>
      </c>
      <c r="E22" s="3">
        <f>SCF!E22</f>
        <v>7.5</v>
      </c>
      <c r="F22" s="3">
        <f>SCF!F22</f>
        <v>10</v>
      </c>
      <c r="H22" t="str">
        <f t="shared" si="7"/>
        <v>Cash</v>
      </c>
      <c r="I22" s="59">
        <f>C22/C35</f>
        <v>0.04</v>
      </c>
      <c r="J22" s="59">
        <f>D22/D35</f>
        <v>7.1428571428571425E-2</v>
      </c>
      <c r="K22" s="59">
        <f>E22/E35</f>
        <v>7.4999999999999997E-2</v>
      </c>
      <c r="L22" s="59">
        <f t="shared" ref="L22" si="8">F22/F35</f>
        <v>8.8888888888888892E-2</v>
      </c>
    </row>
    <row r="23" spans="2:12">
      <c r="B23" t="str">
        <f>SCF!B23</f>
        <v>Accounts Receivable</v>
      </c>
      <c r="C23" s="3">
        <f>SCF!C23</f>
        <v>3.75</v>
      </c>
      <c r="D23" s="3">
        <f>SCF!D23</f>
        <v>8.75</v>
      </c>
      <c r="E23" s="3">
        <f>SCF!E23</f>
        <v>10</v>
      </c>
      <c r="F23" s="3">
        <f>SCF!F23</f>
        <v>13.75</v>
      </c>
      <c r="H23" t="str">
        <f t="shared" si="7"/>
        <v>Accounts Receivable</v>
      </c>
      <c r="I23" s="59">
        <f>C23/C35</f>
        <v>0.06</v>
      </c>
      <c r="J23" s="59">
        <f>D23/D35</f>
        <v>0.1</v>
      </c>
      <c r="K23" s="59">
        <f>E23/E35</f>
        <v>0.1</v>
      </c>
      <c r="L23" s="59">
        <f>F23/F35</f>
        <v>0.12222222222222222</v>
      </c>
    </row>
    <row r="24" spans="2:12">
      <c r="B24" t="str">
        <f>SCF!B24</f>
        <v>Inventories</v>
      </c>
      <c r="C24" s="3">
        <f>SCF!C24</f>
        <v>11.25</v>
      </c>
      <c r="D24" s="3">
        <f>SCF!D24</f>
        <v>16.875</v>
      </c>
      <c r="E24" s="3">
        <f>SCF!E24</f>
        <v>18.75</v>
      </c>
      <c r="F24" s="3">
        <f>SCF!F24</f>
        <v>15</v>
      </c>
      <c r="H24" t="str">
        <f t="shared" si="7"/>
        <v>Inventories</v>
      </c>
      <c r="I24" s="59">
        <f>C24/C35</f>
        <v>0.18</v>
      </c>
      <c r="J24" s="59">
        <f t="shared" ref="J24:L24" si="9">D24/D35</f>
        <v>0.19285714285714287</v>
      </c>
      <c r="K24" s="59">
        <f t="shared" si="9"/>
        <v>0.1875</v>
      </c>
      <c r="L24" s="59">
        <f t="shared" si="9"/>
        <v>0.13333333333333333</v>
      </c>
    </row>
    <row r="25" spans="2:12">
      <c r="B25" t="str">
        <f>SCF!B25</f>
        <v>Other Current Assets</v>
      </c>
      <c r="C25" s="3">
        <f>SCF!C25</f>
        <v>1.25</v>
      </c>
      <c r="D25" s="3">
        <f>SCF!D25</f>
        <v>3.75</v>
      </c>
      <c r="E25" s="3">
        <f>SCF!E25</f>
        <v>4.375</v>
      </c>
      <c r="F25" s="3">
        <f>SCF!F25</f>
        <v>7.5</v>
      </c>
      <c r="H25" t="str">
        <f t="shared" si="7"/>
        <v>Other Current Assets</v>
      </c>
      <c r="I25" s="59">
        <f>C25/C35</f>
        <v>0.02</v>
      </c>
      <c r="J25" s="59">
        <f t="shared" ref="J25:L25" si="10">D25/D35</f>
        <v>4.2857142857142858E-2</v>
      </c>
      <c r="K25" s="59">
        <f t="shared" si="10"/>
        <v>4.3749999999999997E-2</v>
      </c>
      <c r="L25" s="59">
        <f t="shared" si="10"/>
        <v>6.6666666666666666E-2</v>
      </c>
    </row>
    <row r="26" spans="2:12">
      <c r="B26" s="1" t="str">
        <f>SCF!B26</f>
        <v>Total Current Assets</v>
      </c>
      <c r="C26" s="8">
        <f>SUM(C22:C25)</f>
        <v>18.75</v>
      </c>
      <c r="D26" s="8">
        <f>SUM(D22:D25)</f>
        <v>35.625</v>
      </c>
      <c r="E26" s="8">
        <f>SUM(E22:E25)</f>
        <v>40.625</v>
      </c>
      <c r="F26" s="8">
        <f>SUM(F22:F25)</f>
        <v>46.25</v>
      </c>
      <c r="H26" s="1" t="str">
        <f t="shared" si="7"/>
        <v>Total Current Assets</v>
      </c>
      <c r="I26" s="59">
        <f>C26/C35</f>
        <v>0.3</v>
      </c>
      <c r="J26" s="59">
        <f t="shared" ref="J26:L26" si="11">D26/D35</f>
        <v>0.40714285714285714</v>
      </c>
      <c r="K26" s="59">
        <f t="shared" si="11"/>
        <v>0.40625</v>
      </c>
      <c r="L26" s="59">
        <f t="shared" si="11"/>
        <v>0.41111111111111109</v>
      </c>
    </row>
    <row r="27" spans="2:12">
      <c r="I27" s="89"/>
      <c r="J27" s="89"/>
      <c r="K27" s="89"/>
      <c r="L27" s="89"/>
    </row>
    <row r="28" spans="2:12">
      <c r="B28" s="1" t="str">
        <f>SCF!B28</f>
        <v>Long Term Assets</v>
      </c>
      <c r="C28" s="3"/>
      <c r="D28" s="3"/>
      <c r="E28" s="3"/>
      <c r="F28" s="3"/>
      <c r="H28" s="1" t="str">
        <f t="shared" ref="H28:H33" si="12">B28</f>
        <v>Long Term Assets</v>
      </c>
      <c r="I28" s="89"/>
      <c r="J28" s="89"/>
      <c r="K28" s="89"/>
      <c r="L28" s="89"/>
    </row>
    <row r="29" spans="2:12">
      <c r="B29" t="str">
        <f>SCF!B29</f>
        <v>PPE (Gross)</v>
      </c>
      <c r="C29" s="3">
        <f>SCF!C29</f>
        <v>75</v>
      </c>
      <c r="D29" s="3">
        <f>SCF!D29</f>
        <v>87.5</v>
      </c>
      <c r="E29" s="3">
        <f>SCF!E29</f>
        <v>100</v>
      </c>
      <c r="F29" s="3">
        <f>SCF!F29</f>
        <v>112.5</v>
      </c>
      <c r="H29" t="str">
        <f t="shared" si="12"/>
        <v>PPE (Gross)</v>
      </c>
      <c r="I29" s="59">
        <f>C29/C33</f>
        <v>1.7142857142857142</v>
      </c>
      <c r="J29" s="59">
        <f t="shared" ref="J29:L29" si="13">D29/D33</f>
        <v>1.6867469879518073</v>
      </c>
      <c r="K29" s="59">
        <f t="shared" si="13"/>
        <v>1.6842105263157894</v>
      </c>
      <c r="L29" s="59">
        <f t="shared" si="13"/>
        <v>1.6981132075471699</v>
      </c>
    </row>
    <row r="30" spans="2:12">
      <c r="B30" t="str">
        <f>SCF!B30</f>
        <v>Acc Dep</v>
      </c>
      <c r="C30" s="3">
        <f>SCF!C30</f>
        <v>37.5</v>
      </c>
      <c r="D30" s="3">
        <f>SCF!D30</f>
        <v>41.875</v>
      </c>
      <c r="E30" s="3">
        <f>SCF!E30</f>
        <v>46.875</v>
      </c>
      <c r="F30" s="3">
        <f>SCF!F30</f>
        <v>52.5</v>
      </c>
      <c r="H30" t="str">
        <f t="shared" si="12"/>
        <v>Acc Dep</v>
      </c>
      <c r="I30" s="59">
        <f>C30/C35</f>
        <v>0.6</v>
      </c>
      <c r="J30" s="59">
        <f t="shared" ref="J30:L30" si="14">D30/D35</f>
        <v>0.47857142857142859</v>
      </c>
      <c r="K30" s="59">
        <f t="shared" si="14"/>
        <v>0.46875</v>
      </c>
      <c r="L30" s="59">
        <f t="shared" si="14"/>
        <v>0.46666666666666667</v>
      </c>
    </row>
    <row r="31" spans="2:12">
      <c r="B31" t="str">
        <f>SCF!B31</f>
        <v>PPE (Net)</v>
      </c>
      <c r="C31" s="3">
        <f>C29-C30</f>
        <v>37.5</v>
      </c>
      <c r="D31" s="3">
        <f>D29-D30</f>
        <v>45.625</v>
      </c>
      <c r="E31" s="3">
        <f>E29-E30</f>
        <v>53.125</v>
      </c>
      <c r="F31" s="3">
        <f>F29-F30</f>
        <v>60</v>
      </c>
      <c r="H31" t="str">
        <f t="shared" si="12"/>
        <v>PPE (Net)</v>
      </c>
      <c r="I31" s="59">
        <f>C31/C33</f>
        <v>0.8571428571428571</v>
      </c>
      <c r="J31" s="59">
        <f t="shared" ref="J31:L31" si="15">D31/D33</f>
        <v>0.87951807228915657</v>
      </c>
      <c r="K31" s="59">
        <f t="shared" si="15"/>
        <v>0.89473684210526316</v>
      </c>
      <c r="L31" s="59">
        <f t="shared" si="15"/>
        <v>0.90566037735849059</v>
      </c>
    </row>
    <row r="32" spans="2:12">
      <c r="B32" t="str">
        <f>SCF!B32</f>
        <v>Goodwill</v>
      </c>
      <c r="C32" s="3">
        <f>SCF!C32</f>
        <v>6.25</v>
      </c>
      <c r="D32" s="3">
        <f>SCF!D32</f>
        <v>6.25</v>
      </c>
      <c r="E32" s="3">
        <f>SCF!E32</f>
        <v>6.25</v>
      </c>
      <c r="F32" s="3">
        <f>SCF!F32</f>
        <v>6.25</v>
      </c>
      <c r="H32" t="str">
        <f t="shared" si="12"/>
        <v>Goodwill</v>
      </c>
      <c r="I32" s="59">
        <f>C32/C35</f>
        <v>0.1</v>
      </c>
      <c r="J32" s="59">
        <f t="shared" ref="J32:L32" si="16">D32/D35</f>
        <v>7.1428571428571425E-2</v>
      </c>
      <c r="K32" s="59">
        <f t="shared" si="16"/>
        <v>6.25E-2</v>
      </c>
      <c r="L32" s="59">
        <f t="shared" si="16"/>
        <v>5.5555555555555552E-2</v>
      </c>
    </row>
    <row r="33" spans="2:12">
      <c r="B33" s="1" t="str">
        <f>SCF!B33</f>
        <v>Total Long Term Assets</v>
      </c>
      <c r="C33" s="8">
        <f>SUM(C31:C32)</f>
        <v>43.75</v>
      </c>
      <c r="D33" s="8">
        <f>SUM(D31:D32)</f>
        <v>51.875</v>
      </c>
      <c r="E33" s="8">
        <f>SUM(E31:E32)</f>
        <v>59.375</v>
      </c>
      <c r="F33" s="8">
        <f>SUM(F31:F32)</f>
        <v>66.25</v>
      </c>
      <c r="H33" s="1" t="str">
        <f t="shared" si="12"/>
        <v>Total Long Term Assets</v>
      </c>
      <c r="I33" s="59">
        <f>C33/C35</f>
        <v>0.7</v>
      </c>
      <c r="J33" s="59">
        <f t="shared" ref="J33:L33" si="17">D33/D35</f>
        <v>0.59285714285714286</v>
      </c>
      <c r="K33" s="59">
        <f t="shared" si="17"/>
        <v>0.59375</v>
      </c>
      <c r="L33" s="59">
        <f t="shared" si="17"/>
        <v>0.58888888888888891</v>
      </c>
    </row>
    <row r="34" spans="2:12">
      <c r="C34" s="3"/>
      <c r="D34" s="3"/>
      <c r="E34" s="3"/>
      <c r="F34" s="3"/>
      <c r="I34" s="89"/>
      <c r="J34" s="89"/>
      <c r="K34" s="89"/>
      <c r="L34" s="89"/>
    </row>
    <row r="35" spans="2:12">
      <c r="B35" s="1" t="str">
        <f>SCF!B35</f>
        <v>Total Assets</v>
      </c>
      <c r="C35" s="8">
        <f>C26+C33</f>
        <v>62.5</v>
      </c>
      <c r="D35" s="8">
        <f>D26+D33</f>
        <v>87.5</v>
      </c>
      <c r="E35" s="8">
        <f>E26+E33</f>
        <v>100</v>
      </c>
      <c r="F35" s="8">
        <f>F26+F33</f>
        <v>112.5</v>
      </c>
      <c r="H35" s="1" t="str">
        <f>B35</f>
        <v>Total Assets</v>
      </c>
      <c r="I35" s="59">
        <f>C35/C35</f>
        <v>1</v>
      </c>
      <c r="J35" s="59">
        <f t="shared" ref="J35:L35" si="18">D35/D35</f>
        <v>1</v>
      </c>
      <c r="K35" s="59">
        <f t="shared" si="18"/>
        <v>1</v>
      </c>
      <c r="L35" s="59">
        <f t="shared" si="18"/>
        <v>1</v>
      </c>
    </row>
    <row r="36" spans="2:12">
      <c r="C36" s="3"/>
      <c r="D36" s="3"/>
      <c r="E36" s="3"/>
      <c r="F36" s="3"/>
      <c r="I36" s="89"/>
      <c r="J36" s="89"/>
      <c r="K36" s="89"/>
      <c r="L36" s="89"/>
    </row>
    <row r="37" spans="2:12">
      <c r="B37" s="1" t="str">
        <f>SCF!B37</f>
        <v>Current Liabilities</v>
      </c>
      <c r="C37" s="3"/>
      <c r="D37" s="3"/>
      <c r="E37" s="3"/>
      <c r="F37" s="3"/>
      <c r="H37" s="1" t="str">
        <f>B37</f>
        <v>Current Liabilities</v>
      </c>
      <c r="I37" s="89"/>
      <c r="J37" s="89"/>
      <c r="K37" s="89"/>
      <c r="L37" s="89"/>
    </row>
    <row r="38" spans="2:12">
      <c r="B38" t="str">
        <f>SCF!B38</f>
        <v>Accounts Payable</v>
      </c>
      <c r="C38" s="3">
        <f>SCF!C38</f>
        <v>6.25</v>
      </c>
      <c r="D38" s="3">
        <f>SCF!D38</f>
        <v>15</v>
      </c>
      <c r="E38" s="3">
        <f>SCF!E38</f>
        <v>31.25</v>
      </c>
      <c r="F38" s="3">
        <f>SCF!F38</f>
        <v>32.5</v>
      </c>
      <c r="H38" t="str">
        <f>B38</f>
        <v>Accounts Payable</v>
      </c>
      <c r="I38" s="59">
        <f>C38/C53</f>
        <v>0.1</v>
      </c>
      <c r="J38" s="59">
        <f t="shared" ref="J38:L38" si="19">D38/D53</f>
        <v>0.17142857142857143</v>
      </c>
      <c r="K38" s="59">
        <f t="shared" si="19"/>
        <v>0.3125</v>
      </c>
      <c r="L38" s="59">
        <f t="shared" si="19"/>
        <v>0.28888888888888886</v>
      </c>
    </row>
    <row r="39" spans="2:12">
      <c r="B39" t="str">
        <f>SCF!B39</f>
        <v>Notes Payable</v>
      </c>
      <c r="C39" s="3">
        <f>SCF!C39</f>
        <v>3.75</v>
      </c>
      <c r="D39" s="3">
        <f>SCF!D39</f>
        <v>16.25</v>
      </c>
      <c r="E39" s="3">
        <f>SCF!E39</f>
        <v>10</v>
      </c>
      <c r="F39" s="3">
        <f>SCF!F39</f>
        <v>22.5</v>
      </c>
      <c r="H39" t="str">
        <f>B39</f>
        <v>Notes Payable</v>
      </c>
      <c r="I39" s="59">
        <f>C39/C53</f>
        <v>0.06</v>
      </c>
      <c r="J39" s="59">
        <f t="shared" ref="J39:L39" si="20">D39/D53</f>
        <v>0.18571428571428572</v>
      </c>
      <c r="K39" s="59">
        <f t="shared" si="20"/>
        <v>0.1</v>
      </c>
      <c r="L39" s="59">
        <f t="shared" si="20"/>
        <v>0.2</v>
      </c>
    </row>
    <row r="40" spans="2:12">
      <c r="B40" t="str">
        <f>SCF!B40</f>
        <v>Current Portion of LTD</v>
      </c>
      <c r="C40" s="3">
        <f>SCF!C40</f>
        <v>5</v>
      </c>
      <c r="D40" s="3">
        <f>SCF!D40</f>
        <v>5</v>
      </c>
      <c r="E40" s="3">
        <f>SCF!E40</f>
        <v>5</v>
      </c>
      <c r="F40" s="3">
        <f>SCF!F40</f>
        <v>5</v>
      </c>
      <c r="H40" t="str">
        <f>B40</f>
        <v>Current Portion of LTD</v>
      </c>
      <c r="I40" s="59">
        <f>C40/C53</f>
        <v>0.08</v>
      </c>
      <c r="J40" s="59">
        <f t="shared" ref="J40:L40" si="21">D40/D53</f>
        <v>5.7142857142857141E-2</v>
      </c>
      <c r="K40" s="59">
        <f t="shared" si="21"/>
        <v>0.05</v>
      </c>
      <c r="L40" s="59">
        <f t="shared" si="21"/>
        <v>4.4444444444444446E-2</v>
      </c>
    </row>
    <row r="41" spans="2:12">
      <c r="B41" s="1" t="str">
        <f>SCF!B41</f>
        <v>Total Current Liabilities</v>
      </c>
      <c r="C41" s="8">
        <f>SUM(C38:C40)</f>
        <v>15</v>
      </c>
      <c r="D41" s="8">
        <f>SUM(D38:D40)</f>
        <v>36.25</v>
      </c>
      <c r="E41" s="8">
        <f>SUM(E38:E40)</f>
        <v>46.25</v>
      </c>
      <c r="F41" s="8">
        <f>SUM(F38:F40)</f>
        <v>60</v>
      </c>
      <c r="H41" s="1" t="str">
        <f>B41</f>
        <v>Total Current Liabilities</v>
      </c>
      <c r="I41" s="59">
        <f>C41/C53</f>
        <v>0.24</v>
      </c>
      <c r="J41" s="59">
        <f t="shared" ref="J41:L41" si="22">D41/D53</f>
        <v>0.41428571428571431</v>
      </c>
      <c r="K41" s="59">
        <f t="shared" si="22"/>
        <v>0.46250000000000002</v>
      </c>
      <c r="L41" s="59">
        <f t="shared" si="22"/>
        <v>0.53333333333333333</v>
      </c>
    </row>
    <row r="42" spans="2:12">
      <c r="C42" s="3"/>
      <c r="D42" s="3"/>
      <c r="E42" s="3"/>
      <c r="F42" s="3"/>
      <c r="I42" s="89"/>
      <c r="J42" s="89"/>
      <c r="K42" s="89"/>
      <c r="L42" s="89"/>
    </row>
    <row r="43" spans="2:12">
      <c r="B43" s="1" t="str">
        <f>SCF!B43</f>
        <v>Long Term Liabilities</v>
      </c>
      <c r="C43" s="3"/>
      <c r="D43" s="3"/>
      <c r="E43" s="3"/>
      <c r="F43" s="3"/>
      <c r="H43" s="1" t="str">
        <f>B43</f>
        <v>Long Term Liabilities</v>
      </c>
      <c r="I43" s="89"/>
      <c r="J43" s="89"/>
      <c r="K43" s="89"/>
      <c r="L43" s="89"/>
    </row>
    <row r="44" spans="2:12">
      <c r="B44" t="str">
        <f>SCF!B44</f>
        <v>Long Term Loan</v>
      </c>
      <c r="C44" s="3">
        <f>SCF!C44</f>
        <v>25</v>
      </c>
      <c r="D44" s="3">
        <f>SCF!D44</f>
        <v>20</v>
      </c>
      <c r="E44" s="3">
        <f>SCF!E44</f>
        <v>15</v>
      </c>
      <c r="F44" s="3">
        <f>SCF!F44</f>
        <v>10</v>
      </c>
      <c r="H44" t="str">
        <f>B44</f>
        <v>Long Term Loan</v>
      </c>
      <c r="I44" s="59">
        <f>C44/C53</f>
        <v>0.4</v>
      </c>
      <c r="J44" s="59">
        <f t="shared" ref="J44:L44" si="23">D44/D53</f>
        <v>0.22857142857142856</v>
      </c>
      <c r="K44" s="59">
        <f t="shared" si="23"/>
        <v>0.15</v>
      </c>
      <c r="L44" s="59">
        <f t="shared" si="23"/>
        <v>8.8888888888888892E-2</v>
      </c>
    </row>
    <row r="45" spans="2:12">
      <c r="B45" t="str">
        <f>SCF!B45</f>
        <v>Bonds Payable</v>
      </c>
      <c r="C45" s="3">
        <f>SCF!C45</f>
        <v>7.5</v>
      </c>
      <c r="D45" s="3">
        <f>SCF!D45</f>
        <v>10</v>
      </c>
      <c r="E45" s="3">
        <f>SCF!E45</f>
        <v>10</v>
      </c>
      <c r="F45" s="3">
        <f>SCF!F45</f>
        <v>10</v>
      </c>
      <c r="H45" t="str">
        <f>B45</f>
        <v>Bonds Payable</v>
      </c>
      <c r="I45" s="59">
        <f>C45/C53</f>
        <v>0.12</v>
      </c>
      <c r="J45" s="59">
        <f t="shared" ref="J45:L45" si="24">D45/D53</f>
        <v>0.11428571428571428</v>
      </c>
      <c r="K45" s="59">
        <f t="shared" si="24"/>
        <v>0.1</v>
      </c>
      <c r="L45" s="59">
        <f t="shared" si="24"/>
        <v>8.8888888888888892E-2</v>
      </c>
    </row>
    <row r="46" spans="2:12">
      <c r="B46" s="1" t="str">
        <f>SCF!B46</f>
        <v>Total Long Term Liabilities</v>
      </c>
      <c r="C46" s="8">
        <f>SUM(C44:C45)</f>
        <v>32.5</v>
      </c>
      <c r="D46" s="8">
        <f>SUM(D44:D45)</f>
        <v>30</v>
      </c>
      <c r="E46" s="8">
        <f>SUM(E44:E45)</f>
        <v>25</v>
      </c>
      <c r="F46" s="8">
        <f>SUM(F44:F45)</f>
        <v>20</v>
      </c>
      <c r="H46" s="1" t="str">
        <f>B46</f>
        <v>Total Long Term Liabilities</v>
      </c>
      <c r="I46" s="89">
        <f>C46/C53</f>
        <v>0.52</v>
      </c>
      <c r="J46" s="89">
        <f t="shared" ref="J46:L46" si="25">D46/D53</f>
        <v>0.34285714285714286</v>
      </c>
      <c r="K46" s="89">
        <f t="shared" si="25"/>
        <v>0.25</v>
      </c>
      <c r="L46" s="89">
        <f t="shared" si="25"/>
        <v>0.17777777777777778</v>
      </c>
    </row>
    <row r="47" spans="2:12">
      <c r="C47" s="3"/>
      <c r="D47" s="3"/>
      <c r="E47" s="3"/>
      <c r="F47" s="3"/>
      <c r="I47" s="89"/>
      <c r="J47" s="89"/>
      <c r="K47" s="89"/>
      <c r="L47" s="89"/>
    </row>
    <row r="48" spans="2:12">
      <c r="B48" s="1" t="str">
        <f>SCF!B48</f>
        <v>Shareholders' Equity</v>
      </c>
      <c r="C48" s="3"/>
      <c r="D48" s="3"/>
      <c r="E48" s="3"/>
      <c r="F48" s="3"/>
      <c r="H48" s="1" t="str">
        <f>B48</f>
        <v>Shareholders' Equity</v>
      </c>
      <c r="I48" s="89"/>
      <c r="J48" s="89"/>
      <c r="K48" s="89"/>
      <c r="L48" s="89"/>
    </row>
    <row r="49" spans="2:12">
      <c r="B49" t="str">
        <f>SCF!B49</f>
        <v>Contributed Capital</v>
      </c>
      <c r="C49" s="3">
        <f>SCF!C49</f>
        <v>10</v>
      </c>
      <c r="D49" s="3">
        <f>SCF!D49</f>
        <v>12.5</v>
      </c>
      <c r="E49" s="3">
        <f>SCF!E49</f>
        <v>12.5</v>
      </c>
      <c r="F49" s="3">
        <f>SCF!F49</f>
        <v>15</v>
      </c>
      <c r="H49" t="str">
        <f>B49</f>
        <v>Contributed Capital</v>
      </c>
      <c r="I49" s="59">
        <f>C49/C53</f>
        <v>0.16</v>
      </c>
      <c r="J49" s="59">
        <f t="shared" ref="J49:L49" si="26">D49/D53</f>
        <v>0.14285714285714285</v>
      </c>
      <c r="K49" s="59">
        <f t="shared" si="26"/>
        <v>0.125</v>
      </c>
      <c r="L49" s="59">
        <f t="shared" si="26"/>
        <v>0.13333333333333333</v>
      </c>
    </row>
    <row r="50" spans="2:12">
      <c r="B50" t="str">
        <f>SCF!B50</f>
        <v>Retained Earnings</v>
      </c>
      <c r="C50" s="3">
        <f>SCF!C50</f>
        <v>5</v>
      </c>
      <c r="D50" s="3">
        <f>C50+D14</f>
        <v>8.75</v>
      </c>
      <c r="E50" s="3">
        <f>D50+E14</f>
        <v>16.25</v>
      </c>
      <c r="F50" s="3">
        <f>E50+F14</f>
        <v>17.5</v>
      </c>
      <c r="H50" t="str">
        <f>B50</f>
        <v>Retained Earnings</v>
      </c>
      <c r="I50" s="59">
        <f>C50/C53</f>
        <v>0.08</v>
      </c>
      <c r="J50" s="59">
        <f t="shared" ref="J50:L50" si="27">D50/D53</f>
        <v>0.1</v>
      </c>
      <c r="K50" s="59">
        <f t="shared" si="27"/>
        <v>0.16250000000000001</v>
      </c>
      <c r="L50" s="59">
        <f t="shared" si="27"/>
        <v>0.15555555555555556</v>
      </c>
    </row>
    <row r="51" spans="2:12">
      <c r="B51" s="1" t="str">
        <f>SCF!B51</f>
        <v>Total Shareholders' Equity</v>
      </c>
      <c r="C51" s="8">
        <f>SUM(C49:C50)</f>
        <v>15</v>
      </c>
      <c r="D51" s="8">
        <f>SUM(D49:D50)</f>
        <v>21.25</v>
      </c>
      <c r="E51" s="8">
        <f>SUM(E49:E50)</f>
        <v>28.75</v>
      </c>
      <c r="F51" s="8">
        <f>SUM(F49:F50)</f>
        <v>32.5</v>
      </c>
      <c r="H51" s="1" t="str">
        <f>B51</f>
        <v>Total Shareholders' Equity</v>
      </c>
      <c r="I51" s="59">
        <f>C51/C53</f>
        <v>0.24</v>
      </c>
      <c r="J51" s="59">
        <f t="shared" ref="J51:L51" si="28">D51/D53</f>
        <v>0.24285714285714285</v>
      </c>
      <c r="K51" s="59">
        <f t="shared" si="28"/>
        <v>0.28749999999999998</v>
      </c>
      <c r="L51" s="59">
        <f t="shared" si="28"/>
        <v>0.28888888888888886</v>
      </c>
    </row>
    <row r="52" spans="2:12">
      <c r="C52" s="3"/>
      <c r="D52" s="3"/>
      <c r="E52" s="3"/>
      <c r="F52" s="3"/>
      <c r="I52" s="89"/>
      <c r="J52" s="89"/>
      <c r="K52" s="89"/>
      <c r="L52" s="89"/>
    </row>
    <row r="53" spans="2:12">
      <c r="B53" s="1" t="str">
        <f>SCF!B53</f>
        <v>Total Liabilities and Equity</v>
      </c>
      <c r="C53" s="8">
        <f>C41+C46+C51</f>
        <v>62.5</v>
      </c>
      <c r="D53" s="8">
        <f>D41+D46+D51</f>
        <v>87.5</v>
      </c>
      <c r="E53" s="8">
        <f>E41+E46+E51</f>
        <v>100</v>
      </c>
      <c r="F53" s="8">
        <f>F41+F46+F51</f>
        <v>112.5</v>
      </c>
      <c r="H53" s="1" t="str">
        <f>B53</f>
        <v>Total Liabilities and Equity</v>
      </c>
      <c r="I53" s="59">
        <f>C53/C53</f>
        <v>1</v>
      </c>
      <c r="J53" s="59">
        <f t="shared" ref="J53:L53" si="29">D53/D53</f>
        <v>1</v>
      </c>
      <c r="K53" s="59">
        <f t="shared" si="29"/>
        <v>1</v>
      </c>
      <c r="L53" s="59">
        <f t="shared" si="29"/>
        <v>1</v>
      </c>
    </row>
    <row r="54" spans="2:12">
      <c r="C54" s="3"/>
      <c r="D54" s="3"/>
      <c r="E54" s="3"/>
      <c r="F54" s="3"/>
    </row>
    <row r="55" spans="2:12">
      <c r="B55" s="1" t="str">
        <f>SCF!B55</f>
        <v>Balance</v>
      </c>
      <c r="C55" s="17">
        <f>C35-C53</f>
        <v>0</v>
      </c>
      <c r="D55" s="17">
        <f>D35-D53</f>
        <v>0</v>
      </c>
      <c r="E55" s="17">
        <f>E35-E53</f>
        <v>0</v>
      </c>
      <c r="F55" s="17">
        <f>F35-F53</f>
        <v>0</v>
      </c>
    </row>
  </sheetData>
  <mergeCells count="4">
    <mergeCell ref="B1:F1"/>
    <mergeCell ref="H1:L1"/>
    <mergeCell ref="B19:F19"/>
    <mergeCell ref="H19:L1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N61"/>
  <sheetViews>
    <sheetView showGridLines="0" workbookViewId="0">
      <selection activeCell="R30" sqref="R30"/>
    </sheetView>
  </sheetViews>
  <sheetFormatPr defaultColWidth="8.88671875" defaultRowHeight="14.4"/>
  <cols>
    <col min="1" max="1" width="4.44140625" customWidth="1"/>
    <col min="2" max="2" width="37.44140625" customWidth="1"/>
    <col min="3" max="6" width="9.44140625" customWidth="1"/>
    <col min="7" max="7" width="9.109375" customWidth="1"/>
    <col min="8" max="8" width="23.88671875" customWidth="1"/>
    <col min="9" max="9" width="7.33203125" customWidth="1"/>
    <col min="10" max="13" width="9.109375" customWidth="1"/>
  </cols>
  <sheetData>
    <row r="1" spans="1:14">
      <c r="B1" s="111" t="s">
        <v>81</v>
      </c>
      <c r="C1" s="111"/>
      <c r="D1" s="111"/>
      <c r="E1" s="111"/>
      <c r="F1" s="111"/>
      <c r="H1" s="111" t="s">
        <v>130</v>
      </c>
      <c r="I1" s="111"/>
      <c r="J1" s="111"/>
      <c r="K1" s="111"/>
      <c r="L1" s="111"/>
      <c r="M1" s="111"/>
    </row>
    <row r="2" spans="1:14" ht="15.6">
      <c r="B2" s="9"/>
      <c r="C2" s="9">
        <f>SCF!C2</f>
        <v>2019</v>
      </c>
      <c r="D2" s="9">
        <f>SCF!D2</f>
        <v>2020</v>
      </c>
      <c r="E2" s="9">
        <f>SCF!E2</f>
        <v>2021</v>
      </c>
      <c r="F2" s="9">
        <f>SCF!F2</f>
        <v>2022</v>
      </c>
      <c r="H2" s="9"/>
      <c r="I2" s="9" t="s">
        <v>131</v>
      </c>
      <c r="J2" s="40">
        <f>C2</f>
        <v>2019</v>
      </c>
      <c r="K2" s="40">
        <f>D2</f>
        <v>2020</v>
      </c>
      <c r="L2" s="40">
        <f>E2</f>
        <v>2021</v>
      </c>
      <c r="M2" s="40">
        <f>F2</f>
        <v>2022</v>
      </c>
    </row>
    <row r="3" spans="1:14">
      <c r="B3" t="str">
        <f>SCF!B3</f>
        <v>Sales</v>
      </c>
      <c r="C3" s="3">
        <f>SCF!C3</f>
        <v>50</v>
      </c>
      <c r="D3" s="3">
        <f>SCF!D3</f>
        <v>75</v>
      </c>
      <c r="E3" s="3">
        <f>SCF!E3</f>
        <v>100</v>
      </c>
      <c r="F3" s="3">
        <f>SCF!F3</f>
        <v>125</v>
      </c>
      <c r="H3" s="1" t="s">
        <v>132</v>
      </c>
      <c r="J3" s="85"/>
      <c r="K3" s="85"/>
      <c r="L3" s="85"/>
      <c r="M3" s="85"/>
    </row>
    <row r="4" spans="1:14">
      <c r="B4" t="str">
        <f>SCF!B4</f>
        <v>Cost of Goods Sold (COGS)</v>
      </c>
      <c r="C4" s="3">
        <f>SCF!C4</f>
        <v>37.5</v>
      </c>
      <c r="D4" s="3">
        <f>SCF!D4</f>
        <v>50</v>
      </c>
      <c r="E4" s="3">
        <f>SCF!E4</f>
        <v>62.5</v>
      </c>
      <c r="F4" s="3">
        <f>SCF!F4</f>
        <v>100</v>
      </c>
      <c r="H4" s="4" t="s">
        <v>133</v>
      </c>
      <c r="I4" t="s">
        <v>134</v>
      </c>
      <c r="J4" s="58">
        <f>C26/C41</f>
        <v>1.25</v>
      </c>
      <c r="K4" s="58">
        <f>D26/D41</f>
        <v>0.98275862068965514</v>
      </c>
      <c r="L4" s="58">
        <f>E26/E41</f>
        <v>0.8783783783783784</v>
      </c>
      <c r="M4" s="58">
        <f>F26/F41</f>
        <v>0.77083333333333337</v>
      </c>
      <c r="N4" s="102"/>
    </row>
    <row r="5" spans="1:14">
      <c r="B5" s="1" t="str">
        <f>SCF!B5</f>
        <v>Gross Profit</v>
      </c>
      <c r="C5" s="8">
        <f>C3-C4</f>
        <v>12.5</v>
      </c>
      <c r="D5" s="8">
        <f>D3-D4</f>
        <v>25</v>
      </c>
      <c r="E5" s="8">
        <f>E3-E4</f>
        <v>37.5</v>
      </c>
      <c r="F5" s="8">
        <f>F3-F4</f>
        <v>25</v>
      </c>
      <c r="H5" t="s">
        <v>135</v>
      </c>
      <c r="I5" t="s">
        <v>134</v>
      </c>
      <c r="J5" s="58">
        <f>(C26-C24)/C41</f>
        <v>0.5</v>
      </c>
      <c r="K5" s="58">
        <f>(D26-D24)/D41</f>
        <v>0.51724137931034486</v>
      </c>
      <c r="L5" s="58">
        <f>(E26-E24)/E41</f>
        <v>0.47297297297297297</v>
      </c>
      <c r="M5" s="58">
        <f t="shared" ref="M5" si="0">(F26-F24)/F41</f>
        <v>0.52083333333333337</v>
      </c>
      <c r="N5" s="102"/>
    </row>
    <row r="6" spans="1:14">
      <c r="B6" t="str">
        <f>SCF!B6</f>
        <v>Selling, General &amp; Administrative Expenses</v>
      </c>
      <c r="C6" s="3">
        <f>SCF!C6</f>
        <v>2.625</v>
      </c>
      <c r="D6" s="3">
        <f>SCF!D6</f>
        <v>4.625</v>
      </c>
      <c r="E6" s="3">
        <f>SCF!E6</f>
        <v>7</v>
      </c>
      <c r="F6" s="3">
        <f>SCF!F6</f>
        <v>8.125</v>
      </c>
      <c r="H6" t="s">
        <v>136</v>
      </c>
      <c r="I6" t="s">
        <v>134</v>
      </c>
      <c r="J6" s="58">
        <f>C22/C41</f>
        <v>0.16666666666666666</v>
      </c>
      <c r="K6" s="58">
        <f t="shared" ref="K6:M6" si="1">D22/D41</f>
        <v>0.17241379310344829</v>
      </c>
      <c r="L6" s="58">
        <f t="shared" si="1"/>
        <v>0.16216216216216217</v>
      </c>
      <c r="M6" s="58">
        <f t="shared" si="1"/>
        <v>0.16666666666666666</v>
      </c>
    </row>
    <row r="7" spans="1:14">
      <c r="A7" s="2"/>
      <c r="B7" t="str">
        <f>SCF!B7</f>
        <v>Depreciation</v>
      </c>
      <c r="C7" s="3">
        <f>SCF!C7</f>
        <v>3.75</v>
      </c>
      <c r="D7" s="3">
        <f>SCF!D7</f>
        <v>4.375</v>
      </c>
      <c r="E7" s="3">
        <f>SCF!E7</f>
        <v>5</v>
      </c>
      <c r="F7" s="3">
        <f>SCF!F7</f>
        <v>5.625</v>
      </c>
      <c r="H7" t="s">
        <v>137</v>
      </c>
      <c r="I7" t="s">
        <v>138</v>
      </c>
      <c r="J7" s="58">
        <f>C26-C41</f>
        <v>3.75</v>
      </c>
      <c r="K7" s="58">
        <f>D26-D41</f>
        <v>-0.625</v>
      </c>
      <c r="L7" s="58">
        <f t="shared" ref="L7" si="2">E26-E41</f>
        <v>-5.625</v>
      </c>
      <c r="M7" s="58">
        <f>F26-F41</f>
        <v>-13.75</v>
      </c>
    </row>
    <row r="8" spans="1:14">
      <c r="B8" s="1" t="str">
        <f>SCF!B8</f>
        <v>Earnings Before Interest and Tax (EBIT)</v>
      </c>
      <c r="C8" s="8">
        <f>C5-SUM(C6:C7)</f>
        <v>6.125</v>
      </c>
      <c r="D8" s="8">
        <f>D5-SUM(D6:D7)</f>
        <v>16</v>
      </c>
      <c r="E8" s="8">
        <f>E5-SUM(E6:E7)</f>
        <v>25.5</v>
      </c>
      <c r="F8" s="8">
        <f>F5-SUM(F6:F7)</f>
        <v>11.25</v>
      </c>
      <c r="H8" t="s">
        <v>139</v>
      </c>
      <c r="I8" t="s">
        <v>140</v>
      </c>
      <c r="J8" s="59">
        <f>J7/C35</f>
        <v>0.06</v>
      </c>
      <c r="K8" s="59">
        <f>K7/D35</f>
        <v>-7.1428571428571426E-3</v>
      </c>
      <c r="L8" s="59">
        <f>L7/E35</f>
        <v>-5.6250000000000001E-2</v>
      </c>
      <c r="M8" s="59">
        <f>M7/F35</f>
        <v>-0.12222222222222222</v>
      </c>
    </row>
    <row r="9" spans="1:14">
      <c r="A9" s="2"/>
      <c r="B9" t="str">
        <f>SCF!B9</f>
        <v>Interest expense</v>
      </c>
      <c r="C9" s="3">
        <f>SCF!C9</f>
        <v>3.6250000000000004</v>
      </c>
      <c r="D9" s="3">
        <f>SCF!D9</f>
        <v>3.5000000000000004</v>
      </c>
      <c r="E9" s="3">
        <f>SCF!E9</f>
        <v>3.0000000000000004</v>
      </c>
      <c r="F9" s="3">
        <f>SCF!F9</f>
        <v>2.5</v>
      </c>
      <c r="H9" t="s">
        <v>141</v>
      </c>
      <c r="I9" t="s">
        <v>142</v>
      </c>
      <c r="J9" s="58">
        <f>C26/(SUM(C6,C4,C7)/365)</f>
        <v>155.98290598290598</v>
      </c>
      <c r="K9" s="58">
        <f>D26/(SUM(D6,D4,D7)/365)</f>
        <v>220.39194915254237</v>
      </c>
      <c r="L9" s="58">
        <f t="shared" ref="L9:M9" si="3">E26/(SUM(E6,E4,E7)/365)</f>
        <v>199.03523489932886</v>
      </c>
      <c r="M9" s="58">
        <f t="shared" si="3"/>
        <v>148.4065934065934</v>
      </c>
    </row>
    <row r="10" spans="1:14">
      <c r="B10" s="1" t="str">
        <f>SCF!B10</f>
        <v>Earnings Before Tax (EBT)</v>
      </c>
      <c r="C10" s="8">
        <f>C8-C9</f>
        <v>2.4999999999999996</v>
      </c>
      <c r="D10" s="8">
        <f>D8-D9</f>
        <v>12.5</v>
      </c>
      <c r="E10" s="8">
        <f>E8-E9</f>
        <v>22.5</v>
      </c>
      <c r="F10" s="8">
        <f>F8-F9</f>
        <v>8.75</v>
      </c>
      <c r="J10" s="85"/>
      <c r="K10" s="85"/>
      <c r="L10" s="85"/>
      <c r="M10" s="85"/>
    </row>
    <row r="11" spans="1:14">
      <c r="A11" s="15">
        <f>SCF!A11</f>
        <v>0.3</v>
      </c>
      <c r="B11" t="str">
        <f>SCF!B11</f>
        <v>Tax expense</v>
      </c>
      <c r="C11" s="3">
        <f>C10*$A$11</f>
        <v>0.74999999999999989</v>
      </c>
      <c r="D11" s="3">
        <f>D10*$A$11</f>
        <v>3.75</v>
      </c>
      <c r="E11" s="3">
        <f>E10*$A$11</f>
        <v>6.75</v>
      </c>
      <c r="F11" s="3">
        <f>F10*$A$11</f>
        <v>2.625</v>
      </c>
      <c r="H11" s="1" t="s">
        <v>143</v>
      </c>
      <c r="J11" s="85"/>
      <c r="K11" s="85"/>
      <c r="L11" s="85"/>
      <c r="M11" s="85"/>
    </row>
    <row r="12" spans="1:14">
      <c r="B12" s="1" t="str">
        <f>SCF!B12</f>
        <v>Net Income (NI)</v>
      </c>
      <c r="C12" s="8">
        <f>C10-C11</f>
        <v>1.7499999999999996</v>
      </c>
      <c r="D12" s="8">
        <f>D10-D11</f>
        <v>8.75</v>
      </c>
      <c r="E12" s="8">
        <f>E10-E11</f>
        <v>15.75</v>
      </c>
      <c r="F12" s="8">
        <f>F10-F11</f>
        <v>6.125</v>
      </c>
      <c r="H12" t="s">
        <v>144</v>
      </c>
      <c r="I12" t="s">
        <v>140</v>
      </c>
      <c r="J12" s="59">
        <f>C5/C3</f>
        <v>0.25</v>
      </c>
      <c r="K12" s="59">
        <f>D5/D3</f>
        <v>0.33333333333333331</v>
      </c>
      <c r="L12" s="59">
        <f>E5/E3</f>
        <v>0.375</v>
      </c>
      <c r="M12" s="59">
        <f>F5/F3</f>
        <v>0.2</v>
      </c>
    </row>
    <row r="13" spans="1:14">
      <c r="B13" t="str">
        <f>SCF!B13</f>
        <v>Dividends (in million $)</v>
      </c>
      <c r="C13" s="3">
        <f>SCF!C13</f>
        <v>1.25</v>
      </c>
      <c r="D13" s="3">
        <f>SCF!D13</f>
        <v>5</v>
      </c>
      <c r="E13" s="3">
        <f>SCF!E13</f>
        <v>8.25</v>
      </c>
      <c r="F13" s="3">
        <f>SCF!F13</f>
        <v>4.875</v>
      </c>
      <c r="H13" t="s">
        <v>145</v>
      </c>
      <c r="I13" t="s">
        <v>140</v>
      </c>
      <c r="J13" s="59">
        <f>C8/C3</f>
        <v>0.1225</v>
      </c>
      <c r="K13" s="59">
        <f>D8/D3</f>
        <v>0.21333333333333335</v>
      </c>
      <c r="L13" s="59">
        <f>E8/E3</f>
        <v>0.255</v>
      </c>
      <c r="M13" s="59">
        <f>F8/F3</f>
        <v>0.09</v>
      </c>
    </row>
    <row r="14" spans="1:14">
      <c r="B14" t="str">
        <f>SCF!B14</f>
        <v>Additional Retained Earnings (in million $)</v>
      </c>
      <c r="C14" s="3">
        <f>C12-C13</f>
        <v>0.49999999999999956</v>
      </c>
      <c r="D14" s="3">
        <f>D12-D13</f>
        <v>3.75</v>
      </c>
      <c r="E14" s="3">
        <f>E12-E13</f>
        <v>7.5</v>
      </c>
      <c r="F14" s="3">
        <f>F12-F13</f>
        <v>1.25</v>
      </c>
      <c r="H14" t="s">
        <v>146</v>
      </c>
      <c r="I14" t="s">
        <v>140</v>
      </c>
      <c r="J14" s="59">
        <f>C12/C3</f>
        <v>3.4999999999999989E-2</v>
      </c>
      <c r="K14" s="59">
        <f>D12/D3</f>
        <v>0.11666666666666667</v>
      </c>
      <c r="L14" s="59">
        <f>E12/E3</f>
        <v>0.1575</v>
      </c>
      <c r="M14" s="59">
        <f>F12/F3</f>
        <v>4.9000000000000002E-2</v>
      </c>
    </row>
    <row r="15" spans="1:14">
      <c r="H15" t="s">
        <v>147</v>
      </c>
      <c r="I15" t="s">
        <v>140</v>
      </c>
      <c r="J15" s="59">
        <f>C12/C35</f>
        <v>2.7999999999999994E-2</v>
      </c>
      <c r="K15" s="59">
        <f>D12/D35</f>
        <v>0.1</v>
      </c>
      <c r="L15" s="59">
        <f t="shared" ref="L15:M15" si="4">E12/E35</f>
        <v>0.1575</v>
      </c>
      <c r="M15" s="59">
        <f t="shared" si="4"/>
        <v>5.4444444444444441E-2</v>
      </c>
    </row>
    <row r="16" spans="1:14">
      <c r="B16" t="str">
        <f>SCF!B16</f>
        <v>Shares Outstanding (in million)</v>
      </c>
      <c r="C16" s="3">
        <f>SCF!C16</f>
        <v>25</v>
      </c>
      <c r="D16" s="3">
        <f>SCF!D16</f>
        <v>25</v>
      </c>
      <c r="E16" s="3">
        <f>SCF!E16</f>
        <v>25</v>
      </c>
      <c r="F16" s="3">
        <f>SCF!F16</f>
        <v>25</v>
      </c>
      <c r="H16" t="s">
        <v>148</v>
      </c>
      <c r="I16" t="s">
        <v>140</v>
      </c>
      <c r="J16" s="59">
        <f>C12/C51</f>
        <v>0.11666666666666664</v>
      </c>
      <c r="K16" s="59">
        <f>D12/D51</f>
        <v>0.41176470588235292</v>
      </c>
      <c r="L16" s="59">
        <f>E12/E51</f>
        <v>0.54782608695652169</v>
      </c>
      <c r="M16" s="59">
        <f>F12/F51</f>
        <v>0.18846153846153846</v>
      </c>
      <c r="N16" s="102"/>
    </row>
    <row r="17" spans="2:14">
      <c r="B17" t="str">
        <f>SCF!B17</f>
        <v>Market Value per Share ($/Share)</v>
      </c>
      <c r="C17" s="3">
        <f>SCF!C17</f>
        <v>5</v>
      </c>
      <c r="D17" s="3">
        <f>SCF!D17</f>
        <v>7.5</v>
      </c>
      <c r="E17" s="3">
        <f>SCF!E17</f>
        <v>8.75</v>
      </c>
      <c r="F17" s="3">
        <f>SCF!F17</f>
        <v>6.25</v>
      </c>
      <c r="H17" t="s">
        <v>149</v>
      </c>
      <c r="I17" t="s">
        <v>140</v>
      </c>
      <c r="J17" s="59">
        <f>C8/(C35-C41)</f>
        <v>0.12894736842105264</v>
      </c>
      <c r="K17" s="59">
        <f t="shared" ref="K17:L17" si="5">D8/(D35-D41)</f>
        <v>0.31219512195121951</v>
      </c>
      <c r="L17" s="59">
        <f t="shared" si="5"/>
        <v>0.47441860465116281</v>
      </c>
      <c r="M17" s="59">
        <f>F8/(F35-F41)</f>
        <v>0.21428571428571427</v>
      </c>
    </row>
    <row r="18" spans="2:14">
      <c r="J18" s="85"/>
      <c r="K18" s="85"/>
      <c r="L18" s="85"/>
      <c r="M18" s="85"/>
    </row>
    <row r="19" spans="2:14">
      <c r="B19" s="113" t="s">
        <v>50</v>
      </c>
      <c r="C19" s="113"/>
      <c r="D19" s="113"/>
      <c r="E19" s="113"/>
      <c r="F19" s="113"/>
      <c r="H19" s="1" t="s">
        <v>150</v>
      </c>
      <c r="J19" s="85"/>
      <c r="K19" s="85"/>
      <c r="L19" s="85"/>
      <c r="M19" s="85"/>
    </row>
    <row r="20" spans="2:14" ht="15.6">
      <c r="B20" s="94"/>
      <c r="C20" s="94">
        <f>C2</f>
        <v>2019</v>
      </c>
      <c r="D20" s="94">
        <f>D2</f>
        <v>2020</v>
      </c>
      <c r="E20" s="94">
        <f>E2</f>
        <v>2021</v>
      </c>
      <c r="F20" s="94">
        <f>F2</f>
        <v>2022</v>
      </c>
      <c r="H20" t="s">
        <v>151</v>
      </c>
      <c r="I20" t="s">
        <v>140</v>
      </c>
      <c r="J20" s="59">
        <f>(C41+C46)/C35</f>
        <v>0.76</v>
      </c>
      <c r="K20" s="59">
        <f t="shared" ref="K20:L20" si="6">(D41+D46)/D35</f>
        <v>0.75714285714285712</v>
      </c>
      <c r="L20" s="59">
        <f t="shared" si="6"/>
        <v>0.71250000000000002</v>
      </c>
      <c r="M20" s="59">
        <f>(F41+F46)/F35</f>
        <v>0.71111111111111114</v>
      </c>
      <c r="N20" s="102"/>
    </row>
    <row r="21" spans="2:14">
      <c r="B21" s="95" t="str">
        <f>SCF!B21</f>
        <v>Current Assets</v>
      </c>
      <c r="C21" s="96"/>
      <c r="D21" s="96"/>
      <c r="E21" s="96"/>
      <c r="F21" s="96"/>
      <c r="H21" t="s">
        <v>152</v>
      </c>
      <c r="I21" t="s">
        <v>140</v>
      </c>
      <c r="J21" s="59">
        <f>C51/C35</f>
        <v>0.24</v>
      </c>
      <c r="K21" s="59">
        <f t="shared" ref="K21:M21" si="7">D51/D35</f>
        <v>0.24285714285714285</v>
      </c>
      <c r="L21" s="59">
        <f t="shared" si="7"/>
        <v>0.28749999999999998</v>
      </c>
      <c r="M21" s="59">
        <f t="shared" si="7"/>
        <v>0.28888888888888886</v>
      </c>
    </row>
    <row r="22" spans="2:14">
      <c r="B22" s="96" t="str">
        <f>SCF!B22</f>
        <v>Cash</v>
      </c>
      <c r="C22" s="97">
        <f>SCF!C22</f>
        <v>2.5</v>
      </c>
      <c r="D22" s="97">
        <f>SCF!D22</f>
        <v>6.25</v>
      </c>
      <c r="E22" s="97">
        <f>SCF!E22</f>
        <v>7.5</v>
      </c>
      <c r="F22" s="97">
        <f>SCF!F22</f>
        <v>10</v>
      </c>
      <c r="H22" t="s">
        <v>153</v>
      </c>
      <c r="I22" t="s">
        <v>134</v>
      </c>
      <c r="J22" s="58">
        <f>(C41+C46)/C51</f>
        <v>3.1666666666666665</v>
      </c>
      <c r="K22" s="58">
        <f t="shared" ref="K22:M22" si="8">(D41+D46)/D51</f>
        <v>3.1176470588235294</v>
      </c>
      <c r="L22" s="58">
        <f t="shared" si="8"/>
        <v>2.4782608695652173</v>
      </c>
      <c r="M22" s="58">
        <f t="shared" si="8"/>
        <v>2.4615384615384617</v>
      </c>
    </row>
    <row r="23" spans="2:14">
      <c r="B23" s="96" t="str">
        <f>SCF!B23</f>
        <v>Accounts Receivable</v>
      </c>
      <c r="C23" s="97">
        <f>SCF!C23</f>
        <v>3.75</v>
      </c>
      <c r="D23" s="97">
        <f>SCF!D23</f>
        <v>8.75</v>
      </c>
      <c r="E23" s="97">
        <f>SCF!E23</f>
        <v>10</v>
      </c>
      <c r="F23" s="97">
        <f>SCF!F23</f>
        <v>13.75</v>
      </c>
      <c r="H23" t="s">
        <v>154</v>
      </c>
      <c r="I23" t="s">
        <v>134</v>
      </c>
      <c r="J23" s="58">
        <f>C35/C51</f>
        <v>4.166666666666667</v>
      </c>
      <c r="K23" s="58">
        <f t="shared" ref="K23:M23" si="9">D35/D51</f>
        <v>4.117647058823529</v>
      </c>
      <c r="L23" s="58">
        <f>E35/E51</f>
        <v>3.4782608695652173</v>
      </c>
      <c r="M23" s="58">
        <f t="shared" si="9"/>
        <v>3.4615384615384617</v>
      </c>
    </row>
    <row r="24" spans="2:14">
      <c r="B24" s="96" t="str">
        <f>SCF!B24</f>
        <v>Inventories</v>
      </c>
      <c r="C24" s="97">
        <f>SCF!C24</f>
        <v>11.25</v>
      </c>
      <c r="D24" s="97">
        <f>SCF!D24</f>
        <v>16.875</v>
      </c>
      <c r="E24" s="97">
        <f>SCF!E24</f>
        <v>18.75</v>
      </c>
      <c r="F24" s="97">
        <f>SCF!F24</f>
        <v>15</v>
      </c>
      <c r="H24" s="4" t="s">
        <v>155</v>
      </c>
      <c r="I24" t="s">
        <v>134</v>
      </c>
      <c r="J24" s="58">
        <f>C33/C51</f>
        <v>2.9166666666666665</v>
      </c>
      <c r="K24" s="58">
        <f t="shared" ref="K24:L24" si="10">D33/D51</f>
        <v>2.4411764705882355</v>
      </c>
      <c r="L24" s="58">
        <f t="shared" si="10"/>
        <v>2.0652173913043477</v>
      </c>
      <c r="M24" s="58">
        <f>F33/F51</f>
        <v>2.0384615384615383</v>
      </c>
    </row>
    <row r="25" spans="2:14">
      <c r="B25" s="96" t="str">
        <f>SCF!B25</f>
        <v>Other Current Assets</v>
      </c>
      <c r="C25" s="97">
        <f>SCF!C25</f>
        <v>1.25</v>
      </c>
      <c r="D25" s="97">
        <f>SCF!D25</f>
        <v>3.75</v>
      </c>
      <c r="E25" s="97">
        <f>SCF!E25</f>
        <v>4.375</v>
      </c>
      <c r="F25" s="97">
        <f>SCF!F25</f>
        <v>7.5</v>
      </c>
      <c r="H25" t="s">
        <v>156</v>
      </c>
      <c r="I25" t="s">
        <v>140</v>
      </c>
      <c r="J25" s="59">
        <f>C46/(C46+C51)</f>
        <v>0.68421052631578949</v>
      </c>
      <c r="K25" s="59">
        <f t="shared" ref="K25:M25" si="11">D46/(D46+D51)</f>
        <v>0.58536585365853655</v>
      </c>
      <c r="L25" s="59">
        <f>E46/(E46+E51)</f>
        <v>0.46511627906976744</v>
      </c>
      <c r="M25" s="59">
        <f t="shared" si="11"/>
        <v>0.38095238095238093</v>
      </c>
    </row>
    <row r="26" spans="2:14">
      <c r="B26" s="95" t="str">
        <f>SCF!B26</f>
        <v>Total Current Assets</v>
      </c>
      <c r="C26" s="98">
        <f>SUM(C22:C25)</f>
        <v>18.75</v>
      </c>
      <c r="D26" s="98">
        <f>SUM(D22:D25)</f>
        <v>35.625</v>
      </c>
      <c r="E26" s="98">
        <f>SUM(E22:E25)</f>
        <v>40.625</v>
      </c>
      <c r="F26" s="98">
        <f>SUM(F22:F25)</f>
        <v>46.25</v>
      </c>
      <c r="H26" t="s">
        <v>157</v>
      </c>
      <c r="I26" t="s">
        <v>134</v>
      </c>
      <c r="J26" s="58">
        <f>C8/C9</f>
        <v>1.6896551724137929</v>
      </c>
      <c r="K26" s="58">
        <f t="shared" ref="K26" si="12">D8/D9</f>
        <v>4.5714285714285712</v>
      </c>
      <c r="L26" s="58">
        <f>E8/E9</f>
        <v>8.4999999999999982</v>
      </c>
      <c r="M26" s="58">
        <f>F8/F9</f>
        <v>4.5</v>
      </c>
    </row>
    <row r="27" spans="2:14">
      <c r="B27" s="96"/>
      <c r="C27" s="96"/>
      <c r="D27" s="96"/>
      <c r="E27" s="96"/>
      <c r="F27" s="96"/>
      <c r="H27" t="s">
        <v>158</v>
      </c>
      <c r="I27" t="s">
        <v>134</v>
      </c>
      <c r="J27" s="58">
        <f>(C8+C7)/C9</f>
        <v>2.7241379310344822</v>
      </c>
      <c r="K27" s="58">
        <f t="shared" ref="K27:M27" si="13">(D8+D7)/D9</f>
        <v>5.8214285714285703</v>
      </c>
      <c r="L27" s="58">
        <f t="shared" si="13"/>
        <v>10.166666666666664</v>
      </c>
      <c r="M27" s="58">
        <f t="shared" si="13"/>
        <v>6.75</v>
      </c>
    </row>
    <row r="28" spans="2:14">
      <c r="B28" s="95" t="str">
        <f>SCF!B28</f>
        <v>Long Term Assets</v>
      </c>
      <c r="C28" s="97"/>
      <c r="D28" s="97"/>
      <c r="E28" s="97"/>
      <c r="F28" s="97"/>
      <c r="H28" t="s">
        <v>159</v>
      </c>
      <c r="I28" t="s">
        <v>134</v>
      </c>
      <c r="J28" s="58">
        <f>C8/(C9+C41)</f>
        <v>0.32885906040268459</v>
      </c>
      <c r="K28" s="58">
        <f t="shared" ref="K28:M28" si="14">D8/(D9+D41)</f>
        <v>0.40251572327044027</v>
      </c>
      <c r="L28" s="58">
        <f>E8/(E9+E41)</f>
        <v>0.51776649746192893</v>
      </c>
      <c r="M28" s="58">
        <f t="shared" si="14"/>
        <v>0.18</v>
      </c>
    </row>
    <row r="29" spans="2:14">
      <c r="B29" s="96" t="str">
        <f>SCF!B29</f>
        <v>PPE (Gross)</v>
      </c>
      <c r="C29" s="97">
        <f>SCF!C29</f>
        <v>75</v>
      </c>
      <c r="D29" s="97">
        <f>SCF!D29</f>
        <v>87.5</v>
      </c>
      <c r="E29" s="97">
        <f>SCF!E29</f>
        <v>100</v>
      </c>
      <c r="F29" s="97">
        <f>SCF!F29</f>
        <v>112.5</v>
      </c>
      <c r="J29" s="85"/>
      <c r="K29" s="85"/>
      <c r="L29" s="85"/>
      <c r="M29" s="85"/>
    </row>
    <row r="30" spans="2:14">
      <c r="B30" s="96" t="str">
        <f>SCF!B30</f>
        <v>Acc Dep</v>
      </c>
      <c r="C30" s="97">
        <f>SCF!C30</f>
        <v>37.5</v>
      </c>
      <c r="D30" s="97">
        <f>SCF!D30</f>
        <v>41.875</v>
      </c>
      <c r="E30" s="97">
        <f>SCF!E30</f>
        <v>46.875</v>
      </c>
      <c r="F30" s="97">
        <f>SCF!F30</f>
        <v>52.5</v>
      </c>
      <c r="H30" s="1" t="s">
        <v>160</v>
      </c>
      <c r="J30" s="85"/>
      <c r="K30" s="85"/>
      <c r="L30" s="85"/>
      <c r="M30" s="85"/>
    </row>
    <row r="31" spans="2:14">
      <c r="B31" s="96" t="str">
        <f>SCF!B31</f>
        <v>PPE (Net)</v>
      </c>
      <c r="C31" s="97">
        <f>C29-C30</f>
        <v>37.5</v>
      </c>
      <c r="D31" s="97">
        <f>D29-D30</f>
        <v>45.625</v>
      </c>
      <c r="E31" s="97">
        <f>E29-E30</f>
        <v>53.125</v>
      </c>
      <c r="F31" s="97">
        <f>F29-F30</f>
        <v>60</v>
      </c>
      <c r="H31" t="s">
        <v>161</v>
      </c>
      <c r="I31" t="s">
        <v>134</v>
      </c>
      <c r="J31" s="58">
        <f>C4/C24</f>
        <v>3.3333333333333335</v>
      </c>
      <c r="K31" s="58">
        <f t="shared" ref="K31:L31" si="15">D4/D24</f>
        <v>2.9629629629629628</v>
      </c>
      <c r="L31" s="58">
        <f t="shared" si="15"/>
        <v>3.3333333333333335</v>
      </c>
      <c r="M31" s="58">
        <f>F4/F24</f>
        <v>6.666666666666667</v>
      </c>
    </row>
    <row r="32" spans="2:14">
      <c r="B32" s="96" t="str">
        <f>SCF!B32</f>
        <v>Goodwill</v>
      </c>
      <c r="C32" s="97">
        <f>SCF!C32</f>
        <v>6.25</v>
      </c>
      <c r="D32" s="97">
        <f>SCF!D32</f>
        <v>6.25</v>
      </c>
      <c r="E32" s="97">
        <f>SCF!E32</f>
        <v>6.25</v>
      </c>
      <c r="F32" s="97">
        <f>SCF!F32</f>
        <v>6.25</v>
      </c>
      <c r="H32" t="s">
        <v>162</v>
      </c>
      <c r="I32" t="s">
        <v>163</v>
      </c>
      <c r="J32" s="58">
        <f>365/J31</f>
        <v>109.5</v>
      </c>
      <c r="K32" s="58">
        <f t="shared" ref="K32:M32" si="16">365/K31</f>
        <v>123.1875</v>
      </c>
      <c r="L32" s="58">
        <f t="shared" si="16"/>
        <v>109.5</v>
      </c>
      <c r="M32" s="58">
        <f t="shared" si="16"/>
        <v>54.75</v>
      </c>
    </row>
    <row r="33" spans="2:14">
      <c r="B33" s="95" t="str">
        <f>SCF!B33</f>
        <v>Total Long Term Assets</v>
      </c>
      <c r="C33" s="98">
        <f>SUM(C31:C32)</f>
        <v>43.75</v>
      </c>
      <c r="D33" s="98">
        <f>SUM(D31:D32)</f>
        <v>51.875</v>
      </c>
      <c r="E33" s="98">
        <f>SUM(E31:E32)</f>
        <v>59.375</v>
      </c>
      <c r="F33" s="98">
        <f>SUM(F31:F32)</f>
        <v>66.25</v>
      </c>
      <c r="H33" t="s">
        <v>164</v>
      </c>
      <c r="I33" t="s">
        <v>134</v>
      </c>
      <c r="J33" s="58">
        <f>C3/C23</f>
        <v>13.333333333333334</v>
      </c>
      <c r="K33" s="58">
        <f t="shared" ref="K33:L33" si="17">D3/D23</f>
        <v>8.5714285714285712</v>
      </c>
      <c r="L33" s="58">
        <f t="shared" si="17"/>
        <v>10</v>
      </c>
      <c r="M33" s="58">
        <f>F3/F23</f>
        <v>9.0909090909090917</v>
      </c>
    </row>
    <row r="34" spans="2:14">
      <c r="B34" s="96"/>
      <c r="C34" s="97"/>
      <c r="D34" s="97"/>
      <c r="E34" s="97"/>
      <c r="F34" s="97"/>
      <c r="H34" t="s">
        <v>165</v>
      </c>
      <c r="I34" t="s">
        <v>163</v>
      </c>
      <c r="J34" s="58">
        <f>365/J33</f>
        <v>27.375</v>
      </c>
      <c r="K34" s="58">
        <f t="shared" ref="K34" si="18">365/K33</f>
        <v>42.583333333333336</v>
      </c>
      <c r="L34" s="58">
        <f>365/L33</f>
        <v>36.5</v>
      </c>
      <c r="M34" s="58">
        <f>365/M33</f>
        <v>40.15</v>
      </c>
    </row>
    <row r="35" spans="2:14">
      <c r="B35" s="95" t="str">
        <f>SCF!B35</f>
        <v>Total Assets</v>
      </c>
      <c r="C35" s="98">
        <f>C26+C33</f>
        <v>62.5</v>
      </c>
      <c r="D35" s="98">
        <f>D26+D33</f>
        <v>87.5</v>
      </c>
      <c r="E35" s="98">
        <f>E26+E33</f>
        <v>100</v>
      </c>
      <c r="F35" s="98">
        <f>F26+F33</f>
        <v>112.5</v>
      </c>
      <c r="H35" s="4" t="s">
        <v>166</v>
      </c>
      <c r="I35" t="s">
        <v>134</v>
      </c>
      <c r="J35" s="58">
        <f>C4/C38</f>
        <v>6</v>
      </c>
      <c r="K35" s="58">
        <f t="shared" ref="K35:M35" si="19">D4/D38</f>
        <v>3.3333333333333335</v>
      </c>
      <c r="L35" s="58">
        <f>E4/E38</f>
        <v>2</v>
      </c>
      <c r="M35" s="58">
        <f t="shared" si="19"/>
        <v>3.0769230769230771</v>
      </c>
    </row>
    <row r="36" spans="2:14">
      <c r="B36" s="96"/>
      <c r="C36" s="97"/>
      <c r="D36" s="97"/>
      <c r="E36" s="97"/>
      <c r="F36" s="97"/>
      <c r="H36" t="s">
        <v>167</v>
      </c>
      <c r="I36" t="s">
        <v>163</v>
      </c>
      <c r="J36" s="58">
        <f>365/J35</f>
        <v>60.833333333333336</v>
      </c>
      <c r="K36" s="58">
        <f t="shared" ref="K36:M36" si="20">365/K35</f>
        <v>109.5</v>
      </c>
      <c r="L36" s="58">
        <f>365/L35</f>
        <v>182.5</v>
      </c>
      <c r="M36" s="58">
        <f t="shared" si="20"/>
        <v>118.625</v>
      </c>
    </row>
    <row r="37" spans="2:14" ht="28.8">
      <c r="B37" s="95" t="str">
        <f>SCF!B37</f>
        <v>Current Liabilities</v>
      </c>
      <c r="C37" s="97"/>
      <c r="D37" s="97"/>
      <c r="E37" s="97"/>
      <c r="F37" s="97"/>
      <c r="H37" s="4" t="s">
        <v>168</v>
      </c>
      <c r="I37" t="s">
        <v>163</v>
      </c>
      <c r="J37" s="58">
        <f>J32+J34-J36</f>
        <v>76.041666666666657</v>
      </c>
      <c r="K37" s="58">
        <f>K32+K34-K36</f>
        <v>56.270833333333343</v>
      </c>
      <c r="L37" s="58">
        <f>L32+L34-L36</f>
        <v>-36.5</v>
      </c>
      <c r="M37" s="58">
        <f>M32+M34-M36</f>
        <v>-23.724999999999994</v>
      </c>
    </row>
    <row r="38" spans="2:14">
      <c r="B38" s="96" t="str">
        <f>SCF!B38</f>
        <v>Accounts Payable</v>
      </c>
      <c r="C38" s="97">
        <f>SCF!C38</f>
        <v>6.25</v>
      </c>
      <c r="D38" s="97">
        <f>SCF!D38</f>
        <v>15</v>
      </c>
      <c r="E38" s="97">
        <f>SCF!E38</f>
        <v>31.25</v>
      </c>
      <c r="F38" s="97">
        <f>SCF!F38</f>
        <v>32.5</v>
      </c>
      <c r="H38" t="s">
        <v>169</v>
      </c>
      <c r="I38" t="s">
        <v>134</v>
      </c>
      <c r="J38" s="58">
        <f>C3/C35</f>
        <v>0.8</v>
      </c>
      <c r="K38" s="58">
        <f>D3/D35</f>
        <v>0.8571428571428571</v>
      </c>
      <c r="L38" s="58">
        <f>E3/E35</f>
        <v>1</v>
      </c>
      <c r="M38" s="58">
        <f>F3/F35</f>
        <v>1.1111111111111112</v>
      </c>
      <c r="N38" s="102"/>
    </row>
    <row r="39" spans="2:14">
      <c r="B39" s="96" t="str">
        <f>SCF!B39</f>
        <v>Notes Payable</v>
      </c>
      <c r="C39" s="97">
        <f>SCF!C39</f>
        <v>3.75</v>
      </c>
      <c r="D39" s="97">
        <f>SCF!D39</f>
        <v>16.25</v>
      </c>
      <c r="E39" s="97">
        <f>SCF!E39</f>
        <v>10</v>
      </c>
      <c r="F39" s="97">
        <f>SCF!F39</f>
        <v>22.5</v>
      </c>
      <c r="H39" t="s">
        <v>170</v>
      </c>
      <c r="I39" t="s">
        <v>134</v>
      </c>
      <c r="J39" s="58">
        <f>C35/C3</f>
        <v>1.25</v>
      </c>
      <c r="K39" s="58">
        <f t="shared" ref="K39:M39" si="21">D35/D3</f>
        <v>1.1666666666666667</v>
      </c>
      <c r="L39" s="58">
        <f t="shared" si="21"/>
        <v>1</v>
      </c>
      <c r="M39" s="58">
        <f t="shared" si="21"/>
        <v>0.9</v>
      </c>
    </row>
    <row r="40" spans="2:14">
      <c r="B40" s="96" t="str">
        <f>SCF!B40</f>
        <v>Current Portion of LTD</v>
      </c>
      <c r="C40" s="97">
        <f>SCF!C40</f>
        <v>5</v>
      </c>
      <c r="D40" s="97">
        <f>SCF!D40</f>
        <v>5</v>
      </c>
      <c r="E40" s="97">
        <f>SCF!E40</f>
        <v>5</v>
      </c>
      <c r="F40" s="97">
        <f>SCF!F40</f>
        <v>5</v>
      </c>
      <c r="H40" t="s">
        <v>171</v>
      </c>
      <c r="I40" t="s">
        <v>134</v>
      </c>
      <c r="J40" s="58">
        <f>C3/C33</f>
        <v>1.1428571428571428</v>
      </c>
      <c r="K40" s="58">
        <f t="shared" ref="K40:M40" si="22">D3/D33</f>
        <v>1.4457831325301205</v>
      </c>
      <c r="L40" s="58">
        <f>E3/E33</f>
        <v>1.6842105263157894</v>
      </c>
      <c r="M40" s="58">
        <f t="shared" si="22"/>
        <v>1.8867924528301887</v>
      </c>
    </row>
    <row r="41" spans="2:14">
      <c r="B41" s="95" t="str">
        <f>SCF!B41</f>
        <v>Total Current Liabilities</v>
      </c>
      <c r="C41" s="98">
        <f>SUM(C38:C40)</f>
        <v>15</v>
      </c>
      <c r="D41" s="98">
        <f>SUM(D38:D40)</f>
        <v>36.25</v>
      </c>
      <c r="E41" s="98">
        <f>SUM(E38:E40)</f>
        <v>46.25</v>
      </c>
      <c r="F41" s="98">
        <f>SUM(F38:F40)</f>
        <v>60</v>
      </c>
      <c r="H41" t="s">
        <v>172</v>
      </c>
      <c r="I41" t="s">
        <v>134</v>
      </c>
      <c r="J41" s="58">
        <f>C3/J7</f>
        <v>13.333333333333334</v>
      </c>
      <c r="K41" s="58">
        <f>D3/K7</f>
        <v>-120</v>
      </c>
      <c r="L41" s="58">
        <f>E3/L7</f>
        <v>-17.777777777777779</v>
      </c>
      <c r="M41" s="58">
        <f>F3/M7</f>
        <v>-9.0909090909090917</v>
      </c>
    </row>
    <row r="42" spans="2:14">
      <c r="B42" s="96"/>
      <c r="C42" s="97"/>
      <c r="D42" s="97"/>
      <c r="E42" s="97"/>
      <c r="F42" s="97"/>
      <c r="J42" s="85"/>
      <c r="K42" s="85"/>
      <c r="L42" s="85"/>
      <c r="M42" s="85"/>
    </row>
    <row r="43" spans="2:14">
      <c r="B43" s="95" t="str">
        <f>SCF!B43</f>
        <v>Long Term Liabilities</v>
      </c>
      <c r="C43" s="97"/>
      <c r="D43" s="97"/>
      <c r="E43" s="97"/>
      <c r="F43" s="97"/>
      <c r="H43" s="1" t="s">
        <v>173</v>
      </c>
      <c r="J43" s="85"/>
      <c r="K43" s="85"/>
      <c r="L43" s="85"/>
      <c r="M43" s="85"/>
    </row>
    <row r="44" spans="2:14">
      <c r="B44" s="96" t="str">
        <f>SCF!B44</f>
        <v>Long Term Loan</v>
      </c>
      <c r="C44" s="97">
        <f>SCF!C44</f>
        <v>25</v>
      </c>
      <c r="D44" s="97">
        <f>SCF!D44</f>
        <v>20</v>
      </c>
      <c r="E44" s="97">
        <f>SCF!E44</f>
        <v>15</v>
      </c>
      <c r="F44" s="97">
        <f>SCF!F44</f>
        <v>10</v>
      </c>
      <c r="H44" t="s">
        <v>174</v>
      </c>
      <c r="I44" t="s">
        <v>175</v>
      </c>
      <c r="J44" s="58">
        <f>C12/C16</f>
        <v>6.9999999999999979E-2</v>
      </c>
      <c r="K44" s="58">
        <f t="shared" ref="K44:M44" si="23">D12/D16</f>
        <v>0.35</v>
      </c>
      <c r="L44" s="58">
        <f t="shared" si="23"/>
        <v>0.63</v>
      </c>
      <c r="M44" s="58">
        <f t="shared" si="23"/>
        <v>0.245</v>
      </c>
    </row>
    <row r="45" spans="2:14">
      <c r="B45" s="96" t="str">
        <f>SCF!B45</f>
        <v>Bonds Payable</v>
      </c>
      <c r="C45" s="97">
        <f>SCF!C45</f>
        <v>7.5</v>
      </c>
      <c r="D45" s="97">
        <f>SCF!D45</f>
        <v>10</v>
      </c>
      <c r="E45" s="97">
        <f>SCF!E45</f>
        <v>10</v>
      </c>
      <c r="F45" s="97">
        <f>SCF!F45</f>
        <v>10</v>
      </c>
      <c r="H45" t="s">
        <v>176</v>
      </c>
      <c r="I45" t="s">
        <v>175</v>
      </c>
      <c r="J45" s="58">
        <f>C13/C16</f>
        <v>0.05</v>
      </c>
      <c r="K45" s="58">
        <f>D13/D16</f>
        <v>0.2</v>
      </c>
      <c r="L45" s="58">
        <f t="shared" ref="L45:M45" si="24">E13/E16</f>
        <v>0.33</v>
      </c>
      <c r="M45" s="58">
        <f t="shared" si="24"/>
        <v>0.19500000000000001</v>
      </c>
    </row>
    <row r="46" spans="2:14">
      <c r="B46" s="95" t="str">
        <f>SCF!B46</f>
        <v>Total Long Term Liabilities</v>
      </c>
      <c r="C46" s="98">
        <f>SUM(C44:C45)</f>
        <v>32.5</v>
      </c>
      <c r="D46" s="98">
        <f>SUM(D44:D45)</f>
        <v>30</v>
      </c>
      <c r="E46" s="98">
        <f>SUM(E44:E45)</f>
        <v>25</v>
      </c>
      <c r="F46" s="98">
        <f>SUM(F44:F45)</f>
        <v>20</v>
      </c>
      <c r="H46" t="s">
        <v>177</v>
      </c>
      <c r="I46" t="s">
        <v>134</v>
      </c>
      <c r="J46" s="58">
        <f>C17/J44</f>
        <v>71.428571428571445</v>
      </c>
      <c r="K46" s="58">
        <f t="shared" ref="K46:M46" si="25">D17/K44</f>
        <v>21.428571428571431</v>
      </c>
      <c r="L46" s="58">
        <f t="shared" si="25"/>
        <v>13.888888888888889</v>
      </c>
      <c r="M46" s="58">
        <f t="shared" si="25"/>
        <v>25.510204081632654</v>
      </c>
    </row>
    <row r="47" spans="2:14">
      <c r="B47" s="96"/>
      <c r="C47" s="97"/>
      <c r="D47" s="97"/>
      <c r="E47" s="97"/>
      <c r="F47" s="97"/>
      <c r="H47" t="s">
        <v>178</v>
      </c>
      <c r="I47" t="s">
        <v>140</v>
      </c>
      <c r="J47" s="59">
        <f>C13/C12</f>
        <v>0.71428571428571441</v>
      </c>
      <c r="K47" s="59">
        <f>D13/D12</f>
        <v>0.5714285714285714</v>
      </c>
      <c r="L47" s="59">
        <f t="shared" ref="L47:M47" si="26">E13/E12</f>
        <v>0.52380952380952384</v>
      </c>
      <c r="M47" s="59">
        <f t="shared" si="26"/>
        <v>0.79591836734693877</v>
      </c>
    </row>
    <row r="48" spans="2:14">
      <c r="B48" s="95" t="str">
        <f>SCF!B48</f>
        <v>Shareholders' Equity</v>
      </c>
      <c r="C48" s="97"/>
      <c r="D48" s="97"/>
      <c r="E48" s="97"/>
      <c r="F48" s="97"/>
      <c r="H48" t="s">
        <v>179</v>
      </c>
      <c r="I48" t="s">
        <v>140</v>
      </c>
      <c r="J48" s="59">
        <f>J45/C17</f>
        <v>0.01</v>
      </c>
      <c r="K48" s="59">
        <f t="shared" ref="K48:L48" si="27">K45/D17</f>
        <v>2.6666666666666668E-2</v>
      </c>
      <c r="L48" s="59">
        <f t="shared" si="27"/>
        <v>3.7714285714285714E-2</v>
      </c>
      <c r="M48" s="59">
        <f>M45/F17</f>
        <v>3.1200000000000002E-2</v>
      </c>
    </row>
    <row r="49" spans="2:13">
      <c r="B49" s="96" t="str">
        <f>SCF!B49</f>
        <v>Contributed Capital</v>
      </c>
      <c r="C49" s="97">
        <f>SCF!C49</f>
        <v>10</v>
      </c>
      <c r="D49" s="97">
        <f>SCF!D49</f>
        <v>12.5</v>
      </c>
      <c r="E49" s="97">
        <f>SCF!E49</f>
        <v>12.5</v>
      </c>
      <c r="F49" s="97">
        <f>SCF!F49</f>
        <v>15</v>
      </c>
      <c r="H49" t="s">
        <v>180</v>
      </c>
      <c r="I49" t="s">
        <v>140</v>
      </c>
      <c r="J49" s="59">
        <f>C14/C12</f>
        <v>0.28571428571428553</v>
      </c>
      <c r="K49" s="59">
        <f t="shared" ref="K49:M49" si="28">D14/D12</f>
        <v>0.42857142857142855</v>
      </c>
      <c r="L49" s="59">
        <f>E14/E12</f>
        <v>0.47619047619047616</v>
      </c>
      <c r="M49" s="59">
        <f t="shared" si="28"/>
        <v>0.20408163265306123</v>
      </c>
    </row>
    <row r="50" spans="2:13">
      <c r="B50" s="96" t="str">
        <f>SCF!B50</f>
        <v>Retained Earnings</v>
      </c>
      <c r="C50" s="97">
        <f>SCF!C50</f>
        <v>5</v>
      </c>
      <c r="D50" s="97">
        <f>C50+D14</f>
        <v>8.75</v>
      </c>
      <c r="E50" s="97">
        <f>D50+E14</f>
        <v>16.25</v>
      </c>
      <c r="F50" s="97">
        <f>E50+F14</f>
        <v>17.5</v>
      </c>
      <c r="H50" t="s">
        <v>181</v>
      </c>
      <c r="I50" t="s">
        <v>134</v>
      </c>
      <c r="J50" s="58">
        <f>C17/(C51/C16)</f>
        <v>8.3333333333333339</v>
      </c>
      <c r="K50" s="58">
        <f t="shared" ref="K50:L50" si="29">D17/(D51/D16)</f>
        <v>8.8235294117647065</v>
      </c>
      <c r="L50" s="58">
        <f t="shared" si="29"/>
        <v>7.608695652173914</v>
      </c>
      <c r="M50" s="58">
        <f>F17/(F51/F16)</f>
        <v>4.8076923076923075</v>
      </c>
    </row>
    <row r="51" spans="2:13">
      <c r="B51" s="95" t="str">
        <f>SCF!B51</f>
        <v>Total Shareholders' Equity</v>
      </c>
      <c r="C51" s="98">
        <f>SUM(C49:C50)</f>
        <v>15</v>
      </c>
      <c r="D51" s="98">
        <f>SUM(D49:D50)</f>
        <v>21.25</v>
      </c>
      <c r="E51" s="98">
        <f>SUM(E49:E50)</f>
        <v>28.75</v>
      </c>
      <c r="F51" s="98">
        <f>SUM(F49:F50)</f>
        <v>32.5</v>
      </c>
      <c r="H51" t="s">
        <v>182</v>
      </c>
      <c r="I51" t="s">
        <v>140</v>
      </c>
      <c r="J51" s="59">
        <f>J16*J49</f>
        <v>3.3333333333333305E-2</v>
      </c>
      <c r="K51" s="59">
        <f t="shared" ref="K51:L51" si="30">K16*K49</f>
        <v>0.1764705882352941</v>
      </c>
      <c r="L51" s="59">
        <f t="shared" si="30"/>
        <v>0.26086956521739124</v>
      </c>
      <c r="M51" s="59">
        <f>M16*M49</f>
        <v>3.8461538461538464E-2</v>
      </c>
    </row>
    <row r="52" spans="2:13">
      <c r="B52" s="96"/>
      <c r="C52" s="97"/>
      <c r="D52" s="97"/>
      <c r="E52" s="97"/>
      <c r="F52" s="97"/>
    </row>
    <row r="53" spans="2:13">
      <c r="B53" s="95" t="str">
        <f>SCF!B53</f>
        <v>Total Liabilities and Equity</v>
      </c>
      <c r="C53" s="98">
        <f>C41+C46+C51</f>
        <v>62.5</v>
      </c>
      <c r="D53" s="98">
        <f>D41+D46+D51</f>
        <v>87.5</v>
      </c>
      <c r="E53" s="98">
        <f>E41+E46+E51</f>
        <v>100</v>
      </c>
      <c r="F53" s="98">
        <f>F41+F46+F51</f>
        <v>112.5</v>
      </c>
      <c r="H53" s="112" t="s">
        <v>183</v>
      </c>
      <c r="I53" s="112"/>
      <c r="J53" s="112"/>
      <c r="K53" s="112"/>
      <c r="L53" s="112"/>
      <c r="M53" s="112"/>
    </row>
    <row r="54" spans="2:13">
      <c r="B54" s="96"/>
      <c r="C54" s="97"/>
      <c r="D54" s="97"/>
      <c r="E54" s="97"/>
      <c r="F54" s="97"/>
      <c r="J54" s="6"/>
      <c r="K54" s="6"/>
      <c r="L54" s="6"/>
      <c r="M54" s="6"/>
    </row>
    <row r="55" spans="2:13">
      <c r="B55" s="95" t="str">
        <f>SCF!B55</f>
        <v>Balance</v>
      </c>
      <c r="C55" s="99">
        <f>C35-C53</f>
        <v>0</v>
      </c>
      <c r="D55" s="99">
        <f>D35-D53</f>
        <v>0</v>
      </c>
      <c r="E55" s="99">
        <f>E35-E53</f>
        <v>0</v>
      </c>
      <c r="F55" s="99">
        <f>F35-F53</f>
        <v>0</v>
      </c>
      <c r="J55" s="3"/>
      <c r="K55" s="3"/>
      <c r="L55" s="3"/>
      <c r="M55" s="3"/>
    </row>
    <row r="56" spans="2:13">
      <c r="J56" s="3"/>
      <c r="K56" s="3"/>
      <c r="L56" s="3"/>
      <c r="M56" s="3"/>
    </row>
    <row r="57" spans="2:13">
      <c r="H57" s="1"/>
      <c r="I57" s="1"/>
      <c r="J57" s="7"/>
      <c r="K57" s="7"/>
      <c r="L57" s="7"/>
      <c r="M57" s="7"/>
    </row>
    <row r="59" spans="2:13">
      <c r="J59" s="6"/>
      <c r="K59" s="6"/>
      <c r="L59" s="6"/>
      <c r="M59" s="6"/>
    </row>
    <row r="60" spans="2:13">
      <c r="J60" s="3"/>
      <c r="K60" s="3"/>
      <c r="L60" s="3"/>
      <c r="M60" s="3"/>
    </row>
    <row r="61" spans="2:13">
      <c r="H61" s="1"/>
      <c r="I61" s="1"/>
      <c r="J61" s="7"/>
      <c r="K61" s="7"/>
      <c r="L61" s="7"/>
      <c r="M61" s="7"/>
    </row>
  </sheetData>
  <mergeCells count="4">
    <mergeCell ref="H1:M1"/>
    <mergeCell ref="B1:F1"/>
    <mergeCell ref="B19:F19"/>
    <mergeCell ref="H53:M5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S24"/>
  <sheetViews>
    <sheetView zoomScaleNormal="100" workbookViewId="0">
      <selection activeCell="J8" sqref="J8"/>
    </sheetView>
  </sheetViews>
  <sheetFormatPr defaultColWidth="10.33203125" defaultRowHeight="15" customHeight="1"/>
  <cols>
    <col min="2" max="2" width="11.33203125" customWidth="1"/>
    <col min="3" max="3" width="11" customWidth="1"/>
    <col min="10" max="10" width="15.44140625" customWidth="1"/>
    <col min="11" max="11" width="16" customWidth="1"/>
  </cols>
  <sheetData>
    <row r="1" spans="1:19" ht="26.25" customHeight="1">
      <c r="A1" s="13" t="s">
        <v>51</v>
      </c>
      <c r="B1" s="12">
        <v>0</v>
      </c>
      <c r="C1" s="12">
        <f>B1+1</f>
        <v>1</v>
      </c>
      <c r="D1" s="12">
        <v>2</v>
      </c>
      <c r="E1" s="12">
        <v>3</v>
      </c>
      <c r="F1" s="12">
        <v>4</v>
      </c>
      <c r="G1" s="12">
        <v>5</v>
      </c>
      <c r="I1" t="s">
        <v>184</v>
      </c>
      <c r="J1" s="6">
        <v>0.15</v>
      </c>
      <c r="L1" s="114" t="s">
        <v>185</v>
      </c>
      <c r="M1" s="115"/>
      <c r="N1" s="115"/>
      <c r="O1" s="115"/>
      <c r="P1" s="115"/>
      <c r="Q1" s="115"/>
      <c r="R1" s="115"/>
      <c r="S1" s="116"/>
    </row>
    <row r="2" spans="1:19" ht="14.4">
      <c r="A2" t="s">
        <v>186</v>
      </c>
      <c r="B2" s="3">
        <v>-150000</v>
      </c>
      <c r="C2" s="3">
        <v>40000</v>
      </c>
      <c r="D2" s="3">
        <f>C2+10000</f>
        <v>50000</v>
      </c>
      <c r="E2" s="3">
        <f>D2+10000</f>
        <v>60000</v>
      </c>
      <c r="F2" s="3">
        <f t="shared" ref="F2:G2" si="0">E2+10000</f>
        <v>70000</v>
      </c>
      <c r="G2" s="3">
        <f t="shared" si="0"/>
        <v>80000</v>
      </c>
      <c r="I2" t="s">
        <v>187</v>
      </c>
      <c r="J2" s="28">
        <f>NPV(J1,C2:G2)+B2</f>
        <v>41837.632021786325</v>
      </c>
      <c r="L2" s="117"/>
      <c r="M2" s="118"/>
      <c r="N2" s="118"/>
      <c r="O2" s="118"/>
      <c r="P2" s="118"/>
      <c r="Q2" s="118"/>
      <c r="R2" s="118"/>
      <c r="S2" s="119"/>
    </row>
    <row r="3" spans="1:19" ht="14.4">
      <c r="A3" t="s">
        <v>188</v>
      </c>
      <c r="C3" s="3">
        <v>3000</v>
      </c>
      <c r="D3" s="3">
        <f>C3+2000</f>
        <v>5000</v>
      </c>
      <c r="E3" s="3">
        <f>D3+2000</f>
        <v>7000</v>
      </c>
      <c r="F3" s="3">
        <f>E3+2000</f>
        <v>9000</v>
      </c>
      <c r="G3" s="3">
        <f>F3+2000</f>
        <v>11000</v>
      </c>
      <c r="I3" t="s">
        <v>189</v>
      </c>
      <c r="J3" s="26">
        <f>IRR(B2:G2)</f>
        <v>0.24886849678816292</v>
      </c>
      <c r="K3" s="14"/>
      <c r="L3" s="117"/>
      <c r="M3" s="118"/>
      <c r="N3" s="118"/>
      <c r="O3" s="118"/>
      <c r="P3" s="118"/>
      <c r="Q3" s="118"/>
      <c r="R3" s="118"/>
      <c r="S3" s="119"/>
    </row>
    <row r="4" spans="1:19" ht="14.4">
      <c r="A4" t="s">
        <v>190</v>
      </c>
      <c r="B4" s="3">
        <v>30000</v>
      </c>
      <c r="I4" t="s">
        <v>191</v>
      </c>
      <c r="J4" s="26">
        <f>MIRR(B2:G2,J1,J1)</f>
        <v>0.20799837352895434</v>
      </c>
      <c r="K4" s="14"/>
      <c r="L4" s="117"/>
      <c r="M4" s="118"/>
      <c r="N4" s="118"/>
      <c r="O4" s="118"/>
      <c r="P4" s="118"/>
      <c r="Q4" s="118"/>
      <c r="R4" s="118"/>
      <c r="S4" s="119"/>
    </row>
    <row r="5" spans="1:19" ht="14.4">
      <c r="I5" t="s">
        <v>192</v>
      </c>
      <c r="J5" s="28">
        <f>(J2-B2)/(-B2)</f>
        <v>1.2789175468119087</v>
      </c>
      <c r="K5" s="14"/>
      <c r="L5" s="117"/>
      <c r="M5" s="118"/>
      <c r="N5" s="118"/>
      <c r="O5" s="118"/>
      <c r="P5" s="118"/>
      <c r="Q5" s="118"/>
      <c r="R5" s="118"/>
      <c r="S5" s="119"/>
    </row>
    <row r="6" spans="1:19" ht="14.4">
      <c r="A6" s="13" t="s">
        <v>51</v>
      </c>
      <c r="B6" s="12">
        <f t="shared" ref="B6:G7" si="1">B1</f>
        <v>0</v>
      </c>
      <c r="C6" s="12">
        <f t="shared" si="1"/>
        <v>1</v>
      </c>
      <c r="D6" s="12">
        <f t="shared" si="1"/>
        <v>2</v>
      </c>
      <c r="E6" s="12">
        <f t="shared" si="1"/>
        <v>3</v>
      </c>
      <c r="F6" s="12">
        <f t="shared" si="1"/>
        <v>4</v>
      </c>
      <c r="G6" s="12">
        <f t="shared" si="1"/>
        <v>5</v>
      </c>
      <c r="I6" t="s">
        <v>193</v>
      </c>
      <c r="J6" s="28">
        <f>PERCENTRANK(B8:G8,0,6)*G6</f>
        <v>3</v>
      </c>
      <c r="K6" t="s">
        <v>194</v>
      </c>
      <c r="L6" s="117"/>
      <c r="M6" s="118"/>
      <c r="N6" s="118"/>
      <c r="O6" s="118"/>
      <c r="P6" s="118"/>
      <c r="Q6" s="118"/>
      <c r="R6" s="118"/>
      <c r="S6" s="119"/>
    </row>
    <row r="7" spans="1:19" ht="14.4">
      <c r="A7" t="s">
        <v>186</v>
      </c>
      <c r="B7" s="24">
        <f t="shared" si="1"/>
        <v>-150000</v>
      </c>
      <c r="C7" s="24">
        <f t="shared" si="1"/>
        <v>40000</v>
      </c>
      <c r="D7" s="24">
        <f t="shared" si="1"/>
        <v>50000</v>
      </c>
      <c r="E7" s="24">
        <f t="shared" si="1"/>
        <v>60000</v>
      </c>
      <c r="F7" s="24">
        <f t="shared" si="1"/>
        <v>70000</v>
      </c>
      <c r="G7" s="24">
        <f t="shared" si="1"/>
        <v>80000</v>
      </c>
      <c r="H7" s="14"/>
      <c r="I7" t="s">
        <v>195</v>
      </c>
      <c r="J7" s="28">
        <f>PERCENTRANK(B13:G13,0,6)*G10</f>
        <v>3.9484399999999997</v>
      </c>
      <c r="K7" t="s">
        <v>194</v>
      </c>
      <c r="L7" s="19" t="s">
        <v>196</v>
      </c>
      <c r="M7" s="18"/>
      <c r="N7" s="18"/>
      <c r="O7" s="18"/>
      <c r="P7" s="18"/>
      <c r="Q7" s="18"/>
      <c r="R7" s="18"/>
      <c r="S7" s="20"/>
    </row>
    <row r="8" spans="1:19" ht="14.4">
      <c r="A8" t="s">
        <v>197</v>
      </c>
      <c r="B8" s="24">
        <f>B7</f>
        <v>-150000</v>
      </c>
      <c r="C8" s="24">
        <f>B8+C7</f>
        <v>-110000</v>
      </c>
      <c r="D8" s="24">
        <f t="shared" ref="D8" si="2">C8+D7</f>
        <v>-60000</v>
      </c>
      <c r="E8" s="24">
        <f>D8+E7</f>
        <v>0</v>
      </c>
      <c r="F8" s="24">
        <f>E8+F7</f>
        <v>70000</v>
      </c>
      <c r="G8" s="24">
        <f>F8+G7</f>
        <v>150000</v>
      </c>
      <c r="H8" s="14"/>
      <c r="I8" t="s">
        <v>198</v>
      </c>
      <c r="J8" s="26">
        <f>AVERAGE(C3:G3)/((-B2+B4)/2)</f>
        <v>7.7777777777777779E-2</v>
      </c>
      <c r="L8" s="19" t="s">
        <v>199</v>
      </c>
      <c r="M8" s="18"/>
      <c r="N8" s="18"/>
      <c r="O8" s="18"/>
      <c r="P8" s="18"/>
      <c r="Q8" s="18"/>
      <c r="R8" s="18"/>
      <c r="S8" s="20"/>
    </row>
    <row r="9" spans="1:19" ht="14.4">
      <c r="A9" t="s">
        <v>193</v>
      </c>
      <c r="B9" s="24"/>
      <c r="C9" s="25"/>
      <c r="D9" s="25"/>
      <c r="E9" s="25"/>
      <c r="F9" s="25"/>
      <c r="G9" s="25"/>
      <c r="L9" s="19" t="s">
        <v>200</v>
      </c>
      <c r="M9" s="18"/>
      <c r="N9" s="18"/>
      <c r="O9" s="18"/>
      <c r="P9" s="18"/>
      <c r="Q9" s="18"/>
      <c r="R9" s="18"/>
      <c r="S9" s="20"/>
    </row>
    <row r="10" spans="1:19" ht="14.4">
      <c r="A10" s="13" t="s">
        <v>51</v>
      </c>
      <c r="B10" s="12">
        <f t="shared" ref="B10:G11" si="3">B1</f>
        <v>0</v>
      </c>
      <c r="C10" s="12">
        <f t="shared" si="3"/>
        <v>1</v>
      </c>
      <c r="D10" s="12">
        <f t="shared" si="3"/>
        <v>2</v>
      </c>
      <c r="E10" s="12">
        <f t="shared" si="3"/>
        <v>3</v>
      </c>
      <c r="F10" s="12">
        <f t="shared" si="3"/>
        <v>4</v>
      </c>
      <c r="G10" s="12">
        <f t="shared" si="3"/>
        <v>5</v>
      </c>
      <c r="L10" s="19" t="s">
        <v>201</v>
      </c>
      <c r="M10" s="18"/>
      <c r="N10" s="18"/>
      <c r="O10" s="18"/>
      <c r="P10" s="18"/>
      <c r="Q10" s="18"/>
      <c r="R10" s="18"/>
      <c r="S10" s="20"/>
    </row>
    <row r="11" spans="1:19" ht="14.4">
      <c r="A11" t="s">
        <v>186</v>
      </c>
      <c r="B11" s="24">
        <f t="shared" si="3"/>
        <v>-150000</v>
      </c>
      <c r="C11" s="24">
        <f t="shared" si="3"/>
        <v>40000</v>
      </c>
      <c r="D11" s="24">
        <f t="shared" si="3"/>
        <v>50000</v>
      </c>
      <c r="E11" s="24">
        <f t="shared" si="3"/>
        <v>60000</v>
      </c>
      <c r="F11" s="24">
        <f t="shared" si="3"/>
        <v>70000</v>
      </c>
      <c r="G11" s="24">
        <f t="shared" si="3"/>
        <v>80000</v>
      </c>
      <c r="J11" s="3"/>
      <c r="L11" s="19" t="s">
        <v>202</v>
      </c>
      <c r="M11" s="18"/>
      <c r="N11" s="18"/>
      <c r="O11" s="18"/>
      <c r="P11" s="18"/>
      <c r="Q11" s="18"/>
      <c r="R11" s="18"/>
      <c r="S11" s="20"/>
    </row>
    <row r="12" spans="1:19" ht="14.4">
      <c r="A12" t="s">
        <v>203</v>
      </c>
      <c r="B12" s="24">
        <f>B11</f>
        <v>-150000</v>
      </c>
      <c r="C12" s="91">
        <f>-PV($J$1,C10,,C11,0)</f>
        <v>34782.608695652176</v>
      </c>
      <c r="D12" s="91">
        <f>-PV($J$1,D10,,D11,0)</f>
        <v>37807.183364839322</v>
      </c>
      <c r="E12" s="24">
        <f>-PV($J$1,E10,,E11,0)</f>
        <v>39450.973945919301</v>
      </c>
      <c r="F12" s="91">
        <f>-PV($J$1,F10,,F11,0)</f>
        <v>40022.727191512335</v>
      </c>
      <c r="G12" s="91">
        <f>-PV($J$1,G10,,G11,0)</f>
        <v>39774.138823863192</v>
      </c>
      <c r="L12" s="19" t="s">
        <v>204</v>
      </c>
      <c r="M12" s="18"/>
      <c r="N12" s="18"/>
      <c r="O12" s="18"/>
      <c r="P12" s="18"/>
      <c r="Q12" s="18"/>
      <c r="R12" s="18"/>
      <c r="S12" s="20"/>
    </row>
    <row r="13" spans="1:19" thickBot="1">
      <c r="A13" t="s">
        <v>205</v>
      </c>
      <c r="B13" s="24">
        <f t="shared" ref="B13" si="4">B12</f>
        <v>-150000</v>
      </c>
      <c r="C13" s="24">
        <f>B13+C12</f>
        <v>-115217.39130434782</v>
      </c>
      <c r="D13" s="24">
        <f>C13+D12</f>
        <v>-77410.207939508502</v>
      </c>
      <c r="E13" s="24">
        <f>D13+E12</f>
        <v>-37959.233993589201</v>
      </c>
      <c r="F13" s="24">
        <f>E13+F12</f>
        <v>2063.4931979231333</v>
      </c>
      <c r="G13" s="24">
        <f>F13+G12</f>
        <v>41837.632021786325</v>
      </c>
      <c r="L13" s="21" t="s">
        <v>206</v>
      </c>
      <c r="M13" s="22"/>
      <c r="N13" s="22"/>
      <c r="O13" s="22"/>
      <c r="P13" s="22"/>
      <c r="Q13" s="22"/>
      <c r="R13" s="22"/>
      <c r="S13" s="23"/>
    </row>
    <row r="14" spans="1:19" ht="14.4">
      <c r="A14" t="s">
        <v>195</v>
      </c>
      <c r="B14" s="24"/>
      <c r="C14" s="25"/>
      <c r="D14" s="25"/>
      <c r="E14" s="25"/>
      <c r="F14" s="25"/>
      <c r="G14" s="25"/>
    </row>
    <row r="15" spans="1:19" ht="14.4"/>
    <row r="17" spans="9:16" ht="15" customHeight="1">
      <c r="I17" s="101"/>
      <c r="J17" s="104"/>
      <c r="K17" s="107"/>
      <c r="L17" s="107"/>
      <c r="M17" s="107"/>
      <c r="N17" s="107"/>
      <c r="O17" s="107"/>
    </row>
    <row r="18" spans="9:16" ht="15" customHeight="1">
      <c r="I18" s="101"/>
      <c r="J18" s="104"/>
      <c r="K18" s="107"/>
      <c r="L18" s="107"/>
      <c r="M18" s="107"/>
      <c r="N18" s="107"/>
      <c r="O18" s="107"/>
    </row>
    <row r="19" spans="9:16" ht="15" customHeight="1">
      <c r="N19" s="105"/>
      <c r="O19" s="105"/>
      <c r="P19" s="105"/>
    </row>
    <row r="20" spans="9:16" ht="15" customHeight="1">
      <c r="J20" s="83"/>
      <c r="K20" s="6"/>
      <c r="L20" s="106"/>
      <c r="M20" s="2"/>
    </row>
    <row r="21" spans="9:16" ht="15" customHeight="1">
      <c r="J21" s="83"/>
      <c r="K21" s="105"/>
      <c r="L21" s="105"/>
      <c r="M21" s="105"/>
    </row>
    <row r="22" spans="9:16" ht="15" customHeight="1">
      <c r="J22" s="100"/>
      <c r="K22" s="100"/>
    </row>
    <row r="23" spans="9:16" ht="15" customHeight="1">
      <c r="J23" s="100"/>
      <c r="K23" s="100"/>
    </row>
    <row r="24" spans="9:16" ht="15" customHeight="1">
      <c r="J24" s="100"/>
      <c r="K24" s="100"/>
    </row>
  </sheetData>
  <mergeCells count="1">
    <mergeCell ref="L1:S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A110-5440-4C5B-8990-765C7941DD0D}">
  <sheetPr codeName="Sheet13"/>
  <dimension ref="A1:I7"/>
  <sheetViews>
    <sheetView zoomScale="220" zoomScaleNormal="220" workbookViewId="0">
      <selection activeCell="D1" sqref="D1:G5"/>
    </sheetView>
  </sheetViews>
  <sheetFormatPr defaultColWidth="8.44140625" defaultRowHeight="15.6"/>
  <cols>
    <col min="1" max="1" width="8.44140625" style="32" customWidth="1"/>
    <col min="2" max="2" width="15.44140625" style="32" customWidth="1"/>
    <col min="3" max="3" width="3.44140625" style="32" customWidth="1"/>
    <col min="4" max="7" width="9.44140625" style="32" customWidth="1"/>
    <col min="8" max="8" width="8.44140625" style="32" customWidth="1"/>
    <col min="9" max="16384" width="8.44140625" style="32"/>
  </cols>
  <sheetData>
    <row r="1" spans="1:9" ht="15.6" customHeight="1">
      <c r="A1" s="30" t="s">
        <v>4</v>
      </c>
      <c r="B1" s="31">
        <v>40000</v>
      </c>
      <c r="D1" s="108" t="s">
        <v>207</v>
      </c>
      <c r="E1" s="108"/>
      <c r="F1" s="108"/>
      <c r="G1" s="108"/>
      <c r="H1" s="33"/>
      <c r="I1" s="34"/>
    </row>
    <row r="2" spans="1:9">
      <c r="A2" s="30" t="s">
        <v>3</v>
      </c>
      <c r="B2" s="31">
        <v>5</v>
      </c>
      <c r="D2" s="108"/>
      <c r="E2" s="108"/>
      <c r="F2" s="108"/>
      <c r="G2" s="108"/>
      <c r="H2" s="33"/>
      <c r="I2" s="34"/>
    </row>
    <row r="3" spans="1:9">
      <c r="A3" s="30" t="s">
        <v>2</v>
      </c>
      <c r="B3" s="35">
        <v>0.08</v>
      </c>
      <c r="D3" s="108"/>
      <c r="E3" s="108"/>
      <c r="F3" s="108"/>
      <c r="G3" s="108"/>
      <c r="H3" s="33"/>
      <c r="I3" s="34"/>
    </row>
    <row r="4" spans="1:9">
      <c r="A4" s="36" t="s">
        <v>0</v>
      </c>
      <c r="B4" s="37">
        <f>-PV(B3,B2,,B1,0)</f>
        <v>27223.32788135012</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9071-EB2A-4C2D-B378-5D676383EB0F}">
  <sheetPr codeName="Sheet14"/>
  <dimension ref="A1:I7"/>
  <sheetViews>
    <sheetView zoomScale="220" zoomScaleNormal="220" workbookViewId="0">
      <selection activeCell="B4" sqref="B4"/>
    </sheetView>
  </sheetViews>
  <sheetFormatPr defaultColWidth="8.44140625" defaultRowHeight="15.6"/>
  <cols>
    <col min="1" max="1" width="8.44140625" style="32" customWidth="1"/>
    <col min="2" max="2" width="16.44140625" style="32" customWidth="1"/>
    <col min="3" max="3" width="3.44140625" style="32" customWidth="1"/>
    <col min="4" max="7" width="9.44140625" style="32" customWidth="1"/>
    <col min="8" max="8" width="8.44140625" style="32" customWidth="1"/>
    <col min="9" max="16384" width="8.44140625" style="32"/>
  </cols>
  <sheetData>
    <row r="1" spans="1:9" ht="15.6" customHeight="1">
      <c r="A1" s="30" t="s">
        <v>0</v>
      </c>
      <c r="B1" s="31">
        <v>20000</v>
      </c>
      <c r="D1" s="108" t="s">
        <v>208</v>
      </c>
      <c r="E1" s="108"/>
      <c r="F1" s="108"/>
      <c r="G1" s="108"/>
      <c r="H1" s="33"/>
      <c r="I1" s="34"/>
    </row>
    <row r="2" spans="1:9">
      <c r="A2" s="30" t="s">
        <v>3</v>
      </c>
      <c r="B2" s="31">
        <v>4</v>
      </c>
      <c r="D2" s="108"/>
      <c r="E2" s="108"/>
      <c r="F2" s="108"/>
      <c r="G2" s="108"/>
      <c r="H2" s="33"/>
      <c r="I2" s="34"/>
    </row>
    <row r="3" spans="1:9">
      <c r="A3" s="30" t="s">
        <v>4</v>
      </c>
      <c r="B3" s="31">
        <v>26000</v>
      </c>
      <c r="D3" s="108"/>
      <c r="E3" s="108"/>
      <c r="F3" s="108"/>
      <c r="G3" s="108"/>
      <c r="H3" s="33"/>
      <c r="I3" s="34"/>
    </row>
    <row r="4" spans="1:9">
      <c r="A4" s="36" t="s">
        <v>2</v>
      </c>
      <c r="B4" s="38">
        <f>RATE(B2,,-B1,B3,0)</f>
        <v>6.7789972372440721E-2</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4E466-1CD8-44BB-9C59-8CB08BF27653}">
  <sheetPr codeName="Sheet15"/>
  <dimension ref="A1:I7"/>
  <sheetViews>
    <sheetView zoomScale="210" zoomScaleNormal="210" workbookViewId="0">
      <selection activeCell="B5" sqref="B5"/>
    </sheetView>
  </sheetViews>
  <sheetFormatPr defaultColWidth="8.44140625" defaultRowHeight="15.6"/>
  <cols>
    <col min="1" max="1" width="8.44140625" style="32" customWidth="1"/>
    <col min="2" max="2" width="17.6640625" style="32" customWidth="1"/>
    <col min="3" max="3" width="11.109375" style="32" customWidth="1"/>
    <col min="4" max="7" width="9.44140625" style="32" customWidth="1"/>
    <col min="8" max="8" width="8.44140625" style="32" customWidth="1"/>
    <col min="9" max="16384" width="8.44140625" style="32"/>
  </cols>
  <sheetData>
    <row r="1" spans="1:9" ht="15.6" customHeight="1">
      <c r="A1" s="30" t="s">
        <v>0</v>
      </c>
      <c r="B1" s="31">
        <v>30000</v>
      </c>
      <c r="D1" s="108" t="s">
        <v>209</v>
      </c>
      <c r="E1" s="108"/>
      <c r="F1" s="108"/>
      <c r="G1" s="108"/>
      <c r="H1" s="33"/>
      <c r="I1" s="34"/>
    </row>
    <row r="2" spans="1:9">
      <c r="A2" s="30" t="s">
        <v>2</v>
      </c>
      <c r="B2" s="35">
        <v>0.04</v>
      </c>
      <c r="D2" s="108"/>
      <c r="E2" s="108"/>
      <c r="F2" s="108"/>
      <c r="G2" s="108"/>
      <c r="H2" s="33"/>
      <c r="I2" s="34"/>
    </row>
    <row r="3" spans="1:9">
      <c r="A3" s="30" t="s">
        <v>4</v>
      </c>
      <c r="B3" s="31">
        <v>60000</v>
      </c>
      <c r="D3" s="108"/>
      <c r="E3" s="108"/>
      <c r="F3" s="108"/>
      <c r="G3" s="108"/>
      <c r="H3" s="33"/>
      <c r="I3" s="34"/>
    </row>
    <row r="4" spans="1:9">
      <c r="A4" s="36" t="s">
        <v>3</v>
      </c>
      <c r="B4" s="37">
        <f>NPER(B2,,-B1,B3,0)</f>
        <v>17.672987685129698</v>
      </c>
      <c r="C4" s="32" t="s">
        <v>194</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698E-8874-48B1-92AA-EA12BF34CBA5}">
  <sheetPr codeName="Sheet16"/>
  <dimension ref="A1:L9"/>
  <sheetViews>
    <sheetView zoomScale="210" zoomScaleNormal="210" workbookViewId="0">
      <selection activeCell="O8" sqref="O8"/>
    </sheetView>
  </sheetViews>
  <sheetFormatPr defaultColWidth="8.44140625" defaultRowHeight="15.6"/>
  <cols>
    <col min="1" max="1" width="8.44140625" style="32" customWidth="1"/>
    <col min="2" max="2" width="17.6640625" style="32" customWidth="1"/>
    <col min="3" max="3" width="3.44140625" style="32" customWidth="1"/>
    <col min="4" max="7" width="9.44140625" style="32" customWidth="1"/>
    <col min="8" max="8" width="8.44140625" style="32" customWidth="1"/>
    <col min="9" max="11" width="8.44140625" style="32"/>
    <col min="12" max="12" width="16.6640625" style="32" customWidth="1"/>
    <col min="13" max="16384" width="8.44140625" style="32"/>
  </cols>
  <sheetData>
    <row r="1" spans="1:12" ht="15.6" customHeight="1">
      <c r="A1" s="30" t="s">
        <v>210</v>
      </c>
      <c r="B1" s="31">
        <v>26000</v>
      </c>
      <c r="H1" s="33"/>
      <c r="I1" s="34"/>
    </row>
    <row r="2" spans="1:12">
      <c r="A2" s="30" t="s">
        <v>2</v>
      </c>
      <c r="B2" s="35">
        <v>0.05</v>
      </c>
      <c r="H2" s="33"/>
      <c r="I2" s="34"/>
    </row>
    <row r="3" spans="1:12">
      <c r="A3" s="30" t="s">
        <v>3</v>
      </c>
      <c r="B3" s="31">
        <v>3</v>
      </c>
      <c r="H3" s="33"/>
      <c r="I3" s="34"/>
    </row>
    <row r="4" spans="1:12">
      <c r="A4" s="36" t="s">
        <v>4</v>
      </c>
      <c r="B4" s="37">
        <f>FV(B2, B3, -B1, 0)</f>
        <v>81965.000000000073</v>
      </c>
      <c r="H4" s="33"/>
      <c r="I4" s="34"/>
    </row>
    <row r="5" spans="1:12">
      <c r="H5" s="33"/>
      <c r="I5" s="108" t="s">
        <v>211</v>
      </c>
      <c r="J5" s="108"/>
      <c r="K5" s="108"/>
      <c r="L5" s="108"/>
    </row>
    <row r="6" spans="1:12">
      <c r="I6" s="108"/>
      <c r="J6" s="108"/>
      <c r="K6" s="108"/>
      <c r="L6" s="108"/>
    </row>
    <row r="7" spans="1:12">
      <c r="D7" s="109" t="s">
        <v>5</v>
      </c>
      <c r="E7" s="109"/>
      <c r="F7" s="109"/>
      <c r="G7" s="109"/>
      <c r="I7" s="108"/>
      <c r="J7" s="108"/>
      <c r="K7" s="108"/>
      <c r="L7" s="108"/>
    </row>
    <row r="8" spans="1:12">
      <c r="I8" s="108"/>
      <c r="J8" s="108"/>
      <c r="K8" s="108"/>
      <c r="L8" s="108"/>
    </row>
    <row r="9" spans="1:12">
      <c r="I9" s="108"/>
      <c r="J9" s="108"/>
      <c r="K9" s="108"/>
      <c r="L9" s="108"/>
    </row>
  </sheetData>
  <mergeCells count="2">
    <mergeCell ref="I5:L9"/>
    <mergeCell ref="D7:G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5890-6C3B-4CDD-B6C2-F7D941066431}">
  <sheetPr codeName="Sheet28"/>
  <dimension ref="A1:K12"/>
  <sheetViews>
    <sheetView zoomScale="210" zoomScaleNormal="210" workbookViewId="0">
      <selection activeCell="L14" sqref="L14"/>
    </sheetView>
  </sheetViews>
  <sheetFormatPr defaultColWidth="8.44140625" defaultRowHeight="15.6"/>
  <cols>
    <col min="1" max="1" width="8.44140625" style="32" customWidth="1"/>
    <col min="2" max="2" width="14.33203125" style="32" customWidth="1"/>
    <col min="3" max="3" width="3.44140625" style="32" customWidth="1"/>
    <col min="4" max="7" width="9.44140625" style="32" customWidth="1"/>
    <col min="8" max="8" width="8.44140625" style="32" customWidth="1"/>
    <col min="9" max="15" width="11.88671875" style="32" customWidth="1"/>
    <col min="16" max="16384" width="8.44140625" style="32"/>
  </cols>
  <sheetData>
    <row r="1" spans="1:11" ht="15.6" customHeight="1">
      <c r="A1" s="30" t="s">
        <v>4</v>
      </c>
      <c r="B1" s="31">
        <v>34000</v>
      </c>
      <c r="D1" s="108" t="s">
        <v>212</v>
      </c>
      <c r="E1" s="108"/>
      <c r="F1" s="108"/>
      <c r="G1" s="108"/>
      <c r="H1" s="45"/>
      <c r="I1" s="45"/>
      <c r="J1" s="45"/>
      <c r="K1" s="45"/>
    </row>
    <row r="2" spans="1:11">
      <c r="A2" s="30" t="s">
        <v>2</v>
      </c>
      <c r="B2" s="35">
        <v>0.1</v>
      </c>
      <c r="D2" s="108"/>
      <c r="E2" s="108"/>
      <c r="F2" s="108"/>
      <c r="G2" s="108"/>
      <c r="H2" s="45"/>
      <c r="I2" s="45"/>
      <c r="J2" s="45"/>
      <c r="K2" s="45"/>
    </row>
    <row r="3" spans="1:11">
      <c r="A3" s="30" t="s">
        <v>3</v>
      </c>
      <c r="B3" s="31">
        <v>5</v>
      </c>
      <c r="D3" s="108"/>
      <c r="E3" s="108"/>
      <c r="F3" s="108"/>
      <c r="G3" s="108"/>
      <c r="H3" s="45"/>
      <c r="I3" s="45"/>
      <c r="J3" s="45"/>
      <c r="K3" s="45"/>
    </row>
    <row r="4" spans="1:11">
      <c r="A4" s="36" t="s">
        <v>210</v>
      </c>
      <c r="B4" s="93">
        <f>PMT(B2, B3, , -B1, 0)</f>
        <v>5569.1143470213428</v>
      </c>
      <c r="D4" s="108"/>
      <c r="E4" s="108"/>
      <c r="F4" s="108"/>
      <c r="G4" s="108"/>
      <c r="H4" s="45"/>
      <c r="I4" s="45"/>
      <c r="J4" s="45"/>
      <c r="K4" s="45"/>
    </row>
    <row r="5" spans="1:11">
      <c r="D5" s="108"/>
      <c r="E5" s="108"/>
      <c r="F5" s="108"/>
      <c r="G5" s="108"/>
      <c r="H5" s="45"/>
      <c r="I5" s="45"/>
      <c r="J5" s="45"/>
      <c r="K5" s="45"/>
    </row>
    <row r="6" spans="1:11">
      <c r="D6" s="108"/>
      <c r="E6" s="108"/>
      <c r="F6" s="108"/>
      <c r="G6" s="108"/>
      <c r="H6" s="45"/>
      <c r="I6" s="45"/>
      <c r="J6" s="45"/>
      <c r="K6" s="45"/>
    </row>
    <row r="7" spans="1:11">
      <c r="D7" s="109" t="s">
        <v>5</v>
      </c>
      <c r="E7" s="109"/>
      <c r="F7" s="109"/>
      <c r="G7" s="109"/>
    </row>
    <row r="9" spans="1:11">
      <c r="A9" s="32" t="s">
        <v>213</v>
      </c>
      <c r="B9" s="32">
        <v>0.1</v>
      </c>
    </row>
    <row r="10" spans="1:11">
      <c r="A10" s="32" t="s">
        <v>214</v>
      </c>
    </row>
    <row r="11" spans="1:11">
      <c r="A11" s="32" t="s">
        <v>3</v>
      </c>
      <c r="B11" s="32">
        <v>5</v>
      </c>
    </row>
    <row r="12" spans="1:11">
      <c r="A12" s="32" t="s">
        <v>0</v>
      </c>
      <c r="B12" s="32">
        <v>0</v>
      </c>
    </row>
  </sheetData>
  <mergeCells count="2">
    <mergeCell ref="D7:G7"/>
    <mergeCell ref="D1:G6"/>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3D10-1481-476E-A7D1-337F5B7BBAAD}">
  <sheetPr codeName="Sheet26"/>
  <dimension ref="A1:I7"/>
  <sheetViews>
    <sheetView zoomScale="210" zoomScaleNormal="210" workbookViewId="0">
      <selection activeCell="B5" sqref="B5"/>
    </sheetView>
  </sheetViews>
  <sheetFormatPr defaultColWidth="8.44140625" defaultRowHeight="15.6"/>
  <cols>
    <col min="1" max="1" width="8.44140625" style="32" customWidth="1"/>
    <col min="2" max="2" width="14.109375" style="32" customWidth="1"/>
    <col min="3" max="3" width="3.44140625" style="32" customWidth="1"/>
    <col min="4" max="7" width="9.44140625" style="32" customWidth="1"/>
    <col min="8" max="8" width="8.44140625" style="32" customWidth="1"/>
    <col min="9" max="16384" width="8.44140625" style="32"/>
  </cols>
  <sheetData>
    <row r="1" spans="1:9" ht="15.6" customHeight="1">
      <c r="A1" s="30" t="s">
        <v>4</v>
      </c>
      <c r="B1" s="31">
        <v>30000</v>
      </c>
      <c r="D1" s="108" t="s">
        <v>215</v>
      </c>
      <c r="E1" s="108"/>
      <c r="F1" s="108"/>
      <c r="G1" s="108"/>
      <c r="H1" s="33"/>
      <c r="I1" s="34"/>
    </row>
    <row r="2" spans="1:9">
      <c r="A2" s="30" t="s">
        <v>210</v>
      </c>
      <c r="B2" s="31">
        <v>6000</v>
      </c>
      <c r="D2" s="108"/>
      <c r="E2" s="108"/>
      <c r="F2" s="108"/>
      <c r="G2" s="108"/>
      <c r="H2" s="33"/>
      <c r="I2" s="34"/>
    </row>
    <row r="3" spans="1:9">
      <c r="A3" s="30" t="s">
        <v>3</v>
      </c>
      <c r="B3" s="31">
        <v>4</v>
      </c>
      <c r="D3" s="108"/>
      <c r="E3" s="108"/>
      <c r="F3" s="108"/>
      <c r="G3" s="108"/>
      <c r="H3" s="33"/>
      <c r="I3" s="34"/>
    </row>
    <row r="4" spans="1:9">
      <c r="A4" s="30" t="s">
        <v>2</v>
      </c>
      <c r="B4" s="57">
        <f>RATE(B3, -B2, 0, B1, 0)</f>
        <v>0.15091108433781938</v>
      </c>
      <c r="D4" s="108"/>
      <c r="E4" s="108"/>
      <c r="F4" s="108"/>
      <c r="G4" s="108"/>
      <c r="H4" s="33"/>
      <c r="I4" s="34"/>
    </row>
    <row r="5" spans="1:9" ht="15.75" customHeight="1">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D738-1F0D-4C1B-B084-35D8B92580DE}">
  <sheetPr codeName="Sheet30"/>
  <dimension ref="A1:O7"/>
  <sheetViews>
    <sheetView zoomScale="210" zoomScaleNormal="210" workbookViewId="0">
      <selection activeCell="C10" sqref="C10"/>
    </sheetView>
  </sheetViews>
  <sheetFormatPr defaultColWidth="8.44140625" defaultRowHeight="15.6"/>
  <cols>
    <col min="1" max="1" width="8.44140625" style="32" customWidth="1"/>
    <col min="2" max="2" width="22.109375" style="32" customWidth="1"/>
    <col min="3" max="3" width="3.44140625" style="32" customWidth="1"/>
    <col min="4" max="7" width="9.44140625" style="32" customWidth="1"/>
    <col min="8" max="8" width="8.44140625" style="32" customWidth="1"/>
    <col min="9" max="16384" width="8.44140625" style="32"/>
  </cols>
  <sheetData>
    <row r="1" spans="1:15" ht="15.6" customHeight="1">
      <c r="A1" s="30" t="s">
        <v>210</v>
      </c>
      <c r="B1" s="31">
        <v>4300</v>
      </c>
      <c r="D1" s="108" t="s">
        <v>216</v>
      </c>
      <c r="E1" s="108"/>
      <c r="F1" s="108"/>
      <c r="G1" s="108"/>
      <c r="H1" s="33"/>
      <c r="I1" s="34"/>
    </row>
    <row r="2" spans="1:15">
      <c r="A2" s="30" t="s">
        <v>4</v>
      </c>
      <c r="B2" s="31">
        <v>20000</v>
      </c>
      <c r="D2" s="108"/>
      <c r="E2" s="108"/>
      <c r="F2" s="108"/>
      <c r="G2" s="108"/>
      <c r="H2" s="33"/>
      <c r="I2" s="34"/>
    </row>
    <row r="3" spans="1:15">
      <c r="A3" s="30" t="s">
        <v>2</v>
      </c>
      <c r="B3" s="35">
        <v>0.08</v>
      </c>
      <c r="D3" s="108"/>
      <c r="E3" s="108"/>
      <c r="F3" s="108"/>
      <c r="G3" s="108"/>
      <c r="H3" s="33"/>
      <c r="I3" s="34"/>
    </row>
    <row r="4" spans="1:15">
      <c r="A4" s="30" t="s">
        <v>3</v>
      </c>
      <c r="B4" s="37">
        <f>NPER(B3, B1,, -B2, 0)</f>
        <v>4.1103566628291945</v>
      </c>
      <c r="D4" s="108"/>
      <c r="E4" s="108"/>
      <c r="F4" s="108"/>
      <c r="G4" s="108"/>
      <c r="H4" s="33" t="s">
        <v>217</v>
      </c>
      <c r="I4" s="33" t="s">
        <v>218</v>
      </c>
      <c r="J4" s="33" t="s">
        <v>219</v>
      </c>
      <c r="K4" s="33" t="s">
        <v>220</v>
      </c>
      <c r="L4" s="33" t="s">
        <v>221</v>
      </c>
      <c r="M4" s="33" t="s">
        <v>222</v>
      </c>
      <c r="N4" s="33" t="s">
        <v>223</v>
      </c>
      <c r="O4" s="33" t="s">
        <v>224</v>
      </c>
    </row>
    <row r="5" spans="1:15">
      <c r="D5" s="108"/>
      <c r="E5" s="108"/>
      <c r="F5" s="108"/>
      <c r="G5" s="108"/>
      <c r="H5" s="33">
        <v>0</v>
      </c>
      <c r="I5" s="34">
        <v>4300</v>
      </c>
      <c r="J5" s="32">
        <f>4300+(I5*1.08)</f>
        <v>8944</v>
      </c>
      <c r="K5" s="32">
        <f t="shared" ref="K5:O5" si="0">4300+(J5*1.08)</f>
        <v>13959.52</v>
      </c>
      <c r="L5" s="32">
        <f t="shared" si="0"/>
        <v>19376.281600000002</v>
      </c>
      <c r="M5" s="32">
        <f t="shared" si="0"/>
        <v>25226.384128000005</v>
      </c>
      <c r="N5" s="32">
        <f t="shared" si="0"/>
        <v>31544.494858240007</v>
      </c>
      <c r="O5" s="32">
        <f t="shared" si="0"/>
        <v>38368.054446899208</v>
      </c>
    </row>
    <row r="6" spans="1:15">
      <c r="D6" s="108"/>
      <c r="E6" s="108"/>
      <c r="F6" s="108"/>
      <c r="G6" s="108"/>
      <c r="I6" s="32">
        <v>1.08</v>
      </c>
    </row>
    <row r="7" spans="1:15">
      <c r="D7" s="109" t="s">
        <v>5</v>
      </c>
      <c r="E7" s="109"/>
      <c r="F7" s="109"/>
      <c r="G7" s="109"/>
      <c r="L7" s="32">
        <f>4644+(4300*1.08)</f>
        <v>9288</v>
      </c>
    </row>
  </sheetData>
  <mergeCells count="2">
    <mergeCell ref="D1:G6"/>
    <mergeCell ref="D7:G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E1A8-D4D5-4816-B7EA-585FFD2664D6}">
  <sheetPr codeName="Sheet25"/>
  <dimension ref="A1:I7"/>
  <sheetViews>
    <sheetView zoomScale="220" zoomScaleNormal="220" workbookViewId="0">
      <selection activeCell="B4" sqref="B4"/>
    </sheetView>
  </sheetViews>
  <sheetFormatPr defaultColWidth="8.44140625" defaultRowHeight="15.6"/>
  <cols>
    <col min="1" max="1" width="8.44140625" style="32" customWidth="1"/>
    <col min="2" max="3" width="18.109375" style="32" customWidth="1"/>
    <col min="4" max="7" width="9.44140625" style="32" customWidth="1"/>
    <col min="8" max="8" width="8.44140625" style="32" customWidth="1"/>
    <col min="9" max="16384" width="8.44140625" style="32"/>
  </cols>
  <sheetData>
    <row r="1" spans="1:9" ht="15.6" customHeight="1">
      <c r="A1" s="30" t="s">
        <v>210</v>
      </c>
      <c r="B1" s="31">
        <v>33000</v>
      </c>
      <c r="D1" s="108" t="s">
        <v>225</v>
      </c>
      <c r="E1" s="108"/>
      <c r="F1" s="108"/>
      <c r="G1" s="108"/>
      <c r="H1" s="33"/>
      <c r="I1" s="34"/>
    </row>
    <row r="2" spans="1:9">
      <c r="A2" s="30" t="s">
        <v>2</v>
      </c>
      <c r="B2" s="35">
        <v>0.12</v>
      </c>
      <c r="D2" s="108"/>
      <c r="E2" s="108"/>
      <c r="F2" s="108"/>
      <c r="G2" s="108"/>
      <c r="H2" s="33"/>
      <c r="I2" s="34"/>
    </row>
    <row r="3" spans="1:9">
      <c r="A3" s="30" t="s">
        <v>3</v>
      </c>
      <c r="B3" s="31">
        <v>3</v>
      </c>
      <c r="D3" s="108"/>
      <c r="E3" s="108"/>
      <c r="F3" s="108"/>
      <c r="G3" s="108"/>
      <c r="H3" s="33"/>
      <c r="I3" s="34"/>
    </row>
    <row r="4" spans="1:9">
      <c r="A4" s="36" t="s">
        <v>0</v>
      </c>
      <c r="B4" s="37">
        <f>PV(12%,3,-33000)</f>
        <v>79260.431851312009</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227E-BECB-4C5A-BA2B-B9544C608475}">
  <sheetPr codeName="Sheet29"/>
  <dimension ref="A1:I7"/>
  <sheetViews>
    <sheetView zoomScale="220" zoomScaleNormal="220" workbookViewId="0">
      <selection activeCell="B4" sqref="B4"/>
    </sheetView>
  </sheetViews>
  <sheetFormatPr defaultColWidth="8.44140625" defaultRowHeight="15.6"/>
  <cols>
    <col min="1" max="1" width="8.44140625" style="32" customWidth="1"/>
    <col min="2" max="2" width="17.33203125" style="32" customWidth="1"/>
    <col min="3" max="3" width="3.44140625" style="32" customWidth="1"/>
    <col min="4" max="7" width="9.44140625" style="32" customWidth="1"/>
    <col min="8" max="8" width="8.44140625" style="32" customWidth="1"/>
    <col min="9" max="16384" width="8.44140625" style="32"/>
  </cols>
  <sheetData>
    <row r="1" spans="1:9" ht="15.6" customHeight="1">
      <c r="A1" s="30" t="s">
        <v>0</v>
      </c>
      <c r="B1" s="31">
        <v>60000</v>
      </c>
      <c r="D1" s="108" t="s">
        <v>226</v>
      </c>
      <c r="E1" s="108"/>
      <c r="F1" s="108"/>
      <c r="G1" s="108"/>
      <c r="H1" s="33"/>
      <c r="I1" s="34"/>
    </row>
    <row r="2" spans="1:9">
      <c r="A2" s="30" t="s">
        <v>2</v>
      </c>
      <c r="B2" s="35">
        <v>0.09</v>
      </c>
      <c r="D2" s="108"/>
      <c r="E2" s="108"/>
      <c r="F2" s="108"/>
      <c r="G2" s="108"/>
      <c r="H2" s="33"/>
      <c r="I2" s="34"/>
    </row>
    <row r="3" spans="1:9">
      <c r="A3" s="30" t="s">
        <v>3</v>
      </c>
      <c r="B3" s="31">
        <v>6</v>
      </c>
      <c r="D3" s="108"/>
      <c r="E3" s="108"/>
      <c r="F3" s="108"/>
      <c r="G3" s="108"/>
      <c r="H3" s="33"/>
      <c r="I3" s="34"/>
    </row>
    <row r="4" spans="1:9">
      <c r="A4" s="36" t="s">
        <v>210</v>
      </c>
      <c r="B4" s="37">
        <f>PMT(9%,6,-60000)</f>
        <v>13375.18699752222</v>
      </c>
      <c r="D4" s="108"/>
      <c r="E4" s="108"/>
      <c r="F4" s="108"/>
      <c r="G4" s="108"/>
      <c r="H4" s="33"/>
      <c r="I4" s="34"/>
    </row>
    <row r="5" spans="1:9">
      <c r="D5" s="108"/>
      <c r="E5" s="108"/>
      <c r="F5" s="108"/>
      <c r="G5" s="108"/>
      <c r="H5" s="33"/>
      <c r="I5" s="34"/>
    </row>
    <row r="6" spans="1:9">
      <c r="D6" s="108"/>
      <c r="E6" s="108"/>
      <c r="F6" s="108"/>
      <c r="G6" s="108"/>
    </row>
    <row r="7" spans="1:9">
      <c r="D7" s="109" t="s">
        <v>5</v>
      </c>
      <c r="E7" s="109"/>
      <c r="F7" s="109"/>
      <c r="G7" s="109"/>
    </row>
  </sheetData>
  <mergeCells count="2">
    <mergeCell ref="D1:G6"/>
    <mergeCell ref="D7:G7"/>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A105-8A0F-468F-BE6F-8F2FCF715343}">
  <sheetPr codeName="Sheet27"/>
  <dimension ref="A1:I7"/>
  <sheetViews>
    <sheetView zoomScale="220" zoomScaleNormal="220" workbookViewId="0">
      <selection activeCell="B5" sqref="B5"/>
    </sheetView>
  </sheetViews>
  <sheetFormatPr defaultColWidth="8.44140625" defaultRowHeight="15.6"/>
  <cols>
    <col min="1" max="1" width="8.44140625" style="32" customWidth="1"/>
    <col min="2" max="2" width="20.6640625" style="32" customWidth="1"/>
    <col min="3" max="3" width="3.44140625" style="32" customWidth="1"/>
    <col min="4" max="7" width="9.44140625" style="32" customWidth="1"/>
    <col min="8" max="8" width="8.44140625" style="32" customWidth="1"/>
    <col min="9" max="16384" width="8.44140625" style="32"/>
  </cols>
  <sheetData>
    <row r="1" spans="1:9" ht="15.6" customHeight="1">
      <c r="A1" s="30" t="s">
        <v>0</v>
      </c>
      <c r="B1" s="31">
        <v>30000</v>
      </c>
      <c r="D1" s="108" t="s">
        <v>227</v>
      </c>
      <c r="E1" s="108"/>
      <c r="F1" s="108"/>
      <c r="G1" s="108"/>
      <c r="H1" s="33"/>
      <c r="I1" s="34"/>
    </row>
    <row r="2" spans="1:9">
      <c r="A2" s="30" t="s">
        <v>210</v>
      </c>
      <c r="B2" s="31">
        <v>12000</v>
      </c>
      <c r="D2" s="108"/>
      <c r="E2" s="108"/>
      <c r="F2" s="108"/>
      <c r="G2" s="108"/>
      <c r="H2" s="33"/>
      <c r="I2" s="34"/>
    </row>
    <row r="3" spans="1:9">
      <c r="A3" s="30" t="s">
        <v>3</v>
      </c>
      <c r="B3" s="31">
        <v>3</v>
      </c>
      <c r="D3" s="108"/>
      <c r="E3" s="108"/>
      <c r="F3" s="108"/>
      <c r="G3" s="108"/>
      <c r="H3" s="33"/>
      <c r="I3" s="34"/>
    </row>
    <row r="4" spans="1:9">
      <c r="A4" s="30" t="s">
        <v>2</v>
      </c>
      <c r="B4" s="57">
        <f>RATE(3,12000,-30000)</f>
        <v>9.7010257404591127E-2</v>
      </c>
      <c r="D4" s="108"/>
      <c r="E4" s="108"/>
      <c r="F4" s="108"/>
      <c r="G4" s="108"/>
      <c r="H4" s="33"/>
      <c r="I4" s="34"/>
    </row>
    <row r="5" spans="1:9">
      <c r="D5" s="108"/>
      <c r="E5" s="108"/>
      <c r="F5" s="108"/>
      <c r="G5" s="108"/>
      <c r="H5" s="33"/>
      <c r="I5" s="34"/>
    </row>
    <row r="7" spans="1:9">
      <c r="D7" s="109" t="s">
        <v>5</v>
      </c>
      <c r="E7" s="109"/>
      <c r="F7" s="109"/>
      <c r="G7" s="109"/>
    </row>
  </sheetData>
  <mergeCells count="2">
    <mergeCell ref="D1:G5"/>
    <mergeCell ref="D7:G7"/>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75535-0ACB-41E5-B1D7-DA58C0F1ED2C}">
  <sheetPr codeName="Sheet31"/>
  <dimension ref="A1:I7"/>
  <sheetViews>
    <sheetView zoomScale="210" zoomScaleNormal="210" zoomScaleSheetLayoutView="128" workbookViewId="0">
      <selection activeCell="B4" sqref="B4"/>
    </sheetView>
  </sheetViews>
  <sheetFormatPr defaultColWidth="8.44140625" defaultRowHeight="15.6"/>
  <cols>
    <col min="1" max="1" width="8.44140625" style="32" customWidth="1"/>
    <col min="2" max="2" width="19.6640625" style="32" customWidth="1"/>
    <col min="3" max="3" width="3.44140625" style="32" customWidth="1"/>
    <col min="4" max="7" width="9.44140625" style="32" customWidth="1"/>
    <col min="8" max="8" width="8.44140625" style="32" customWidth="1"/>
    <col min="9" max="16384" width="8.44140625" style="32"/>
  </cols>
  <sheetData>
    <row r="1" spans="1:9" ht="15.6" customHeight="1">
      <c r="A1" s="30" t="s">
        <v>210</v>
      </c>
      <c r="B1" s="31">
        <v>11000</v>
      </c>
      <c r="D1" s="108" t="s">
        <v>228</v>
      </c>
      <c r="E1" s="108"/>
      <c r="F1" s="108"/>
      <c r="G1" s="108"/>
      <c r="H1" s="33"/>
      <c r="I1" s="34"/>
    </row>
    <row r="2" spans="1:9">
      <c r="A2" s="30" t="s">
        <v>0</v>
      </c>
      <c r="B2" s="31">
        <v>110000</v>
      </c>
      <c r="D2" s="108"/>
      <c r="E2" s="108"/>
      <c r="F2" s="108"/>
      <c r="G2" s="108"/>
      <c r="H2" s="33"/>
      <c r="I2" s="34"/>
    </row>
    <row r="3" spans="1:9">
      <c r="A3" s="30" t="s">
        <v>2</v>
      </c>
      <c r="B3" s="35">
        <v>0.05</v>
      </c>
      <c r="D3" s="108"/>
      <c r="E3" s="108"/>
      <c r="F3" s="108"/>
      <c r="G3" s="108"/>
      <c r="H3" s="33"/>
      <c r="I3" s="34"/>
    </row>
    <row r="4" spans="1:9">
      <c r="A4" s="30" t="s">
        <v>3</v>
      </c>
      <c r="B4" s="37">
        <f>NPER(5%, -11000,0, 110000)</f>
        <v>8.3103862225205596</v>
      </c>
      <c r="D4" s="108"/>
      <c r="E4" s="108"/>
      <c r="F4" s="108"/>
      <c r="G4" s="108"/>
      <c r="H4" s="33"/>
      <c r="I4" s="34"/>
    </row>
    <row r="5" spans="1:9">
      <c r="D5" s="108"/>
      <c r="E5" s="108"/>
      <c r="F5" s="108"/>
      <c r="G5" s="108"/>
      <c r="H5" s="33"/>
      <c r="I5" s="34"/>
    </row>
    <row r="6" spans="1:9">
      <c r="D6" s="108"/>
      <c r="E6" s="108"/>
      <c r="F6" s="108"/>
      <c r="G6" s="108"/>
    </row>
    <row r="7" spans="1:9">
      <c r="D7" s="109" t="s">
        <v>5</v>
      </c>
      <c r="E7" s="109"/>
      <c r="F7" s="109"/>
      <c r="G7" s="109"/>
    </row>
  </sheetData>
  <mergeCells count="2">
    <mergeCell ref="D1:G6"/>
    <mergeCell ref="D7:G7"/>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E3CE-5342-4F24-9A8D-8B5D9C3F1AA7}">
  <sheetPr codeName="Sheet17"/>
  <dimension ref="A1:I17"/>
  <sheetViews>
    <sheetView zoomScale="120" zoomScaleNormal="120" workbookViewId="0">
      <selection activeCell="B10" sqref="B10"/>
    </sheetView>
  </sheetViews>
  <sheetFormatPr defaultColWidth="8.44140625" defaultRowHeight="15.6"/>
  <cols>
    <col min="1" max="1" width="22.44140625" style="32" bestFit="1" customWidth="1"/>
    <col min="2" max="2" width="13.88671875" style="32" bestFit="1" customWidth="1"/>
    <col min="3" max="3" width="18.109375" style="32" customWidth="1"/>
    <col min="4" max="7" width="9.44140625" style="32" customWidth="1"/>
    <col min="8" max="8" width="8.44140625" style="32" customWidth="1"/>
    <col min="9" max="16384" width="8.44140625" style="32"/>
  </cols>
  <sheetData>
    <row r="1" spans="1:9" ht="15.6" customHeight="1">
      <c r="A1" s="42" t="s">
        <v>51</v>
      </c>
      <c r="B1" s="43" t="s">
        <v>229</v>
      </c>
      <c r="D1" s="108" t="s">
        <v>230</v>
      </c>
      <c r="E1" s="108"/>
      <c r="F1" s="108"/>
      <c r="G1" s="108"/>
      <c r="H1" s="33"/>
      <c r="I1" s="34"/>
    </row>
    <row r="2" spans="1:9">
      <c r="A2" s="42">
        <v>2016</v>
      </c>
      <c r="B2" s="44">
        <v>0.12</v>
      </c>
      <c r="D2" s="108"/>
      <c r="E2" s="108"/>
      <c r="F2" s="108"/>
      <c r="G2" s="108"/>
      <c r="H2" s="33"/>
      <c r="I2" s="34"/>
    </row>
    <row r="3" spans="1:9">
      <c r="A3" s="42">
        <f>A2+1</f>
        <v>2017</v>
      </c>
      <c r="B3" s="44">
        <v>0.08</v>
      </c>
      <c r="D3" s="108"/>
      <c r="E3" s="108"/>
      <c r="F3" s="108"/>
      <c r="G3" s="108"/>
      <c r="H3" s="33"/>
      <c r="I3" s="34"/>
    </row>
    <row r="4" spans="1:9">
      <c r="A4" s="42">
        <f>A3+1</f>
        <v>2018</v>
      </c>
      <c r="B4" s="44">
        <v>0</v>
      </c>
      <c r="D4" s="108"/>
      <c r="E4" s="108"/>
      <c r="F4" s="108"/>
      <c r="G4" s="108"/>
      <c r="H4" s="33"/>
      <c r="I4" s="34"/>
    </row>
    <row r="5" spans="1:9">
      <c r="A5" s="42">
        <f>A4+1</f>
        <v>2019</v>
      </c>
      <c r="B5" s="44">
        <v>0.04</v>
      </c>
      <c r="D5" s="45"/>
      <c r="E5" s="45"/>
      <c r="F5" s="45"/>
      <c r="G5" s="45"/>
      <c r="H5" s="33"/>
      <c r="I5" s="34"/>
    </row>
    <row r="6" spans="1:9">
      <c r="D6" s="109" t="s">
        <v>5</v>
      </c>
      <c r="E6" s="109"/>
      <c r="F6" s="109"/>
      <c r="G6" s="109"/>
    </row>
    <row r="7" spans="1:9">
      <c r="A7" s="42" t="s">
        <v>231</v>
      </c>
      <c r="B7" s="35">
        <v>0.01</v>
      </c>
    </row>
    <row r="9" spans="1:9">
      <c r="A9" s="36" t="s">
        <v>232</v>
      </c>
      <c r="B9" s="38">
        <f>AVERAGE(B2:B5)</f>
        <v>6.0000000000000005E-2</v>
      </c>
      <c r="D9" s="18" t="s">
        <v>233</v>
      </c>
    </row>
    <row r="10" spans="1:9">
      <c r="A10" s="36" t="s">
        <v>234</v>
      </c>
      <c r="B10" s="38">
        <f>VAR(B2:B5)</f>
        <v>2.6666666666666657E-3</v>
      </c>
      <c r="C10" s="55"/>
      <c r="D10" s="18" t="s">
        <v>235</v>
      </c>
    </row>
    <row r="11" spans="1:9">
      <c r="A11" s="36" t="s">
        <v>236</v>
      </c>
      <c r="B11" s="38">
        <f>SQRT(B10)</f>
        <v>5.1639777949432218E-2</v>
      </c>
      <c r="D11" s="18" t="s">
        <v>237</v>
      </c>
    </row>
    <row r="12" spans="1:9">
      <c r="A12" s="36" t="s">
        <v>238</v>
      </c>
      <c r="B12" s="37">
        <f>B11/B9</f>
        <v>0.86066296582387025</v>
      </c>
      <c r="D12" s="18" t="s">
        <v>239</v>
      </c>
    </row>
    <row r="13" spans="1:9">
      <c r="A13" s="36" t="s">
        <v>240</v>
      </c>
      <c r="B13" s="37">
        <f>B9-B7/B11</f>
        <v>-0.13364916731037088</v>
      </c>
      <c r="D13" s="18" t="s">
        <v>241</v>
      </c>
    </row>
    <row r="15" spans="1:9">
      <c r="D15" s="120" t="s">
        <v>242</v>
      </c>
      <c r="E15" s="120"/>
      <c r="F15" s="120"/>
      <c r="G15" s="120"/>
    </row>
    <row r="16" spans="1:9">
      <c r="A16" s="32" t="s">
        <v>243</v>
      </c>
      <c r="B16" s="90"/>
      <c r="D16" s="120"/>
      <c r="E16" s="120"/>
      <c r="F16" s="120"/>
      <c r="G16" s="120"/>
    </row>
    <row r="17" spans="2:2">
      <c r="B17" s="90"/>
    </row>
  </sheetData>
  <mergeCells count="3">
    <mergeCell ref="D6:G6"/>
    <mergeCell ref="D1:G4"/>
    <mergeCell ref="D15:G16"/>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261C-CF59-4C6F-AD5D-289E42BC07E3}">
  <sheetPr codeName="Sheet18"/>
  <dimension ref="A1:J13"/>
  <sheetViews>
    <sheetView zoomScale="120" zoomScaleNormal="120" workbookViewId="0">
      <selection activeCell="B13" sqref="B13"/>
    </sheetView>
  </sheetViews>
  <sheetFormatPr defaultColWidth="8.44140625" defaultRowHeight="15.6"/>
  <cols>
    <col min="1" max="1" width="22.44140625" style="32" bestFit="1" customWidth="1"/>
    <col min="2" max="2" width="13.88671875" style="32" bestFit="1" customWidth="1"/>
    <col min="3" max="4" width="8.44140625" style="32" customWidth="1"/>
    <col min="5" max="8" width="9.44140625" style="32" customWidth="1"/>
    <col min="9" max="9" width="8.44140625" style="32" customWidth="1"/>
    <col min="10" max="16384" width="8.44140625" style="32"/>
  </cols>
  <sheetData>
    <row r="1" spans="1:10" ht="15.6" customHeight="1">
      <c r="A1" s="42" t="s">
        <v>244</v>
      </c>
      <c r="B1" s="42" t="s">
        <v>245</v>
      </c>
      <c r="C1" s="42" t="s">
        <v>246</v>
      </c>
      <c r="E1" s="108" t="s">
        <v>247</v>
      </c>
      <c r="F1" s="108"/>
      <c r="G1" s="108"/>
      <c r="H1" s="108"/>
      <c r="I1" s="33"/>
      <c r="J1" s="34"/>
    </row>
    <row r="2" spans="1:10">
      <c r="A2" s="42" t="s">
        <v>248</v>
      </c>
      <c r="B2" s="44">
        <v>0.05</v>
      </c>
      <c r="C2" s="44">
        <v>0.1</v>
      </c>
      <c r="E2" s="108"/>
      <c r="F2" s="108"/>
      <c r="G2" s="108"/>
      <c r="H2" s="108"/>
      <c r="I2" s="33"/>
      <c r="J2" s="34"/>
    </row>
    <row r="3" spans="1:10">
      <c r="A3" s="42" t="s">
        <v>249</v>
      </c>
      <c r="B3" s="44">
        <v>0.5</v>
      </c>
      <c r="C3" s="44">
        <v>0.06</v>
      </c>
      <c r="E3" s="108"/>
      <c r="F3" s="108"/>
      <c r="G3" s="108"/>
      <c r="H3" s="108"/>
      <c r="I3" s="33"/>
      <c r="J3" s="34"/>
    </row>
    <row r="4" spans="1:10">
      <c r="A4" s="42" t="s">
        <v>250</v>
      </c>
      <c r="B4" s="44">
        <f>1-SUM(B2:B3)</f>
        <v>0.44999999999999996</v>
      </c>
      <c r="C4" s="44">
        <v>-0.02</v>
      </c>
      <c r="E4" s="108"/>
      <c r="F4" s="108"/>
      <c r="G4" s="108"/>
      <c r="H4" s="108"/>
      <c r="I4" s="33"/>
      <c r="J4" s="34"/>
    </row>
    <row r="5" spans="1:10" ht="28.5" customHeight="1">
      <c r="A5" s="42"/>
      <c r="B5" s="44"/>
      <c r="E5" s="108"/>
      <c r="F5" s="108"/>
      <c r="G5" s="108"/>
      <c r="H5" s="108"/>
      <c r="I5" s="33"/>
      <c r="J5" s="34"/>
    </row>
    <row r="6" spans="1:10">
      <c r="E6" s="109"/>
      <c r="F6" s="109"/>
      <c r="G6" s="109"/>
      <c r="H6" s="109"/>
    </row>
    <row r="7" spans="1:10">
      <c r="A7" s="42" t="s">
        <v>231</v>
      </c>
      <c r="B7" s="35">
        <v>0.01</v>
      </c>
    </row>
    <row r="9" spans="1:10">
      <c r="A9" s="36" t="s">
        <v>251</v>
      </c>
      <c r="B9" s="38">
        <f>(B2*C2)+(B3*C3)+(B4*C4)</f>
        <v>2.6000000000000002E-2</v>
      </c>
      <c r="E9" s="18" t="s">
        <v>252</v>
      </c>
    </row>
    <row r="10" spans="1:10">
      <c r="A10" s="36" t="s">
        <v>234</v>
      </c>
      <c r="B10" s="38">
        <f>B2*(C2-B9)^2+B3*(C3-B9)^2+B4*(C4-B9)^2</f>
        <v>1.8039999999999998E-3</v>
      </c>
      <c r="E10" s="18" t="s">
        <v>235</v>
      </c>
    </row>
    <row r="11" spans="1:10">
      <c r="A11" s="36" t="s">
        <v>236</v>
      </c>
      <c r="B11" s="38">
        <f>SQRT(B10)</f>
        <v>4.24735211631906E-2</v>
      </c>
      <c r="E11" s="18" t="s">
        <v>237</v>
      </c>
    </row>
    <row r="12" spans="1:10">
      <c r="A12" s="36" t="s">
        <v>238</v>
      </c>
      <c r="B12" s="37">
        <f>B11/B9</f>
        <v>1.6335969678150228</v>
      </c>
      <c r="E12" s="18" t="s">
        <v>239</v>
      </c>
    </row>
    <row r="13" spans="1:10">
      <c r="A13" s="36" t="s">
        <v>240</v>
      </c>
      <c r="B13" s="37">
        <f>B9-B7/B11</f>
        <v>-0.20944080467400558</v>
      </c>
      <c r="E13" s="18" t="s">
        <v>241</v>
      </c>
    </row>
  </sheetData>
  <mergeCells count="2">
    <mergeCell ref="E6:H6"/>
    <mergeCell ref="E1:H5"/>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CD68-4E64-4BC8-A512-EFE7A44ED531}">
  <sheetPr codeName="Sheet19"/>
  <dimension ref="A1:M14"/>
  <sheetViews>
    <sheetView zoomScaleNormal="100" workbookViewId="0">
      <selection activeCell="B14" sqref="B14"/>
    </sheetView>
  </sheetViews>
  <sheetFormatPr defaultColWidth="8.44140625" defaultRowHeight="15.6"/>
  <cols>
    <col min="1" max="1" width="22.44140625" style="32" bestFit="1" customWidth="1"/>
    <col min="2" max="2" width="17.44140625" style="32" customWidth="1"/>
    <col min="3" max="7" width="8.44140625" style="32" customWidth="1"/>
    <col min="8" max="11" width="9.44140625" style="32" customWidth="1"/>
    <col min="12" max="12" width="8.44140625" style="32" customWidth="1"/>
    <col min="13" max="16384" width="8.44140625" style="32"/>
  </cols>
  <sheetData>
    <row r="1" spans="1:13" ht="15.6" customHeight="1">
      <c r="A1" s="42" t="s">
        <v>253</v>
      </c>
      <c r="B1" s="42" t="s">
        <v>254</v>
      </c>
      <c r="C1" s="42" t="s">
        <v>255</v>
      </c>
      <c r="D1" s="42" t="s">
        <v>256</v>
      </c>
      <c r="E1" s="42" t="s">
        <v>257</v>
      </c>
      <c r="F1" s="42" t="s">
        <v>258</v>
      </c>
      <c r="H1" s="108" t="s">
        <v>259</v>
      </c>
      <c r="I1" s="108"/>
      <c r="J1" s="108"/>
      <c r="K1" s="108"/>
      <c r="L1" s="33"/>
      <c r="M1" s="34"/>
    </row>
    <row r="2" spans="1:13">
      <c r="A2" s="46" t="s">
        <v>260</v>
      </c>
      <c r="B2" s="43">
        <v>270000</v>
      </c>
      <c r="C2" s="50">
        <f>B2/B4</f>
        <v>0.75</v>
      </c>
      <c r="D2" s="44">
        <v>0.12</v>
      </c>
      <c r="E2" s="44">
        <v>0.16</v>
      </c>
      <c r="F2" s="43">
        <v>1.4</v>
      </c>
      <c r="H2" s="108"/>
      <c r="I2" s="108"/>
      <c r="J2" s="108"/>
      <c r="K2" s="108"/>
      <c r="L2" s="33"/>
      <c r="M2" s="34"/>
    </row>
    <row r="3" spans="1:13">
      <c r="A3" s="46" t="s">
        <v>261</v>
      </c>
      <c r="B3" s="43">
        <v>90000</v>
      </c>
      <c r="C3" s="50">
        <f>B3/B4</f>
        <v>0.25</v>
      </c>
      <c r="D3" s="44">
        <v>0.08</v>
      </c>
      <c r="E3" s="44">
        <v>0.12</v>
      </c>
      <c r="F3" s="43">
        <v>1.2</v>
      </c>
      <c r="H3" s="108"/>
      <c r="I3" s="108"/>
      <c r="J3" s="108"/>
      <c r="K3" s="108"/>
      <c r="L3" s="33"/>
      <c r="M3" s="34"/>
    </row>
    <row r="4" spans="1:13">
      <c r="A4" s="47" t="s">
        <v>30</v>
      </c>
      <c r="B4" s="48">
        <f>SUM(B2:B3)</f>
        <v>360000</v>
      </c>
      <c r="C4" s="49">
        <f>SUM(C2:C3)</f>
        <v>1</v>
      </c>
      <c r="D4" s="44"/>
      <c r="E4" s="44"/>
      <c r="F4" s="44"/>
      <c r="H4" s="108"/>
      <c r="I4" s="108"/>
      <c r="J4" s="108"/>
      <c r="K4" s="108"/>
      <c r="L4" s="33"/>
      <c r="M4" s="34"/>
    </row>
    <row r="5" spans="1:13">
      <c r="A5" s="42"/>
      <c r="B5" s="44"/>
      <c r="H5" s="108"/>
      <c r="I5" s="108"/>
      <c r="J5" s="108"/>
      <c r="K5" s="108"/>
      <c r="L5" s="33"/>
      <c r="M5" s="34"/>
    </row>
    <row r="6" spans="1:13">
      <c r="A6" s="42" t="s">
        <v>262</v>
      </c>
      <c r="B6" s="43">
        <v>0.8</v>
      </c>
      <c r="H6" s="109"/>
      <c r="I6" s="109"/>
      <c r="J6" s="109"/>
      <c r="K6" s="109"/>
    </row>
    <row r="7" spans="1:13">
      <c r="A7" s="42" t="s">
        <v>231</v>
      </c>
      <c r="B7" s="44">
        <v>0.01</v>
      </c>
    </row>
    <row r="9" spans="1:13">
      <c r="A9" s="36" t="s">
        <v>251</v>
      </c>
      <c r="B9" s="38">
        <f>(C2*D2)+(C3*D3)</f>
        <v>0.11</v>
      </c>
      <c r="H9" s="18" t="s">
        <v>263</v>
      </c>
    </row>
    <row r="10" spans="1:13">
      <c r="A10" s="36" t="s">
        <v>234</v>
      </c>
      <c r="B10" s="38">
        <f>C2^2*E2^2+C3^2*E3^2+2*B6*C2*C3*E2*E3</f>
        <v>2.1060000000000002E-2</v>
      </c>
      <c r="H10" s="18" t="s">
        <v>264</v>
      </c>
    </row>
    <row r="11" spans="1:13">
      <c r="A11" s="36" t="s">
        <v>236</v>
      </c>
      <c r="B11" s="38">
        <f>SQRT(B10)</f>
        <v>0.1451206394693739</v>
      </c>
      <c r="H11" s="18" t="s">
        <v>265</v>
      </c>
    </row>
    <row r="12" spans="1:13">
      <c r="A12" s="36" t="s">
        <v>238</v>
      </c>
      <c r="B12" s="37">
        <f>B11/B9</f>
        <v>1.3192785406306717</v>
      </c>
      <c r="H12" s="18" t="s">
        <v>266</v>
      </c>
    </row>
    <row r="13" spans="1:13">
      <c r="A13" s="36" t="s">
        <v>240</v>
      </c>
      <c r="B13" s="37">
        <f>B9-B7/B11</f>
        <v>4.1091814117106412E-2</v>
      </c>
      <c r="H13" s="18" t="s">
        <v>267</v>
      </c>
    </row>
    <row r="14" spans="1:13">
      <c r="A14" s="36" t="s">
        <v>268</v>
      </c>
      <c r="B14" s="37">
        <f>(C2*F2)+(C3*F3)</f>
        <v>1.3499999999999999</v>
      </c>
      <c r="H14" s="18" t="s">
        <v>269</v>
      </c>
    </row>
  </sheetData>
  <mergeCells count="2">
    <mergeCell ref="H1:K5"/>
    <mergeCell ref="H6:K6"/>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FC1D-A0CE-4609-AE45-51DE84EBF66E}">
  <sheetPr codeName="Sheet20"/>
  <dimension ref="A1:J13"/>
  <sheetViews>
    <sheetView zoomScale="122" zoomScaleNormal="170" workbookViewId="0">
      <selection activeCell="B8" sqref="B8"/>
    </sheetView>
  </sheetViews>
  <sheetFormatPr defaultColWidth="8.44140625" defaultRowHeight="15.6"/>
  <cols>
    <col min="1" max="1" width="22.44140625" style="32" bestFit="1" customWidth="1"/>
    <col min="2" max="2" width="23.88671875" style="32" customWidth="1"/>
    <col min="3" max="3" width="23.33203125" style="32" customWidth="1"/>
    <col min="4" max="4" width="8.44140625" style="32" customWidth="1"/>
    <col min="5" max="8" width="9.44140625" style="32" customWidth="1"/>
    <col min="9" max="9" width="8.44140625" style="32" customWidth="1"/>
    <col min="10" max="16384" width="8.44140625" style="32"/>
  </cols>
  <sheetData>
    <row r="1" spans="1:10" ht="15.6" customHeight="1">
      <c r="A1" s="46" t="s">
        <v>270</v>
      </c>
      <c r="B1" s="43" t="s">
        <v>271</v>
      </c>
      <c r="E1" s="108" t="s">
        <v>272</v>
      </c>
      <c r="F1" s="108"/>
      <c r="G1" s="108"/>
      <c r="H1" s="108"/>
      <c r="I1" s="108"/>
      <c r="J1" s="34"/>
    </row>
    <row r="2" spans="1:10">
      <c r="A2" s="46" t="s">
        <v>273</v>
      </c>
      <c r="B2" s="44" t="s">
        <v>274</v>
      </c>
      <c r="E2" s="108"/>
      <c r="F2" s="108"/>
      <c r="G2" s="108"/>
      <c r="H2" s="108"/>
      <c r="I2" s="108"/>
      <c r="J2" s="34"/>
    </row>
    <row r="3" spans="1:10">
      <c r="A3" s="46" t="s">
        <v>275</v>
      </c>
      <c r="B3" s="43">
        <v>700</v>
      </c>
      <c r="E3" s="108"/>
      <c r="F3" s="108"/>
      <c r="G3" s="108"/>
      <c r="H3" s="108"/>
      <c r="I3" s="108"/>
      <c r="J3" s="34"/>
    </row>
    <row r="4" spans="1:10">
      <c r="A4" s="46" t="s">
        <v>276</v>
      </c>
      <c r="B4" s="43">
        <v>5000</v>
      </c>
      <c r="E4" s="108"/>
      <c r="F4" s="108"/>
      <c r="G4" s="108"/>
      <c r="H4" s="108"/>
      <c r="I4" s="108"/>
      <c r="J4" s="34"/>
    </row>
    <row r="5" spans="1:10">
      <c r="A5" s="46"/>
      <c r="B5" s="43"/>
      <c r="E5" s="108"/>
      <c r="F5" s="108"/>
      <c r="G5" s="108"/>
      <c r="H5" s="108"/>
      <c r="I5" s="108"/>
      <c r="J5" s="34"/>
    </row>
    <row r="6" spans="1:10">
      <c r="B6" s="42" t="s">
        <v>277</v>
      </c>
      <c r="C6" s="42" t="s">
        <v>278</v>
      </c>
      <c r="E6" s="109"/>
      <c r="F6" s="109"/>
      <c r="G6" s="109"/>
      <c r="H6" s="109"/>
    </row>
    <row r="7" spans="1:10">
      <c r="A7" s="46" t="s">
        <v>279</v>
      </c>
      <c r="B7" s="43">
        <f>B3+200</f>
        <v>900</v>
      </c>
      <c r="C7" s="43">
        <f>B3-300</f>
        <v>400</v>
      </c>
      <c r="E7" s="18" t="s">
        <v>280</v>
      </c>
    </row>
    <row r="8" spans="1:10">
      <c r="A8" s="46" t="s">
        <v>281</v>
      </c>
      <c r="B8" s="54">
        <f>(B7-B3)*B4</f>
        <v>1000000</v>
      </c>
      <c r="C8" s="54">
        <f>(C7-B3)*B4</f>
        <v>-1500000</v>
      </c>
      <c r="E8" s="18" t="s">
        <v>282</v>
      </c>
    </row>
    <row r="9" spans="1:10">
      <c r="A9" s="36"/>
      <c r="B9" s="55" t="s">
        <v>283</v>
      </c>
      <c r="C9" s="36" t="s">
        <v>284</v>
      </c>
      <c r="E9" s="18"/>
    </row>
    <row r="10" spans="1:10">
      <c r="A10" s="36"/>
      <c r="B10" s="55"/>
      <c r="E10" s="18"/>
    </row>
    <row r="11" spans="1:10">
      <c r="A11" s="36"/>
      <c r="B11" s="55"/>
      <c r="E11" s="18"/>
    </row>
    <row r="12" spans="1:10">
      <c r="A12" s="36"/>
      <c r="B12" s="56"/>
      <c r="E12" s="18"/>
    </row>
    <row r="13" spans="1:10">
      <c r="A13" s="36"/>
      <c r="B13" s="56"/>
      <c r="E13" s="18"/>
    </row>
  </sheetData>
  <mergeCells count="2">
    <mergeCell ref="E6:H6"/>
    <mergeCell ref="E1:I5"/>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80CB-2427-4882-B5ED-931726C7337D}">
  <sheetPr codeName="Sheet21"/>
  <dimension ref="A1:J13"/>
  <sheetViews>
    <sheetView zoomScale="150" zoomScaleNormal="150" workbookViewId="0">
      <selection activeCell="B8" sqref="B8"/>
    </sheetView>
  </sheetViews>
  <sheetFormatPr defaultColWidth="8.44140625" defaultRowHeight="15.6"/>
  <cols>
    <col min="1" max="1" width="22.44140625" style="32" bestFit="1" customWidth="1"/>
    <col min="2" max="2" width="24.44140625" style="32" customWidth="1"/>
    <col min="3" max="3" width="25.6640625" style="32" customWidth="1"/>
    <col min="4" max="4" width="8.44140625" style="32" customWidth="1"/>
    <col min="5" max="8" width="9.44140625" style="32" customWidth="1"/>
    <col min="9" max="9" width="8.44140625" style="32" customWidth="1"/>
    <col min="10" max="16384" width="8.44140625" style="32"/>
  </cols>
  <sheetData>
    <row r="1" spans="1:10" ht="15.6" customHeight="1">
      <c r="A1" s="46" t="s">
        <v>270</v>
      </c>
      <c r="B1" s="43" t="s">
        <v>271</v>
      </c>
      <c r="E1" s="108" t="s">
        <v>285</v>
      </c>
      <c r="F1" s="108"/>
      <c r="G1" s="108"/>
      <c r="H1" s="108"/>
      <c r="I1" s="108"/>
      <c r="J1" s="34"/>
    </row>
    <row r="2" spans="1:10">
      <c r="A2" s="46" t="s">
        <v>273</v>
      </c>
      <c r="B2" s="44" t="s">
        <v>286</v>
      </c>
      <c r="E2" s="108"/>
      <c r="F2" s="108"/>
      <c r="G2" s="108"/>
      <c r="H2" s="108"/>
      <c r="I2" s="108"/>
      <c r="J2" s="34"/>
    </row>
    <row r="3" spans="1:10">
      <c r="A3" s="46" t="s">
        <v>275</v>
      </c>
      <c r="B3" s="43">
        <f>'Risk Mgmt Long'!B3</f>
        <v>700</v>
      </c>
      <c r="E3" s="108"/>
      <c r="F3" s="108"/>
      <c r="G3" s="108"/>
      <c r="H3" s="108"/>
      <c r="I3" s="108"/>
      <c r="J3" s="34"/>
    </row>
    <row r="4" spans="1:10">
      <c r="A4" s="46" t="s">
        <v>276</v>
      </c>
      <c r="B4" s="43">
        <f>'Risk Mgmt Long'!B4</f>
        <v>5000</v>
      </c>
      <c r="E4" s="108"/>
      <c r="F4" s="108"/>
      <c r="G4" s="108"/>
      <c r="H4" s="108"/>
      <c r="I4" s="108"/>
      <c r="J4" s="34"/>
    </row>
    <row r="5" spans="1:10">
      <c r="A5" s="46"/>
      <c r="B5" s="43"/>
      <c r="E5" s="108"/>
      <c r="F5" s="108"/>
      <c r="G5" s="108"/>
      <c r="H5" s="108"/>
      <c r="I5" s="108"/>
      <c r="J5" s="34"/>
    </row>
    <row r="6" spans="1:10">
      <c r="B6" s="42" t="s">
        <v>277</v>
      </c>
      <c r="C6" s="42" t="s">
        <v>278</v>
      </c>
      <c r="E6" s="109"/>
      <c r="F6" s="109"/>
      <c r="G6" s="109"/>
      <c r="H6" s="109"/>
    </row>
    <row r="7" spans="1:10">
      <c r="A7" s="46" t="s">
        <v>279</v>
      </c>
      <c r="B7" s="43">
        <f>'Risk Mgmt Long'!B7</f>
        <v>900</v>
      </c>
      <c r="C7" s="43">
        <f>'Risk Mgmt Long'!C7</f>
        <v>400</v>
      </c>
      <c r="E7" s="18" t="str">
        <f>'Risk Mgmt Long'!E7</f>
        <v>1. If market gold price after 6 months is $900 per ounce.</v>
      </c>
    </row>
    <row r="8" spans="1:10">
      <c r="A8" s="46" t="s">
        <v>281</v>
      </c>
      <c r="B8" s="54">
        <f>(B3-B7)*B4</f>
        <v>-1000000</v>
      </c>
      <c r="C8" s="54">
        <f>(B3-C7)*B4</f>
        <v>1500000</v>
      </c>
      <c r="E8" s="18" t="str">
        <f>'Risk Mgmt Long'!E8</f>
        <v>2. If market gold price after 6 months is $400 per ounce.</v>
      </c>
    </row>
    <row r="9" spans="1:10">
      <c r="A9" s="36"/>
      <c r="B9" s="55" t="s">
        <v>287</v>
      </c>
      <c r="C9" s="36" t="s">
        <v>288</v>
      </c>
      <c r="E9" s="18"/>
    </row>
    <row r="10" spans="1:10">
      <c r="A10" s="36"/>
      <c r="B10" s="55"/>
      <c r="E10" s="18"/>
    </row>
    <row r="11" spans="1:10">
      <c r="A11" s="36"/>
      <c r="B11" s="55"/>
      <c r="E11" s="18"/>
    </row>
    <row r="12" spans="1:10">
      <c r="A12" s="36"/>
      <c r="B12" s="56"/>
      <c r="E12" s="18"/>
    </row>
    <row r="13" spans="1:10">
      <c r="A13" s="36"/>
      <c r="B13" s="56"/>
      <c r="E13" s="18"/>
    </row>
  </sheetData>
  <mergeCells count="2">
    <mergeCell ref="E1:I5"/>
    <mergeCell ref="E6:H6"/>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2749-EF0F-429E-830D-E621387F3F19}">
  <sheetPr codeName="Sheet22"/>
  <dimension ref="A1:Q23"/>
  <sheetViews>
    <sheetView tabSelected="1" zoomScale="110" zoomScaleNormal="110" workbookViewId="0">
      <selection activeCell="E20" sqref="E20"/>
    </sheetView>
  </sheetViews>
  <sheetFormatPr defaultColWidth="8.44140625" defaultRowHeight="15.6"/>
  <cols>
    <col min="1" max="1" width="17.109375" style="32" bestFit="1" customWidth="1"/>
    <col min="2" max="2" width="13.88671875" style="32" bestFit="1" customWidth="1"/>
    <col min="3" max="4" width="14.44140625" style="32" bestFit="1" customWidth="1"/>
    <col min="5" max="9" width="8.44140625" style="32" customWidth="1"/>
    <col min="10" max="13" width="9.44140625" style="32" customWidth="1"/>
    <col min="14" max="14" width="8.44140625" style="32" customWidth="1"/>
    <col min="15" max="16384" width="8.44140625" style="32"/>
  </cols>
  <sheetData>
    <row r="1" spans="1:17" ht="15.6" customHeight="1">
      <c r="A1" s="51"/>
      <c r="B1" s="60" t="s">
        <v>289</v>
      </c>
      <c r="C1" s="60" t="s">
        <v>290</v>
      </c>
      <c r="D1" s="60" t="s">
        <v>291</v>
      </c>
      <c r="E1" s="64"/>
      <c r="F1" s="63"/>
      <c r="G1" s="63" t="s">
        <v>54</v>
      </c>
      <c r="H1" s="63" t="s">
        <v>292</v>
      </c>
      <c r="J1" s="108" t="s">
        <v>293</v>
      </c>
      <c r="K1" s="108"/>
      <c r="L1" s="108"/>
      <c r="M1" s="108"/>
      <c r="N1" s="108"/>
      <c r="O1" s="108"/>
      <c r="P1" s="108"/>
      <c r="Q1" s="108"/>
    </row>
    <row r="2" spans="1:17">
      <c r="A2" s="60" t="s">
        <v>294</v>
      </c>
      <c r="B2" s="52">
        <f>100%-C2</f>
        <v>0.4</v>
      </c>
      <c r="C2" s="62">
        <v>0.6</v>
      </c>
      <c r="D2" s="60"/>
      <c r="E2" s="65"/>
      <c r="F2" s="63" t="s">
        <v>295</v>
      </c>
      <c r="G2" s="62">
        <v>1</v>
      </c>
      <c r="H2" s="62"/>
      <c r="J2" s="108"/>
      <c r="K2" s="108"/>
      <c r="L2" s="108"/>
      <c r="M2" s="108"/>
      <c r="N2" s="108"/>
      <c r="O2" s="108"/>
      <c r="P2" s="108"/>
      <c r="Q2" s="108"/>
    </row>
    <row r="3" spans="1:17">
      <c r="A3" s="60" t="s">
        <v>296</v>
      </c>
      <c r="B3" s="51"/>
      <c r="C3" s="51"/>
      <c r="D3" s="61">
        <v>200000</v>
      </c>
      <c r="E3" s="44"/>
      <c r="F3" s="43"/>
      <c r="G3" s="43"/>
      <c r="H3" s="43"/>
      <c r="J3" s="108"/>
      <c r="K3" s="108"/>
      <c r="L3" s="108"/>
      <c r="M3" s="108"/>
      <c r="N3" s="108"/>
      <c r="O3" s="108"/>
      <c r="P3" s="108"/>
      <c r="Q3" s="108"/>
    </row>
    <row r="4" spans="1:17">
      <c r="A4" s="60" t="s">
        <v>188</v>
      </c>
      <c r="B4" s="51"/>
      <c r="C4" s="51"/>
      <c r="D4" s="61">
        <v>40000</v>
      </c>
      <c r="E4" s="44"/>
      <c r="F4" s="44"/>
      <c r="G4" s="44"/>
      <c r="H4" s="44"/>
      <c r="J4" s="108"/>
      <c r="K4" s="108"/>
      <c r="L4" s="108"/>
      <c r="M4" s="108"/>
      <c r="N4" s="108"/>
      <c r="O4" s="108"/>
      <c r="P4" s="108"/>
      <c r="Q4" s="108"/>
    </row>
    <row r="5" spans="1:17">
      <c r="A5" s="51"/>
      <c r="B5" s="121" t="s">
        <v>297</v>
      </c>
      <c r="C5" s="121" t="s">
        <v>298</v>
      </c>
      <c r="D5" s="66" t="str">
        <f>B5</f>
        <v>Pioneer Limited</v>
      </c>
      <c r="J5" s="108"/>
      <c r="K5" s="108"/>
      <c r="L5" s="108"/>
      <c r="M5" s="108"/>
      <c r="N5" s="108"/>
      <c r="O5" s="108"/>
      <c r="P5" s="108"/>
      <c r="Q5" s="108"/>
    </row>
    <row r="6" spans="1:17">
      <c r="A6" s="51"/>
      <c r="B6" s="121"/>
      <c r="C6" s="121"/>
      <c r="D6" s="66" t="s">
        <v>299</v>
      </c>
      <c r="J6" s="108"/>
      <c r="K6" s="108"/>
      <c r="L6" s="108"/>
      <c r="M6" s="108"/>
      <c r="N6" s="108"/>
      <c r="O6" s="108"/>
      <c r="P6" s="108"/>
      <c r="Q6" s="108"/>
    </row>
    <row r="7" spans="1:17">
      <c r="A7" s="60" t="s">
        <v>300</v>
      </c>
      <c r="B7" s="61">
        <v>20</v>
      </c>
      <c r="C7" s="61">
        <v>12</v>
      </c>
      <c r="D7" s="53">
        <f>D11/D8</f>
        <v>16</v>
      </c>
      <c r="J7" s="108"/>
      <c r="K7" s="108"/>
      <c r="L7" s="108"/>
      <c r="M7" s="108"/>
      <c r="N7" s="108"/>
      <c r="O7" s="108"/>
      <c r="P7" s="108"/>
      <c r="Q7" s="108"/>
    </row>
    <row r="8" spans="1:17">
      <c r="A8" s="60" t="s">
        <v>301</v>
      </c>
      <c r="B8" s="61">
        <v>25000</v>
      </c>
      <c r="C8" s="61">
        <v>10000</v>
      </c>
      <c r="D8" s="53">
        <f>B8</f>
        <v>25000</v>
      </c>
    </row>
    <row r="9" spans="1:17">
      <c r="A9" s="60" t="s">
        <v>296</v>
      </c>
      <c r="B9" s="61">
        <v>1400000</v>
      </c>
      <c r="C9" s="61">
        <v>300000</v>
      </c>
      <c r="D9" s="53">
        <f>B9+C9+D3-(C9+D3*C2)</f>
        <v>1480000</v>
      </c>
      <c r="J9" s="18" t="s">
        <v>302</v>
      </c>
    </row>
    <row r="10" spans="1:17">
      <c r="A10" s="60" t="s">
        <v>303</v>
      </c>
      <c r="B10" s="61">
        <v>150000</v>
      </c>
      <c r="C10" s="61">
        <v>75000</v>
      </c>
      <c r="D10" s="53">
        <f>B10+C10+D4</f>
        <v>265000</v>
      </c>
      <c r="J10" s="18" t="s">
        <v>304</v>
      </c>
    </row>
    <row r="11" spans="1:17">
      <c r="A11" s="51" t="s">
        <v>305</v>
      </c>
      <c r="B11" s="53">
        <f>B7*B8</f>
        <v>500000</v>
      </c>
      <c r="C11" s="53">
        <f>C7*C8</f>
        <v>120000</v>
      </c>
      <c r="D11" s="53">
        <f>D9-D12</f>
        <v>400000</v>
      </c>
      <c r="J11" s="18" t="s">
        <v>306</v>
      </c>
    </row>
    <row r="12" spans="1:17">
      <c r="A12" s="51" t="s">
        <v>307</v>
      </c>
      <c r="B12" s="53">
        <f>B9-B11</f>
        <v>900000</v>
      </c>
      <c r="C12" s="53">
        <f>C9-C11</f>
        <v>180000</v>
      </c>
      <c r="D12" s="53">
        <f>B12+C12</f>
        <v>1080000</v>
      </c>
      <c r="J12" s="18" t="s">
        <v>308</v>
      </c>
    </row>
    <row r="13" spans="1:17">
      <c r="A13" s="51" t="s">
        <v>309</v>
      </c>
      <c r="B13" s="53">
        <f>B12/B11</f>
        <v>1.8</v>
      </c>
      <c r="C13" s="53">
        <f>C12/C11</f>
        <v>1.5</v>
      </c>
      <c r="D13" s="53">
        <f>D12/D11</f>
        <v>2.7</v>
      </c>
      <c r="J13" s="18" t="s">
        <v>310</v>
      </c>
    </row>
    <row r="14" spans="1:17">
      <c r="A14" s="51" t="s">
        <v>311</v>
      </c>
      <c r="B14" s="53">
        <f>B10/B8</f>
        <v>6</v>
      </c>
      <c r="C14" s="53">
        <f>C10/C8</f>
        <v>7.5</v>
      </c>
      <c r="D14" s="53">
        <f>D10/D8</f>
        <v>10.6</v>
      </c>
      <c r="J14" s="18" t="s">
        <v>312</v>
      </c>
    </row>
    <row r="15" spans="1:17">
      <c r="A15" s="51" t="s">
        <v>313</v>
      </c>
      <c r="B15" s="53">
        <f>B7/B14</f>
        <v>3.3333333333333335</v>
      </c>
      <c r="C15" s="53">
        <f>C7/C14</f>
        <v>1.6</v>
      </c>
      <c r="D15" s="53">
        <f>D7/D14</f>
        <v>1.5094339622641511</v>
      </c>
      <c r="J15" s="18" t="s">
        <v>314</v>
      </c>
    </row>
    <row r="16" spans="1:17">
      <c r="J16" s="18" t="s">
        <v>315</v>
      </c>
    </row>
    <row r="17" spans="10:10">
      <c r="J17" s="18" t="s">
        <v>316</v>
      </c>
    </row>
    <row r="18" spans="10:10">
      <c r="J18" s="18" t="s">
        <v>317</v>
      </c>
    </row>
    <row r="19" spans="10:10">
      <c r="J19" s="18" t="s">
        <v>318</v>
      </c>
    </row>
    <row r="20" spans="10:10">
      <c r="J20" s="18" t="s">
        <v>319</v>
      </c>
    </row>
    <row r="21" spans="10:10">
      <c r="J21" s="18" t="s">
        <v>320</v>
      </c>
    </row>
    <row r="22" spans="10:10">
      <c r="J22" s="18" t="s">
        <v>321</v>
      </c>
    </row>
    <row r="23" spans="10:10">
      <c r="J23" s="18"/>
    </row>
  </sheetData>
  <mergeCells count="3">
    <mergeCell ref="C5:C6"/>
    <mergeCell ref="B5:B6"/>
    <mergeCell ref="J1:Q7"/>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563C5-208C-4215-8F64-5D4BB50FE7BC}">
  <sheetPr codeName="Sheet23"/>
  <dimension ref="A1:Q23"/>
  <sheetViews>
    <sheetView zoomScaleNormal="100" workbookViewId="0">
      <selection activeCell="E7" sqref="E7"/>
    </sheetView>
  </sheetViews>
  <sheetFormatPr defaultColWidth="8.44140625" defaultRowHeight="15.6"/>
  <cols>
    <col min="1" max="1" width="17.109375" style="32" bestFit="1" customWidth="1"/>
    <col min="2" max="2" width="13.88671875" style="32" bestFit="1" customWidth="1"/>
    <col min="3" max="4" width="14.44140625" style="32" bestFit="1" customWidth="1"/>
    <col min="5" max="5" width="13.33203125" style="32" customWidth="1"/>
    <col min="6" max="6" width="10.88671875" style="32" customWidth="1"/>
    <col min="7" max="7" width="10.44140625" style="32" customWidth="1"/>
    <col min="8" max="9" width="8.44140625" style="32" customWidth="1"/>
    <col min="10" max="13" width="9.44140625" style="32" customWidth="1"/>
    <col min="14" max="14" width="8.44140625" style="32" customWidth="1"/>
    <col min="15" max="16384" width="8.44140625" style="32"/>
  </cols>
  <sheetData>
    <row r="1" spans="1:17" ht="15.6" customHeight="1">
      <c r="A1" s="60"/>
      <c r="B1" s="60" t="s">
        <v>289</v>
      </c>
      <c r="C1" s="60" t="s">
        <v>290</v>
      </c>
      <c r="D1" s="60" t="s">
        <v>291</v>
      </c>
      <c r="E1" s="64"/>
      <c r="F1" s="63"/>
      <c r="G1" s="63" t="s">
        <v>54</v>
      </c>
      <c r="H1" s="63" t="s">
        <v>292</v>
      </c>
      <c r="J1" s="108" t="s">
        <v>322</v>
      </c>
      <c r="K1" s="108"/>
      <c r="L1" s="108"/>
      <c r="M1" s="108"/>
      <c r="N1" s="108"/>
      <c r="O1" s="108"/>
      <c r="P1" s="108"/>
      <c r="Q1" s="108"/>
    </row>
    <row r="2" spans="1:17">
      <c r="A2" s="60" t="s">
        <v>294</v>
      </c>
      <c r="B2" s="52">
        <f>100%-C2</f>
        <v>0.4</v>
      </c>
      <c r="C2" s="62">
        <f>'M&amp;A Cash'!C2</f>
        <v>0.6</v>
      </c>
      <c r="D2" s="60"/>
      <c r="E2" s="65"/>
      <c r="F2" s="63" t="s">
        <v>295</v>
      </c>
      <c r="G2" s="103">
        <f>100%-H2</f>
        <v>0.19999999999999996</v>
      </c>
      <c r="H2" s="62">
        <v>0.8</v>
      </c>
      <c r="J2" s="108"/>
      <c r="K2" s="108"/>
      <c r="L2" s="108"/>
      <c r="M2" s="108"/>
      <c r="N2" s="108"/>
      <c r="O2" s="108"/>
      <c r="P2" s="108"/>
      <c r="Q2" s="108"/>
    </row>
    <row r="3" spans="1:17">
      <c r="A3" s="60" t="s">
        <v>296</v>
      </c>
      <c r="B3" s="51"/>
      <c r="C3" s="51"/>
      <c r="D3" s="61">
        <f>'M&amp;A Cash'!D3</f>
        <v>200000</v>
      </c>
      <c r="E3" s="44"/>
      <c r="F3" s="43"/>
      <c r="J3" s="108"/>
      <c r="K3" s="108"/>
      <c r="L3" s="108"/>
      <c r="M3" s="108"/>
      <c r="N3" s="108"/>
      <c r="O3" s="108"/>
      <c r="P3" s="108"/>
      <c r="Q3" s="108"/>
    </row>
    <row r="4" spans="1:17">
      <c r="A4" s="60" t="s">
        <v>188</v>
      </c>
      <c r="B4" s="51"/>
      <c r="C4" s="51"/>
      <c r="D4" s="61">
        <f>'M&amp;A Cash'!D4</f>
        <v>40000</v>
      </c>
      <c r="E4" s="44"/>
      <c r="F4" s="44"/>
      <c r="J4" s="108"/>
      <c r="K4" s="108"/>
      <c r="L4" s="108"/>
      <c r="M4" s="108"/>
      <c r="N4" s="108"/>
      <c r="O4" s="108"/>
      <c r="P4" s="108"/>
      <c r="Q4" s="108"/>
    </row>
    <row r="5" spans="1:17">
      <c r="A5" s="51"/>
      <c r="B5" s="121" t="str">
        <f>'M&amp;A Cash'!B5:B6</f>
        <v>Pioneer Limited</v>
      </c>
      <c r="C5" s="121" t="str">
        <f>'M&amp;A Cash'!C5:C6</f>
        <v>Delta Limited</v>
      </c>
      <c r="D5" s="66" t="str">
        <f>B5</f>
        <v>Pioneer Limited</v>
      </c>
      <c r="E5" s="121" t="s">
        <v>323</v>
      </c>
      <c r="F5" s="121" t="s">
        <v>324</v>
      </c>
      <c r="J5" s="108"/>
      <c r="K5" s="108"/>
      <c r="L5" s="108"/>
      <c r="M5" s="108"/>
      <c r="N5" s="108"/>
      <c r="O5" s="108"/>
      <c r="P5" s="108"/>
      <c r="Q5" s="108"/>
    </row>
    <row r="6" spans="1:17">
      <c r="A6" s="51"/>
      <c r="B6" s="121"/>
      <c r="C6" s="121"/>
      <c r="D6" s="66" t="s">
        <v>299</v>
      </c>
      <c r="E6" s="121"/>
      <c r="F6" s="121"/>
      <c r="J6" s="108"/>
      <c r="K6" s="108"/>
      <c r="L6" s="108"/>
      <c r="M6" s="108"/>
      <c r="N6" s="108"/>
      <c r="O6" s="108"/>
      <c r="P6" s="108"/>
      <c r="Q6" s="108"/>
    </row>
    <row r="7" spans="1:17">
      <c r="A7" s="60" t="s">
        <v>300</v>
      </c>
      <c r="B7" s="61">
        <f>'M&amp;A Cash'!B7</f>
        <v>20</v>
      </c>
      <c r="C7" s="61">
        <f>'M&amp;A Cash'!C7</f>
        <v>12</v>
      </c>
      <c r="D7" s="53">
        <f>D11/D8</f>
        <v>32.799999999999997</v>
      </c>
      <c r="E7" s="53">
        <f>D7</f>
        <v>32.799999999999997</v>
      </c>
      <c r="F7" s="53">
        <f>E7</f>
        <v>32.799999999999997</v>
      </c>
      <c r="J7" s="108"/>
      <c r="K7" s="108"/>
      <c r="L7" s="108"/>
      <c r="M7" s="108"/>
      <c r="N7" s="108"/>
      <c r="O7" s="108"/>
      <c r="P7" s="108"/>
      <c r="Q7" s="108"/>
    </row>
    <row r="8" spans="1:17">
      <c r="A8" s="60" t="s">
        <v>301</v>
      </c>
      <c r="B8" s="61">
        <f>'M&amp;A Cash'!B8</f>
        <v>25000</v>
      </c>
      <c r="C8" s="61">
        <f>'M&amp;A Cash'!C8</f>
        <v>10000</v>
      </c>
      <c r="D8" s="53">
        <f>B8</f>
        <v>25000</v>
      </c>
      <c r="E8" s="53">
        <f>B8</f>
        <v>25000</v>
      </c>
      <c r="F8" s="53">
        <f>C11/D7</f>
        <v>3658.5365853658541</v>
      </c>
    </row>
    <row r="9" spans="1:17">
      <c r="A9" s="60" t="s">
        <v>296</v>
      </c>
      <c r="B9" s="61">
        <f>'M&amp;A Cash'!B9</f>
        <v>1400000</v>
      </c>
      <c r="C9" s="61">
        <f>'M&amp;A Cash'!C9</f>
        <v>300000</v>
      </c>
      <c r="D9" s="53">
        <f>B9+C9+D3</f>
        <v>1900000</v>
      </c>
      <c r="E9" s="53"/>
      <c r="F9" s="53"/>
      <c r="J9" s="18" t="s">
        <v>302</v>
      </c>
    </row>
    <row r="10" spans="1:17">
      <c r="A10" s="60" t="s">
        <v>303</v>
      </c>
      <c r="B10" s="61">
        <f>'M&amp;A Cash'!B10</f>
        <v>150000</v>
      </c>
      <c r="C10" s="61">
        <f>'M&amp;A Cash'!C10</f>
        <v>75000</v>
      </c>
      <c r="D10" s="53">
        <f>B10+C10+D4</f>
        <v>265000</v>
      </c>
      <c r="E10" s="53"/>
      <c r="F10" s="53"/>
      <c r="J10" s="18" t="s">
        <v>304</v>
      </c>
    </row>
    <row r="11" spans="1:17">
      <c r="A11" s="51" t="s">
        <v>305</v>
      </c>
      <c r="B11" s="53">
        <f>B7*B8</f>
        <v>500000</v>
      </c>
      <c r="C11" s="53">
        <f>C7*C8</f>
        <v>120000</v>
      </c>
      <c r="D11" s="53">
        <f>D9-D12</f>
        <v>820000</v>
      </c>
      <c r="E11" s="53">
        <f>B11+D3*B2</f>
        <v>580000</v>
      </c>
      <c r="F11" s="53">
        <f>C11+D3*C2</f>
        <v>240000</v>
      </c>
      <c r="J11" s="18" t="s">
        <v>306</v>
      </c>
    </row>
    <row r="12" spans="1:17">
      <c r="A12" s="51" t="s">
        <v>307</v>
      </c>
      <c r="B12" s="53">
        <f>B9-B11</f>
        <v>900000</v>
      </c>
      <c r="C12" s="53">
        <f>C9-C11</f>
        <v>180000</v>
      </c>
      <c r="D12" s="53">
        <f>B12+C12</f>
        <v>1080000</v>
      </c>
      <c r="E12" s="53"/>
      <c r="F12" s="53"/>
      <c r="J12" s="18" t="s">
        <v>308</v>
      </c>
    </row>
    <row r="13" spans="1:17">
      <c r="A13" s="51" t="s">
        <v>309</v>
      </c>
      <c r="B13" s="53">
        <f>B12/B11</f>
        <v>1.8</v>
      </c>
      <c r="C13" s="53">
        <f>C12/C11</f>
        <v>1.5</v>
      </c>
      <c r="D13" s="53">
        <f>D12/D11</f>
        <v>1.3170731707317074</v>
      </c>
      <c r="E13" s="53"/>
      <c r="F13" s="53"/>
      <c r="J13" s="18" t="s">
        <v>310</v>
      </c>
    </row>
    <row r="14" spans="1:17">
      <c r="A14" s="51" t="s">
        <v>311</v>
      </c>
      <c r="B14" s="53">
        <f>B10/B8</f>
        <v>6</v>
      </c>
      <c r="C14" s="53">
        <f>C10/C8</f>
        <v>7.5</v>
      </c>
      <c r="D14" s="53">
        <f>D10/D8</f>
        <v>10.6</v>
      </c>
      <c r="E14" s="53"/>
      <c r="F14" s="53"/>
      <c r="J14" s="18" t="s">
        <v>312</v>
      </c>
    </row>
    <row r="15" spans="1:17">
      <c r="A15" s="51" t="s">
        <v>313</v>
      </c>
      <c r="B15" s="53">
        <f>B7/B14</f>
        <v>3.3333333333333335</v>
      </c>
      <c r="C15" s="53">
        <f>C7/C14</f>
        <v>1.6</v>
      </c>
      <c r="D15" s="53">
        <f>D7/D14</f>
        <v>3.0943396226415092</v>
      </c>
      <c r="E15" s="53"/>
      <c r="F15" s="53"/>
      <c r="J15" s="18" t="s">
        <v>314</v>
      </c>
    </row>
    <row r="16" spans="1:17">
      <c r="J16" s="18" t="s">
        <v>325</v>
      </c>
    </row>
    <row r="17" spans="10:10">
      <c r="J17" s="18" t="s">
        <v>316</v>
      </c>
    </row>
    <row r="18" spans="10:10">
      <c r="J18" s="18" t="s">
        <v>317</v>
      </c>
    </row>
    <row r="19" spans="10:10">
      <c r="J19" s="18" t="s">
        <v>326</v>
      </c>
    </row>
    <row r="20" spans="10:10">
      <c r="J20" s="18" t="s">
        <v>319</v>
      </c>
    </row>
    <row r="21" spans="10:10">
      <c r="J21" s="18" t="s">
        <v>320</v>
      </c>
    </row>
    <row r="22" spans="10:10">
      <c r="J22" s="18" t="s">
        <v>321</v>
      </c>
    </row>
    <row r="23" spans="10:10">
      <c r="J23" s="18"/>
    </row>
  </sheetData>
  <mergeCells count="5">
    <mergeCell ref="J1:Q7"/>
    <mergeCell ref="B5:B6"/>
    <mergeCell ref="C5:C6"/>
    <mergeCell ref="E5:E6"/>
    <mergeCell ref="F5:F6"/>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3243-6496-4BEF-97F7-03EF0E8CE681}">
  <sheetPr codeName="Sheet24"/>
  <dimension ref="A1:Q23"/>
  <sheetViews>
    <sheetView zoomScaleNormal="100" workbookViewId="0">
      <selection activeCell="G3" sqref="G3"/>
    </sheetView>
  </sheetViews>
  <sheetFormatPr defaultColWidth="8.44140625" defaultRowHeight="15.6"/>
  <cols>
    <col min="1" max="1" width="17.109375" style="32" bestFit="1" customWidth="1"/>
    <col min="2" max="2" width="13.88671875" style="32" bestFit="1" customWidth="1"/>
    <col min="3" max="4" width="14.44140625" style="32" bestFit="1" customWidth="1"/>
    <col min="5" max="5" width="11.44140625" style="32" bestFit="1" customWidth="1"/>
    <col min="6" max="6" width="12.33203125" style="32" customWidth="1"/>
    <col min="7" max="9" width="8.44140625" style="32" customWidth="1"/>
    <col min="10" max="13" width="9.44140625" style="32" customWidth="1"/>
    <col min="14" max="14" width="8.44140625" style="32" customWidth="1"/>
    <col min="15" max="16384" width="8.44140625" style="32"/>
  </cols>
  <sheetData>
    <row r="1" spans="1:17" ht="15.6" customHeight="1">
      <c r="A1" s="51"/>
      <c r="B1" s="60" t="s">
        <v>289</v>
      </c>
      <c r="C1" s="60" t="s">
        <v>290</v>
      </c>
      <c r="D1" s="60" t="s">
        <v>291</v>
      </c>
      <c r="E1" s="42"/>
      <c r="F1" s="43"/>
      <c r="G1" s="63" t="s">
        <v>54</v>
      </c>
      <c r="H1" s="63" t="s">
        <v>292</v>
      </c>
      <c r="J1" s="108" t="s">
        <v>327</v>
      </c>
      <c r="K1" s="108"/>
      <c r="L1" s="108"/>
      <c r="M1" s="108"/>
      <c r="N1" s="108"/>
      <c r="O1" s="108"/>
      <c r="P1" s="108"/>
      <c r="Q1" s="108"/>
    </row>
    <row r="2" spans="1:17">
      <c r="A2" s="60" t="s">
        <v>294</v>
      </c>
      <c r="B2" s="52">
        <f>100%-C2</f>
        <v>0.4</v>
      </c>
      <c r="C2" s="62">
        <f>'M&amp;A Cash'!C2</f>
        <v>0.6</v>
      </c>
      <c r="D2" s="60"/>
      <c r="E2" s="44"/>
      <c r="F2" s="63" t="s">
        <v>295</v>
      </c>
      <c r="G2" s="52">
        <f>100%-H2</f>
        <v>0.19999999999999996</v>
      </c>
      <c r="H2" s="62">
        <v>0.8</v>
      </c>
      <c r="J2" s="108"/>
      <c r="K2" s="108"/>
      <c r="L2" s="108"/>
      <c r="M2" s="108"/>
      <c r="N2" s="108"/>
      <c r="O2" s="108"/>
      <c r="P2" s="108"/>
      <c r="Q2" s="108"/>
    </row>
    <row r="3" spans="1:17">
      <c r="A3" s="60" t="s">
        <v>296</v>
      </c>
      <c r="B3" s="51"/>
      <c r="C3" s="51"/>
      <c r="D3" s="61">
        <f>'M&amp;A Cash'!D3</f>
        <v>200000</v>
      </c>
      <c r="E3" s="44"/>
      <c r="F3" s="43"/>
      <c r="J3" s="108"/>
      <c r="K3" s="108"/>
      <c r="L3" s="108"/>
      <c r="M3" s="108"/>
      <c r="N3" s="108"/>
      <c r="O3" s="108"/>
      <c r="P3" s="108"/>
      <c r="Q3" s="108"/>
    </row>
    <row r="4" spans="1:17">
      <c r="A4" s="60" t="s">
        <v>188</v>
      </c>
      <c r="B4" s="51"/>
      <c r="C4" s="51"/>
      <c r="D4" s="61">
        <f>'M&amp;A Cash'!D4</f>
        <v>40000</v>
      </c>
      <c r="E4" s="44"/>
      <c r="F4" s="44"/>
      <c r="J4" s="108"/>
      <c r="K4" s="108"/>
      <c r="L4" s="108"/>
      <c r="M4" s="108"/>
      <c r="N4" s="108"/>
      <c r="O4" s="108"/>
      <c r="P4" s="108"/>
      <c r="Q4" s="108"/>
    </row>
    <row r="5" spans="1:17">
      <c r="A5" s="60"/>
      <c r="B5" s="121" t="str">
        <f>'M&amp;A Cash'!B5:B6</f>
        <v>Pioneer Limited</v>
      </c>
      <c r="C5" s="121" t="str">
        <f>'M&amp;A Cash'!C5:C6</f>
        <v>Delta Limited</v>
      </c>
      <c r="D5" s="66" t="str">
        <f>B5</f>
        <v>Pioneer Limited</v>
      </c>
      <c r="E5" s="121" t="str">
        <f>'M&amp;A Scrip'!E5:E6</f>
        <v>Pioneer*</v>
      </c>
      <c r="F5" s="121" t="str">
        <f>'M&amp;A Scrip'!F5:F6</f>
        <v>Delta*</v>
      </c>
      <c r="J5" s="108"/>
      <c r="K5" s="108"/>
      <c r="L5" s="108"/>
      <c r="M5" s="108"/>
      <c r="N5" s="108"/>
      <c r="O5" s="108"/>
      <c r="P5" s="108"/>
      <c r="Q5" s="108"/>
    </row>
    <row r="6" spans="1:17">
      <c r="A6" s="60"/>
      <c r="B6" s="121"/>
      <c r="C6" s="121"/>
      <c r="D6" s="66" t="s">
        <v>299</v>
      </c>
      <c r="E6" s="121"/>
      <c r="F6" s="121"/>
      <c r="J6" s="108"/>
      <c r="K6" s="108"/>
      <c r="L6" s="108"/>
      <c r="M6" s="108"/>
      <c r="N6" s="108"/>
      <c r="O6" s="108"/>
      <c r="P6" s="108"/>
      <c r="Q6" s="108"/>
    </row>
    <row r="7" spans="1:17">
      <c r="A7" s="60" t="s">
        <v>300</v>
      </c>
      <c r="B7" s="61">
        <f>'M&amp;A Cash'!B7</f>
        <v>20</v>
      </c>
      <c r="C7" s="61">
        <f>'M&amp;A Cash'!C7</f>
        <v>12</v>
      </c>
      <c r="D7" s="53">
        <f>E11/B8</f>
        <v>15.52</v>
      </c>
      <c r="E7" s="53">
        <f>E11/B8</f>
        <v>15.52</v>
      </c>
      <c r="F7" s="53">
        <f>F11/C8</f>
        <v>24</v>
      </c>
      <c r="J7" s="108"/>
      <c r="K7" s="108"/>
      <c r="L7" s="108"/>
      <c r="M7" s="108"/>
      <c r="N7" s="108"/>
      <c r="O7" s="108"/>
      <c r="P7" s="108"/>
      <c r="Q7" s="108"/>
    </row>
    <row r="8" spans="1:17">
      <c r="A8" s="60" t="s">
        <v>301</v>
      </c>
      <c r="B8" s="61">
        <f>'M&amp;A Cash'!B8</f>
        <v>25000</v>
      </c>
      <c r="C8" s="61">
        <f>'M&amp;A Cash'!C8</f>
        <v>10000</v>
      </c>
      <c r="D8" s="53">
        <f>F8+E8</f>
        <v>40463.917525773199</v>
      </c>
      <c r="E8" s="53">
        <f>B8</f>
        <v>25000</v>
      </c>
      <c r="F8" s="53">
        <f>F11/D7</f>
        <v>15463.917525773197</v>
      </c>
    </row>
    <row r="9" spans="1:17">
      <c r="A9" s="60" t="s">
        <v>296</v>
      </c>
      <c r="B9" s="61">
        <f>'M&amp;A Cash'!B9</f>
        <v>1400000</v>
      </c>
      <c r="C9" s="61">
        <f>'M&amp;A Cash'!C9</f>
        <v>300000</v>
      </c>
      <c r="D9" s="53">
        <f>B9+C9+D3-(H2*(C11+C2*D3))</f>
        <v>1708000</v>
      </c>
      <c r="E9" s="53"/>
      <c r="F9" s="53"/>
      <c r="J9" s="18" t="s">
        <v>302</v>
      </c>
    </row>
    <row r="10" spans="1:17">
      <c r="A10" s="60" t="s">
        <v>303</v>
      </c>
      <c r="B10" s="61">
        <f>'M&amp;A Cash'!B10</f>
        <v>150000</v>
      </c>
      <c r="C10" s="61">
        <f>'M&amp;A Cash'!C10</f>
        <v>75000</v>
      </c>
      <c r="D10" s="53">
        <f>B10+C10+D4</f>
        <v>265000</v>
      </c>
      <c r="E10" s="53"/>
      <c r="F10" s="53"/>
      <c r="J10" s="18" t="s">
        <v>304</v>
      </c>
    </row>
    <row r="11" spans="1:17">
      <c r="A11" s="51" t="s">
        <v>305</v>
      </c>
      <c r="B11" s="53">
        <f>B7*B8</f>
        <v>500000</v>
      </c>
      <c r="C11" s="53">
        <f>C7*C8</f>
        <v>120000</v>
      </c>
      <c r="D11" s="53">
        <f>D9-D12</f>
        <v>628000</v>
      </c>
      <c r="E11" s="53">
        <f>D11-F11</f>
        <v>388000</v>
      </c>
      <c r="F11" s="53">
        <f>(D3*C2)+C11</f>
        <v>240000</v>
      </c>
      <c r="J11" s="18" t="s">
        <v>306</v>
      </c>
    </row>
    <row r="12" spans="1:17">
      <c r="A12" s="51" t="s">
        <v>307</v>
      </c>
      <c r="B12" s="53">
        <f>B9-B11</f>
        <v>900000</v>
      </c>
      <c r="C12" s="53">
        <f>C9-C11</f>
        <v>180000</v>
      </c>
      <c r="D12" s="53">
        <f>B12+C12</f>
        <v>1080000</v>
      </c>
      <c r="E12" s="53"/>
      <c r="F12" s="53"/>
      <c r="J12" s="18" t="s">
        <v>308</v>
      </c>
    </row>
    <row r="13" spans="1:17">
      <c r="A13" s="51" t="s">
        <v>309</v>
      </c>
      <c r="B13" s="53">
        <f>B12/B11</f>
        <v>1.8</v>
      </c>
      <c r="C13" s="53">
        <f>C12/C11</f>
        <v>1.5</v>
      </c>
      <c r="D13" s="53">
        <f>D12/D11</f>
        <v>1.7197452229299364</v>
      </c>
      <c r="E13" s="53"/>
      <c r="F13" s="53"/>
      <c r="J13" s="18" t="s">
        <v>310</v>
      </c>
    </row>
    <row r="14" spans="1:17">
      <c r="A14" s="51" t="s">
        <v>311</v>
      </c>
      <c r="B14" s="53">
        <f>B10/B8</f>
        <v>6</v>
      </c>
      <c r="C14" s="53">
        <f>C10/C8</f>
        <v>7.5</v>
      </c>
      <c r="D14" s="53">
        <f>D10/D8</f>
        <v>6.5490445859872608</v>
      </c>
      <c r="E14" s="53"/>
      <c r="F14" s="53"/>
      <c r="J14" s="18" t="s">
        <v>312</v>
      </c>
    </row>
    <row r="15" spans="1:17">
      <c r="A15" s="51" t="s">
        <v>313</v>
      </c>
      <c r="B15" s="53">
        <f>B7/B14</f>
        <v>3.3333333333333335</v>
      </c>
      <c r="C15" s="53">
        <f>C7/C14</f>
        <v>1.6</v>
      </c>
      <c r="D15" s="53">
        <f>D7/D14</f>
        <v>2.3698113207547169</v>
      </c>
      <c r="E15" s="53"/>
      <c r="F15" s="53"/>
      <c r="J15" s="18" t="s">
        <v>314</v>
      </c>
    </row>
    <row r="16" spans="1:17">
      <c r="J16" s="18" t="s">
        <v>325</v>
      </c>
    </row>
    <row r="17" spans="10:10">
      <c r="J17" s="18" t="s">
        <v>316</v>
      </c>
    </row>
    <row r="18" spans="10:10">
      <c r="J18" s="18" t="s">
        <v>317</v>
      </c>
    </row>
    <row r="19" spans="10:10">
      <c r="J19" s="18" t="s">
        <v>326</v>
      </c>
    </row>
    <row r="20" spans="10:10">
      <c r="J20" s="18" t="s">
        <v>319</v>
      </c>
    </row>
    <row r="21" spans="10:10">
      <c r="J21" s="18" t="s">
        <v>320</v>
      </c>
    </row>
    <row r="22" spans="10:10">
      <c r="J22" s="18" t="s">
        <v>321</v>
      </c>
    </row>
    <row r="23" spans="10:10">
      <c r="J23" s="18"/>
    </row>
  </sheetData>
  <mergeCells count="5">
    <mergeCell ref="J1:Q7"/>
    <mergeCell ref="B5:B6"/>
    <mergeCell ref="E5:E6"/>
    <mergeCell ref="F5:F6"/>
    <mergeCell ref="C5:C6"/>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5259E-F88C-4A28-976F-65FA497C2C4F}">
  <dimension ref="A1:I14"/>
  <sheetViews>
    <sheetView zoomScale="118" zoomScaleNormal="170" workbookViewId="0">
      <selection activeCell="B11" sqref="B11"/>
    </sheetView>
  </sheetViews>
  <sheetFormatPr defaultColWidth="8.44140625" defaultRowHeight="15.6"/>
  <cols>
    <col min="1" max="1" width="22.44140625" style="32" bestFit="1" customWidth="1"/>
    <col min="2" max="2" width="16.44140625" style="32" bestFit="1" customWidth="1"/>
    <col min="3" max="3" width="15.109375" style="32" bestFit="1" customWidth="1"/>
    <col min="4" max="4" width="8.44140625" style="32" customWidth="1"/>
    <col min="5" max="6" width="9.44140625" style="32" customWidth="1"/>
    <col min="7" max="7" width="8.44140625" style="32" customWidth="1"/>
    <col min="8" max="16384" width="8.44140625" style="32"/>
  </cols>
  <sheetData>
    <row r="1" spans="1:9" ht="15.6" customHeight="1">
      <c r="A1" s="46" t="s">
        <v>328</v>
      </c>
      <c r="B1" s="43">
        <v>450000</v>
      </c>
      <c r="E1" s="108" t="s">
        <v>329</v>
      </c>
      <c r="F1" s="108"/>
      <c r="G1" s="108"/>
      <c r="H1" s="108"/>
      <c r="I1" s="108"/>
    </row>
    <row r="2" spans="1:9">
      <c r="A2" s="46"/>
      <c r="B2" s="44"/>
      <c r="E2" s="108"/>
      <c r="F2" s="108"/>
      <c r="G2" s="108"/>
      <c r="H2" s="108"/>
      <c r="I2" s="108"/>
    </row>
    <row r="3" spans="1:9">
      <c r="A3" s="46"/>
      <c r="B3" s="43"/>
      <c r="C3" s="68"/>
      <c r="D3" s="68"/>
      <c r="E3" s="108"/>
      <c r="F3" s="108"/>
      <c r="G3" s="108"/>
      <c r="H3" s="108"/>
      <c r="I3" s="108"/>
    </row>
    <row r="4" spans="1:9">
      <c r="A4" s="46"/>
      <c r="B4" s="69" t="s">
        <v>330</v>
      </c>
      <c r="C4" s="69" t="s">
        <v>331</v>
      </c>
      <c r="D4" s="68"/>
      <c r="E4" s="108"/>
      <c r="F4" s="108"/>
      <c r="G4" s="108"/>
      <c r="H4" s="108"/>
      <c r="I4" s="108"/>
    </row>
    <row r="5" spans="1:9">
      <c r="A5" s="46"/>
      <c r="B5" s="69" t="s">
        <v>297</v>
      </c>
      <c r="C5" s="69" t="s">
        <v>298</v>
      </c>
      <c r="D5" s="68"/>
      <c r="E5" s="108"/>
      <c r="F5" s="108"/>
      <c r="G5" s="108"/>
      <c r="H5" s="108"/>
      <c r="I5" s="108"/>
    </row>
    <row r="6" spans="1:9">
      <c r="A6" s="46" t="s">
        <v>332</v>
      </c>
      <c r="B6" s="70">
        <v>12000000</v>
      </c>
      <c r="C6" s="70">
        <v>10000000</v>
      </c>
      <c r="D6" s="68"/>
      <c r="E6" s="108"/>
      <c r="F6" s="108"/>
      <c r="G6" s="108"/>
      <c r="H6" s="108"/>
      <c r="I6" s="108"/>
    </row>
    <row r="7" spans="1:9">
      <c r="A7" s="46" t="s">
        <v>333</v>
      </c>
      <c r="B7" s="43">
        <v>30</v>
      </c>
      <c r="C7" s="43">
        <v>35</v>
      </c>
      <c r="D7" s="68"/>
      <c r="E7" s="108"/>
      <c r="F7" s="108"/>
      <c r="G7" s="108"/>
      <c r="H7" s="108"/>
      <c r="I7" s="108"/>
    </row>
    <row r="8" spans="1:9">
      <c r="A8" s="46"/>
      <c r="B8" s="68"/>
      <c r="C8" s="68"/>
      <c r="D8" s="68"/>
      <c r="E8" s="45"/>
      <c r="F8" s="45"/>
      <c r="G8" s="45"/>
      <c r="H8" s="45"/>
      <c r="I8" s="45"/>
    </row>
    <row r="9" spans="1:9">
      <c r="A9" s="36"/>
      <c r="B9" s="71"/>
      <c r="C9" s="68"/>
      <c r="D9" s="68"/>
      <c r="E9" s="45"/>
      <c r="F9" s="45"/>
      <c r="G9" s="45"/>
      <c r="H9" s="45"/>
      <c r="I9" s="45"/>
    </row>
    <row r="10" spans="1:9">
      <c r="A10" s="36" t="s">
        <v>334</v>
      </c>
      <c r="B10" s="72">
        <f>(B6-C6)/(C7-B7)</f>
        <v>400000</v>
      </c>
      <c r="C10" s="68"/>
      <c r="D10" s="68"/>
      <c r="E10" s="45"/>
      <c r="F10" s="45"/>
      <c r="G10" s="45"/>
      <c r="H10" s="45"/>
      <c r="I10" s="45"/>
    </row>
    <row r="11" spans="1:9">
      <c r="A11" s="36" t="s">
        <v>335</v>
      </c>
      <c r="B11" s="54" t="str">
        <f>IF(B1&gt;B10,"insource", "outsource")</f>
        <v>insource</v>
      </c>
    </row>
    <row r="12" spans="1:9">
      <c r="A12" s="36"/>
      <c r="B12" s="56"/>
    </row>
    <row r="14" spans="1:9">
      <c r="B14" s="72"/>
    </row>
  </sheetData>
  <mergeCells count="1">
    <mergeCell ref="E1:I7"/>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BB10-4EE9-4C04-A7C2-F7AE421659EC}">
  <dimension ref="A1:K14"/>
  <sheetViews>
    <sheetView workbookViewId="0">
      <selection activeCell="B15" sqref="B15"/>
    </sheetView>
  </sheetViews>
  <sheetFormatPr defaultColWidth="8.88671875" defaultRowHeight="14.4"/>
  <cols>
    <col min="1" max="1" width="29.5546875" customWidth="1"/>
    <col min="2" max="2" width="29" customWidth="1"/>
    <col min="3" max="3" width="13.88671875" bestFit="1" customWidth="1"/>
    <col min="4" max="4" width="12.44140625" bestFit="1" customWidth="1"/>
    <col min="5" max="5" width="12.109375" bestFit="1" customWidth="1"/>
  </cols>
  <sheetData>
    <row r="1" spans="1:11" ht="14.4" customHeight="1">
      <c r="A1" s="51"/>
      <c r="B1" s="122" t="s">
        <v>336</v>
      </c>
      <c r="C1" s="122"/>
      <c r="D1" s="122"/>
      <c r="E1" s="122"/>
      <c r="G1" s="108" t="s">
        <v>337</v>
      </c>
      <c r="H1" s="108"/>
      <c r="I1" s="108"/>
      <c r="J1" s="108"/>
      <c r="K1" s="108"/>
    </row>
    <row r="2" spans="1:11" ht="14.4" customHeight="1">
      <c r="A2" s="51" t="s">
        <v>338</v>
      </c>
      <c r="B2" s="51" t="s">
        <v>339</v>
      </c>
      <c r="C2" s="51" t="s">
        <v>297</v>
      </c>
      <c r="D2" s="51" t="s">
        <v>340</v>
      </c>
      <c r="E2" s="51" t="s">
        <v>341</v>
      </c>
      <c r="G2" s="108"/>
      <c r="H2" s="108"/>
      <c r="I2" s="108"/>
      <c r="J2" s="108"/>
      <c r="K2" s="108"/>
    </row>
    <row r="3" spans="1:11" ht="14.4" customHeight="1">
      <c r="A3" s="51" t="s">
        <v>342</v>
      </c>
      <c r="B3" s="74">
        <v>0.15</v>
      </c>
      <c r="C3" s="75">
        <v>5</v>
      </c>
      <c r="D3" s="75">
        <v>3</v>
      </c>
      <c r="E3" s="75">
        <v>1</v>
      </c>
      <c r="G3" s="108"/>
      <c r="H3" s="108"/>
      <c r="I3" s="108"/>
      <c r="J3" s="108"/>
      <c r="K3" s="108"/>
    </row>
    <row r="4" spans="1:11" ht="14.4" customHeight="1">
      <c r="A4" s="51" t="s">
        <v>343</v>
      </c>
      <c r="B4" s="74">
        <v>0.15</v>
      </c>
      <c r="C4" s="75">
        <v>1</v>
      </c>
      <c r="D4" s="75">
        <v>1</v>
      </c>
      <c r="E4" s="75">
        <v>2</v>
      </c>
      <c r="G4" s="108"/>
      <c r="H4" s="108"/>
      <c r="I4" s="108"/>
      <c r="J4" s="108"/>
      <c r="K4" s="108"/>
    </row>
    <row r="5" spans="1:11" ht="14.4" customHeight="1">
      <c r="A5" s="51" t="s">
        <v>344</v>
      </c>
      <c r="B5" s="74">
        <v>0.15</v>
      </c>
      <c r="C5" s="75">
        <v>1</v>
      </c>
      <c r="D5" s="75">
        <v>4</v>
      </c>
      <c r="E5" s="75">
        <v>5</v>
      </c>
      <c r="G5" s="108"/>
      <c r="H5" s="108"/>
      <c r="I5" s="108"/>
      <c r="J5" s="108"/>
      <c r="K5" s="108"/>
    </row>
    <row r="6" spans="1:11">
      <c r="A6" s="51" t="s">
        <v>345</v>
      </c>
      <c r="B6" s="74">
        <v>0.15</v>
      </c>
      <c r="C6" s="75">
        <v>5</v>
      </c>
      <c r="D6" s="75">
        <v>1</v>
      </c>
      <c r="E6" s="75">
        <v>2</v>
      </c>
      <c r="G6" s="108"/>
      <c r="H6" s="108"/>
      <c r="I6" s="108"/>
      <c r="J6" s="108"/>
      <c r="K6" s="108"/>
    </row>
    <row r="7" spans="1:11">
      <c r="A7" s="51" t="s">
        <v>346</v>
      </c>
      <c r="B7" s="74">
        <v>0.15</v>
      </c>
      <c r="C7" s="75">
        <v>5</v>
      </c>
      <c r="D7" s="75">
        <v>2</v>
      </c>
      <c r="E7" s="75">
        <v>4</v>
      </c>
      <c r="G7" s="108"/>
      <c r="H7" s="108"/>
      <c r="I7" s="108"/>
      <c r="J7" s="108"/>
      <c r="K7" s="108"/>
    </row>
    <row r="8" spans="1:11">
      <c r="A8" s="51" t="s">
        <v>347</v>
      </c>
      <c r="B8" s="74">
        <v>0.1</v>
      </c>
      <c r="C8" s="75">
        <v>1</v>
      </c>
      <c r="D8" s="75">
        <v>1</v>
      </c>
      <c r="E8" s="75">
        <v>3</v>
      </c>
      <c r="G8" s="108"/>
      <c r="H8" s="108"/>
      <c r="I8" s="108"/>
      <c r="J8" s="108"/>
      <c r="K8" s="108"/>
    </row>
    <row r="9" spans="1:11">
      <c r="A9" s="51" t="s">
        <v>348</v>
      </c>
      <c r="B9" s="74">
        <v>0.15</v>
      </c>
      <c r="C9" s="75">
        <v>5</v>
      </c>
      <c r="D9" s="75">
        <v>4</v>
      </c>
      <c r="E9" s="75">
        <v>3</v>
      </c>
      <c r="G9" s="108"/>
      <c r="H9" s="108"/>
      <c r="I9" s="108"/>
      <c r="J9" s="108"/>
      <c r="K9" s="108"/>
    </row>
    <row r="10" spans="1:11">
      <c r="A10" s="76" t="s">
        <v>349</v>
      </c>
      <c r="B10" s="77">
        <v>1</v>
      </c>
      <c r="C10" s="78">
        <f>SUMPRODUCT($B$3:$B$9,C3:C9)</f>
        <v>3.4</v>
      </c>
      <c r="D10" s="78">
        <f>SUMPRODUCT($B$3:$B$9,D3:D9)</f>
        <v>2.35</v>
      </c>
      <c r="E10" s="78">
        <f>SUMPRODUCT($B$3:$B$9,E3:E9)</f>
        <v>2.8500000000000005</v>
      </c>
      <c r="G10" s="108"/>
      <c r="H10" s="108"/>
      <c r="I10" s="108"/>
      <c r="J10" s="108"/>
      <c r="K10" s="108"/>
    </row>
    <row r="13" spans="1:11" ht="15.6">
      <c r="A13" s="36" t="s">
        <v>350</v>
      </c>
      <c r="B13" s="48">
        <f>MAX(C10:E10)</f>
        <v>3.4</v>
      </c>
    </row>
    <row r="14" spans="1:11" ht="15.6">
      <c r="A14" s="36" t="s">
        <v>335</v>
      </c>
      <c r="B14" s="48" t="str">
        <f>_xlfn.XLOOKUP(B13,C10:E10,C2:E2)</f>
        <v>Pioneer Limited</v>
      </c>
    </row>
  </sheetData>
  <mergeCells count="2">
    <mergeCell ref="B1:E1"/>
    <mergeCell ref="G1:K10"/>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6819-61D7-4080-9AC3-687C9B53B1F6}">
  <dimension ref="A1:J14"/>
  <sheetViews>
    <sheetView workbookViewId="0">
      <selection activeCell="B15" sqref="B15"/>
    </sheetView>
  </sheetViews>
  <sheetFormatPr defaultColWidth="8.88671875" defaultRowHeight="14.4"/>
  <cols>
    <col min="1" max="1" width="41.44140625" bestFit="1" customWidth="1"/>
    <col min="2" max="2" width="41.33203125" customWidth="1"/>
    <col min="3" max="3" width="12.44140625" bestFit="1" customWidth="1"/>
    <col min="4" max="4" width="12.109375" bestFit="1" customWidth="1"/>
  </cols>
  <sheetData>
    <row r="1" spans="1:10" ht="14.4" customHeight="1">
      <c r="A1" s="51" t="s">
        <v>351</v>
      </c>
      <c r="B1" s="73" t="s">
        <v>352</v>
      </c>
      <c r="C1" s="73" t="s">
        <v>353</v>
      </c>
      <c r="D1" s="73" t="s">
        <v>354</v>
      </c>
      <c r="F1" s="108" t="s">
        <v>355</v>
      </c>
      <c r="G1" s="108"/>
      <c r="H1" s="108"/>
      <c r="I1" s="108"/>
      <c r="J1" s="108"/>
    </row>
    <row r="2" spans="1:10" ht="14.4" customHeight="1">
      <c r="A2" s="51" t="s">
        <v>356</v>
      </c>
      <c r="B2" s="79">
        <v>0</v>
      </c>
      <c r="C2" s="79">
        <v>1</v>
      </c>
      <c r="D2" s="79">
        <v>2</v>
      </c>
      <c r="F2" s="108"/>
      <c r="G2" s="108"/>
      <c r="H2" s="108"/>
      <c r="I2" s="108"/>
      <c r="J2" s="108"/>
    </row>
    <row r="3" spans="1:10" ht="14.4" customHeight="1">
      <c r="A3" s="51" t="s">
        <v>357</v>
      </c>
      <c r="B3" s="79">
        <v>0</v>
      </c>
      <c r="C3" s="79">
        <v>2</v>
      </c>
      <c r="D3" s="79">
        <v>3</v>
      </c>
      <c r="F3" s="108"/>
      <c r="G3" s="108"/>
      <c r="H3" s="108"/>
      <c r="I3" s="108"/>
      <c r="J3" s="108"/>
    </row>
    <row r="4" spans="1:10" ht="14.4" customHeight="1">
      <c r="A4" s="51" t="s">
        <v>358</v>
      </c>
      <c r="B4" s="79">
        <v>3</v>
      </c>
      <c r="C4" s="79">
        <v>3</v>
      </c>
      <c r="D4" s="79">
        <v>0</v>
      </c>
      <c r="F4" s="108"/>
      <c r="G4" s="108"/>
      <c r="H4" s="108"/>
      <c r="I4" s="108"/>
      <c r="J4" s="108"/>
    </row>
    <row r="5" spans="1:10" ht="14.4" customHeight="1">
      <c r="A5" s="51" t="s">
        <v>359</v>
      </c>
      <c r="B5" s="79">
        <v>1</v>
      </c>
      <c r="C5" s="79">
        <v>0</v>
      </c>
      <c r="D5" s="79">
        <v>0</v>
      </c>
      <c r="F5" s="108"/>
      <c r="G5" s="108"/>
      <c r="H5" s="108"/>
      <c r="I5" s="108"/>
      <c r="J5" s="108"/>
    </row>
    <row r="6" spans="1:10">
      <c r="A6" s="51" t="s">
        <v>360</v>
      </c>
      <c r="B6" s="79">
        <v>2</v>
      </c>
      <c r="C6" s="79">
        <v>0</v>
      </c>
      <c r="D6" s="79">
        <v>2</v>
      </c>
      <c r="F6" s="108"/>
      <c r="G6" s="108"/>
      <c r="H6" s="108"/>
      <c r="I6" s="108"/>
      <c r="J6" s="108"/>
    </row>
    <row r="7" spans="1:10">
      <c r="A7" s="51" t="s">
        <v>361</v>
      </c>
      <c r="B7" s="79">
        <v>3</v>
      </c>
      <c r="C7" s="79">
        <v>3</v>
      </c>
      <c r="D7" s="79">
        <v>0</v>
      </c>
      <c r="F7" s="108"/>
      <c r="G7" s="108"/>
      <c r="H7" s="108"/>
      <c r="I7" s="108"/>
      <c r="J7" s="108"/>
    </row>
    <row r="8" spans="1:10">
      <c r="A8" s="51" t="s">
        <v>362</v>
      </c>
      <c r="B8" s="79">
        <v>1</v>
      </c>
      <c r="C8" s="79">
        <v>0</v>
      </c>
      <c r="D8" s="79">
        <v>2</v>
      </c>
      <c r="F8" s="108"/>
      <c r="G8" s="108"/>
      <c r="H8" s="108"/>
      <c r="I8" s="108"/>
      <c r="J8" s="108"/>
    </row>
    <row r="9" spans="1:10">
      <c r="A9" s="51" t="s">
        <v>363</v>
      </c>
      <c r="B9" s="79">
        <v>2</v>
      </c>
      <c r="C9" s="79">
        <v>0</v>
      </c>
      <c r="D9" s="79">
        <v>0</v>
      </c>
      <c r="F9" s="108"/>
      <c r="G9" s="108"/>
      <c r="H9" s="108"/>
      <c r="I9" s="108"/>
      <c r="J9" s="108"/>
    </row>
    <row r="10" spans="1:10">
      <c r="A10" s="51" t="s">
        <v>364</v>
      </c>
      <c r="B10" s="79">
        <v>2</v>
      </c>
      <c r="C10" s="79">
        <v>1</v>
      </c>
      <c r="D10" s="79">
        <v>2</v>
      </c>
      <c r="F10" s="108"/>
      <c r="G10" s="108"/>
      <c r="H10" s="108"/>
      <c r="I10" s="108"/>
      <c r="J10" s="108"/>
    </row>
    <row r="11" spans="1:10">
      <c r="A11" s="76" t="s">
        <v>365</v>
      </c>
      <c r="B11" s="80">
        <f>SUM(B2:B10)</f>
        <v>14</v>
      </c>
      <c r="C11" s="80">
        <f>SUM(C2:C10)</f>
        <v>10</v>
      </c>
      <c r="D11" s="80">
        <f>SUM(D2:D10)</f>
        <v>11</v>
      </c>
    </row>
    <row r="12" spans="1:10">
      <c r="D12" s="51"/>
      <c r="E12" s="92"/>
      <c r="G12" s="76"/>
      <c r="H12" s="92"/>
    </row>
    <row r="13" spans="1:10" ht="15.6">
      <c r="A13" s="36" t="s">
        <v>350</v>
      </c>
      <c r="B13" s="48">
        <f>MIN(B11:D11)</f>
        <v>10</v>
      </c>
      <c r="D13" s="51"/>
      <c r="G13" s="76"/>
    </row>
    <row r="14" spans="1:10" ht="15.6">
      <c r="A14" s="36" t="s">
        <v>335</v>
      </c>
      <c r="B14" s="48" t="str">
        <f>_xlfn.XLOOKUP(B13,B11:D11,B1:D1)</f>
        <v>Columbia</v>
      </c>
    </row>
  </sheetData>
  <mergeCells count="1">
    <mergeCell ref="F1:J10"/>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B98F-3EB2-46DE-93C1-B5727227656F}">
  <dimension ref="B2:M36"/>
  <sheetViews>
    <sheetView topLeftCell="A4" workbookViewId="0">
      <selection activeCell="X26" sqref="X26"/>
    </sheetView>
  </sheetViews>
  <sheetFormatPr defaultRowHeight="14.4"/>
  <cols>
    <col min="2" max="2" width="24.44140625" bestFit="1" customWidth="1"/>
  </cols>
  <sheetData>
    <row r="2" spans="2:13">
      <c r="B2" t="s">
        <v>127</v>
      </c>
    </row>
    <row r="3" spans="2:13">
      <c r="C3">
        <v>2019</v>
      </c>
      <c r="D3">
        <v>2020</v>
      </c>
      <c r="E3">
        <v>2021</v>
      </c>
      <c r="F3">
        <v>2022</v>
      </c>
      <c r="J3">
        <v>2019</v>
      </c>
      <c r="K3">
        <v>2020</v>
      </c>
      <c r="L3">
        <v>2021</v>
      </c>
      <c r="M3">
        <v>2022</v>
      </c>
    </row>
    <row r="4" spans="2:13">
      <c r="B4" t="s">
        <v>53</v>
      </c>
      <c r="I4" t="s">
        <v>61</v>
      </c>
      <c r="J4" s="6">
        <v>0</v>
      </c>
      <c r="K4" s="6">
        <v>0.9</v>
      </c>
      <c r="L4" s="6">
        <v>1.1666666666666667</v>
      </c>
      <c r="M4" s="6">
        <v>1.4666666666666666</v>
      </c>
    </row>
    <row r="5" spans="2:13">
      <c r="B5" t="s">
        <v>54</v>
      </c>
      <c r="C5" s="6">
        <v>0</v>
      </c>
      <c r="D5" s="6">
        <v>1.5</v>
      </c>
      <c r="E5" s="6">
        <v>2</v>
      </c>
      <c r="F5" s="6">
        <v>3</v>
      </c>
      <c r="I5" t="s">
        <v>69</v>
      </c>
      <c r="J5" s="6">
        <v>0</v>
      </c>
      <c r="K5" s="6">
        <v>0.18571428571428572</v>
      </c>
      <c r="L5" s="6">
        <v>0.35714285714285715</v>
      </c>
      <c r="M5" s="6">
        <v>0.51428571428571423</v>
      </c>
    </row>
    <row r="6" spans="2:13">
      <c r="B6" t="s">
        <v>56</v>
      </c>
      <c r="C6" s="6">
        <v>0</v>
      </c>
      <c r="D6" s="6">
        <v>1.3333333333333333</v>
      </c>
      <c r="E6" s="6">
        <v>1.6666666666666667</v>
      </c>
      <c r="F6" s="6">
        <v>2.6666666666666665</v>
      </c>
      <c r="I6" t="s">
        <v>71</v>
      </c>
      <c r="J6" s="6">
        <v>0</v>
      </c>
      <c r="K6" s="6">
        <v>0.4</v>
      </c>
      <c r="L6" s="6">
        <v>0.6</v>
      </c>
      <c r="M6" s="6">
        <v>0.8</v>
      </c>
    </row>
    <row r="7" spans="2:13">
      <c r="B7" t="s">
        <v>58</v>
      </c>
      <c r="C7" s="6">
        <v>0</v>
      </c>
      <c r="D7" s="6">
        <v>0.5</v>
      </c>
      <c r="E7" s="6">
        <v>0.66666666666666663</v>
      </c>
      <c r="F7" s="6">
        <v>0.33333333333333331</v>
      </c>
    </row>
    <row r="8" spans="2:13">
      <c r="B8" t="s">
        <v>60</v>
      </c>
      <c r="C8" s="6">
        <v>0</v>
      </c>
      <c r="D8" s="6">
        <v>2</v>
      </c>
      <c r="E8" s="6">
        <v>2.5</v>
      </c>
      <c r="F8" s="6">
        <v>5</v>
      </c>
    </row>
    <row r="9" spans="2:13">
      <c r="B9" t="s">
        <v>61</v>
      </c>
      <c r="C9" s="6">
        <v>0</v>
      </c>
      <c r="D9" s="6">
        <v>0.9</v>
      </c>
      <c r="E9" s="6">
        <v>1.1666666666666667</v>
      </c>
      <c r="F9" s="6">
        <v>1.4666666666666666</v>
      </c>
    </row>
    <row r="10" spans="2:13">
      <c r="C10" s="6"/>
      <c r="D10" s="6"/>
      <c r="E10" s="6"/>
      <c r="F10" s="6"/>
    </row>
    <row r="11" spans="2:13">
      <c r="B11" t="s">
        <v>64</v>
      </c>
      <c r="C11" s="6"/>
      <c r="D11" s="6"/>
      <c r="E11" s="6"/>
      <c r="F11" s="6"/>
    </row>
    <row r="12" spans="2:13">
      <c r="B12" t="s">
        <v>57</v>
      </c>
      <c r="C12" s="6">
        <v>0</v>
      </c>
      <c r="D12" s="6">
        <v>0.16666666666666666</v>
      </c>
      <c r="E12" s="6">
        <v>0.33333333333333331</v>
      </c>
      <c r="F12" s="6">
        <v>0.5</v>
      </c>
    </row>
    <row r="13" spans="2:13">
      <c r="B13" t="s">
        <v>126</v>
      </c>
      <c r="C13" s="6">
        <v>0</v>
      </c>
      <c r="D13" s="6">
        <v>0.11666666666666667</v>
      </c>
      <c r="E13" s="6">
        <v>0.25</v>
      </c>
      <c r="F13" s="6">
        <v>0.4</v>
      </c>
    </row>
    <row r="14" spans="2:13">
      <c r="B14" t="s">
        <v>67</v>
      </c>
      <c r="C14" s="6">
        <v>0</v>
      </c>
      <c r="D14" s="6">
        <v>0.21666666666666667</v>
      </c>
      <c r="E14" s="6">
        <v>0.41666666666666669</v>
      </c>
      <c r="F14" s="6">
        <v>0.6</v>
      </c>
    </row>
    <row r="15" spans="2:13">
      <c r="B15" t="s">
        <v>66</v>
      </c>
      <c r="C15" s="6">
        <v>0</v>
      </c>
      <c r="D15" s="6">
        <v>0</v>
      </c>
      <c r="E15" s="6">
        <v>0</v>
      </c>
      <c r="F15" s="6">
        <v>0</v>
      </c>
    </row>
    <row r="16" spans="2:13">
      <c r="B16" t="s">
        <v>69</v>
      </c>
      <c r="C16" s="6">
        <v>0</v>
      </c>
      <c r="D16" s="6">
        <v>0.18571428571428572</v>
      </c>
      <c r="E16" s="6">
        <v>0.35714285714285715</v>
      </c>
      <c r="F16" s="6">
        <v>0.51428571428571423</v>
      </c>
    </row>
    <row r="17" spans="2:13">
      <c r="C17" s="6"/>
      <c r="D17" s="6"/>
      <c r="E17" s="6"/>
      <c r="F17" s="6"/>
      <c r="J17">
        <v>2019</v>
      </c>
      <c r="K17">
        <v>2020</v>
      </c>
      <c r="L17">
        <v>2021</v>
      </c>
      <c r="M17">
        <v>2022</v>
      </c>
    </row>
    <row r="18" spans="2:13">
      <c r="B18" t="s">
        <v>71</v>
      </c>
      <c r="C18" s="6">
        <v>0</v>
      </c>
      <c r="D18" s="6">
        <v>0.4</v>
      </c>
      <c r="E18" s="6">
        <v>0.6</v>
      </c>
      <c r="F18" s="6">
        <v>0.8</v>
      </c>
      <c r="J18" s="6"/>
      <c r="K18" s="6">
        <v>1.4166666666666667</v>
      </c>
      <c r="L18" s="6">
        <v>2.0833333333333335</v>
      </c>
      <c r="M18" s="6">
        <v>3</v>
      </c>
    </row>
    <row r="19" spans="2:13">
      <c r="C19" s="6"/>
      <c r="D19" s="6"/>
      <c r="E19" s="6"/>
      <c r="F19" s="6"/>
      <c r="J19" s="6">
        <v>0</v>
      </c>
      <c r="K19" s="6">
        <v>-7.6923076923076927E-2</v>
      </c>
      <c r="L19" s="6">
        <v>-0.23076923076923078</v>
      </c>
      <c r="M19" s="6">
        <v>-0.38461538461538464</v>
      </c>
    </row>
    <row r="20" spans="2:13">
      <c r="B20" t="s">
        <v>73</v>
      </c>
      <c r="C20" s="6"/>
      <c r="D20" s="6"/>
      <c r="E20" s="6"/>
      <c r="F20" s="6"/>
    </row>
    <row r="21" spans="2:13">
      <c r="B21" t="s">
        <v>52</v>
      </c>
      <c r="C21" s="6">
        <v>0</v>
      </c>
      <c r="D21" s="6">
        <v>1.4</v>
      </c>
      <c r="E21" s="6">
        <v>4</v>
      </c>
      <c r="F21" s="6">
        <v>4.2</v>
      </c>
    </row>
    <row r="22" spans="2:13">
      <c r="B22" t="s">
        <v>55</v>
      </c>
      <c r="C22" s="6">
        <v>0</v>
      </c>
      <c r="D22" s="6">
        <v>3.3333333333333335</v>
      </c>
      <c r="E22" s="6">
        <v>1.6666666666666667</v>
      </c>
      <c r="F22" s="6">
        <v>5</v>
      </c>
      <c r="J22">
        <v>2019</v>
      </c>
      <c r="K22">
        <v>2020</v>
      </c>
      <c r="L22">
        <v>2021</v>
      </c>
      <c r="M22">
        <v>2022</v>
      </c>
    </row>
    <row r="23" spans="2:13">
      <c r="B23" t="s">
        <v>62</v>
      </c>
      <c r="C23" s="6">
        <v>0</v>
      </c>
      <c r="D23" s="6">
        <v>0</v>
      </c>
      <c r="E23" s="6">
        <v>0</v>
      </c>
      <c r="F23" s="6">
        <v>0</v>
      </c>
      <c r="I23" t="s">
        <v>366</v>
      </c>
      <c r="J23" s="6">
        <f>SUM(J18,J19)</f>
        <v>0</v>
      </c>
      <c r="K23" s="6">
        <f>SUM(K18,K19)</f>
        <v>1.3397435897435899</v>
      </c>
      <c r="L23" s="6">
        <f>SUM(L18,L19)</f>
        <v>1.8525641025641026</v>
      </c>
      <c r="M23" s="6">
        <f>SUM(M18,M19)</f>
        <v>2.6153846153846154</v>
      </c>
    </row>
    <row r="24" spans="2:13">
      <c r="B24" t="s">
        <v>74</v>
      </c>
      <c r="C24" s="6">
        <v>0</v>
      </c>
      <c r="D24" s="6">
        <v>1.4166666666666667</v>
      </c>
      <c r="E24" s="6">
        <v>2.0833333333333335</v>
      </c>
      <c r="F24" s="6">
        <v>3</v>
      </c>
      <c r="I24" t="s">
        <v>71</v>
      </c>
      <c r="J24" s="6">
        <v>0</v>
      </c>
      <c r="K24" s="6">
        <v>0.4</v>
      </c>
      <c r="L24" s="6">
        <v>0.6</v>
      </c>
      <c r="M24" s="6">
        <v>0.8</v>
      </c>
    </row>
    <row r="25" spans="2:13">
      <c r="C25" s="6"/>
      <c r="D25" s="6"/>
      <c r="E25" s="6"/>
      <c r="F25" s="6"/>
    </row>
    <row r="26" spans="2:13">
      <c r="B26" t="s">
        <v>75</v>
      </c>
      <c r="C26" s="6"/>
      <c r="D26" s="6"/>
      <c r="E26" s="6"/>
      <c r="F26" s="6"/>
    </row>
    <row r="27" spans="2:13">
      <c r="B27" t="s">
        <v>59</v>
      </c>
      <c r="C27" s="6">
        <v>0</v>
      </c>
      <c r="D27" s="6">
        <v>-0.2</v>
      </c>
      <c r="E27" s="6">
        <v>-0.4</v>
      </c>
      <c r="F27" s="6">
        <v>-0.6</v>
      </c>
    </row>
    <row r="28" spans="2:13">
      <c r="B28" t="s">
        <v>65</v>
      </c>
      <c r="C28" s="6">
        <v>0</v>
      </c>
      <c r="D28" s="6">
        <v>0.33333333333333331</v>
      </c>
      <c r="E28" s="6">
        <v>0.33333333333333331</v>
      </c>
      <c r="F28" s="6">
        <v>0.33333333333333331</v>
      </c>
    </row>
    <row r="29" spans="2:13">
      <c r="B29" t="s">
        <v>76</v>
      </c>
      <c r="C29" s="6">
        <v>0</v>
      </c>
      <c r="D29" s="6">
        <v>-7.6923076923076927E-2</v>
      </c>
      <c r="E29" s="6">
        <v>-0.23076923076923078</v>
      </c>
      <c r="F29" s="6">
        <v>-0.38461538461538464</v>
      </c>
    </row>
    <row r="30" spans="2:13">
      <c r="C30" s="6"/>
      <c r="D30" s="6"/>
      <c r="E30" s="6"/>
      <c r="F30" s="6"/>
    </row>
    <row r="31" spans="2:13">
      <c r="B31" t="s">
        <v>77</v>
      </c>
      <c r="C31" s="6"/>
      <c r="D31" s="6"/>
      <c r="E31" s="6"/>
      <c r="F31" s="6"/>
    </row>
    <row r="32" spans="2:13">
      <c r="B32" t="s">
        <v>68</v>
      </c>
      <c r="C32" s="6">
        <v>0</v>
      </c>
      <c r="D32" s="6">
        <v>0.25</v>
      </c>
      <c r="E32" s="6">
        <v>0.25</v>
      </c>
      <c r="F32" s="6">
        <v>0.5</v>
      </c>
    </row>
    <row r="33" spans="2:6">
      <c r="B33" t="s">
        <v>70</v>
      </c>
      <c r="C33" s="6">
        <v>0</v>
      </c>
      <c r="D33" s="6">
        <v>0.75</v>
      </c>
      <c r="E33" s="6">
        <v>2.25</v>
      </c>
      <c r="F33" s="6">
        <v>2.5</v>
      </c>
    </row>
    <row r="34" spans="2:6">
      <c r="B34" t="s">
        <v>78</v>
      </c>
      <c r="C34" s="6">
        <v>0</v>
      </c>
      <c r="D34" s="6">
        <v>0.41666666666666669</v>
      </c>
      <c r="E34" s="6">
        <v>0.91666666666666663</v>
      </c>
      <c r="F34" s="6">
        <v>1.1666666666666667</v>
      </c>
    </row>
    <row r="35" spans="2:6">
      <c r="C35" s="6"/>
      <c r="D35" s="6"/>
      <c r="E35" s="6"/>
      <c r="F35" s="6"/>
    </row>
    <row r="36" spans="2:6">
      <c r="B36" t="s">
        <v>79</v>
      </c>
      <c r="C36" s="6">
        <v>0</v>
      </c>
      <c r="D36" s="6">
        <v>0.4</v>
      </c>
      <c r="E36" s="6">
        <v>0.6</v>
      </c>
      <c r="F36" s="6">
        <v>0.8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a44cfb4-bf26-478b-938b-c29fca0ecd3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39DF1C0481CA42952A893477620929" ma:contentTypeVersion="13" ma:contentTypeDescription="Create a new document." ma:contentTypeScope="" ma:versionID="ffbf887405604f1aae02ca4ca03b6599">
  <xsd:schema xmlns:xsd="http://www.w3.org/2001/XMLSchema" xmlns:xs="http://www.w3.org/2001/XMLSchema" xmlns:p="http://schemas.microsoft.com/office/2006/metadata/properties" xmlns:ns3="7a44cfb4-bf26-478b-938b-c29fca0ecd38" xmlns:ns4="1c09256e-6c69-437d-969d-733f4a9caad8" targetNamespace="http://schemas.microsoft.com/office/2006/metadata/properties" ma:root="true" ma:fieldsID="e9e500e3d44fca7523f78ee84b0e97ae" ns3:_="" ns4:_="">
    <xsd:import namespace="7a44cfb4-bf26-478b-938b-c29fca0ecd38"/>
    <xsd:import namespace="1c09256e-6c69-437d-969d-733f4a9caad8"/>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44cfb4-bf26-478b-938b-c29fca0ecd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09256e-6c69-437d-969d-733f4a9caad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C8D752-D2A0-478F-8402-EA85E12FE0CD}">
  <ds:schemaRefs>
    <ds:schemaRef ds:uri="http://schemas.microsoft.com/office/2006/metadata/properties"/>
    <ds:schemaRef ds:uri="http://schemas.microsoft.com/office/infopath/2007/PartnerControls"/>
    <ds:schemaRef ds:uri="7a44cfb4-bf26-478b-938b-c29fca0ecd38"/>
  </ds:schemaRefs>
</ds:datastoreItem>
</file>

<file path=customXml/itemProps2.xml><?xml version="1.0" encoding="utf-8"?>
<ds:datastoreItem xmlns:ds="http://schemas.openxmlformats.org/officeDocument/2006/customXml" ds:itemID="{3702E5EC-21ED-44AC-A02C-B2FFD10304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44cfb4-bf26-478b-938b-c29fca0ecd38"/>
    <ds:schemaRef ds:uri="1c09256e-6c69-437d-969d-733f4a9caa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8FFE8D-A31E-4CCB-BBF2-176EA149AA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CI-FV</vt:lpstr>
      <vt:lpstr>Instructions</vt:lpstr>
      <vt:lpstr>Cover</vt:lpstr>
      <vt:lpstr>BS</vt:lpstr>
      <vt:lpstr>IS</vt:lpstr>
      <vt:lpstr>BS IS</vt:lpstr>
      <vt:lpstr>SCF</vt:lpstr>
      <vt:lpstr>HA</vt:lpstr>
      <vt:lpstr>%Change</vt:lpstr>
      <vt:lpstr>VA</vt:lpstr>
      <vt:lpstr>Ratio</vt:lpstr>
      <vt:lpstr>CapitalBudgeting</vt:lpstr>
      <vt:lpstr>CI-PV</vt:lpstr>
      <vt:lpstr>CI-i</vt:lpstr>
      <vt:lpstr>CI-n</vt:lpstr>
      <vt:lpstr>FVOA-FV</vt:lpstr>
      <vt:lpstr>FVOA-C</vt:lpstr>
      <vt:lpstr>FVOA-i</vt:lpstr>
      <vt:lpstr>FVOA-n</vt:lpstr>
      <vt:lpstr>PVOA-PV</vt:lpstr>
      <vt:lpstr>PVOA-C</vt:lpstr>
      <vt:lpstr>PVOA-i</vt:lpstr>
      <vt:lpstr>PVOA-n</vt:lpstr>
      <vt:lpstr>R&amp;R Sample</vt:lpstr>
      <vt:lpstr>R&amp;R Probability</vt:lpstr>
      <vt:lpstr>R&amp;R Portfolio</vt:lpstr>
      <vt:lpstr>Risk Mgmt Long</vt:lpstr>
      <vt:lpstr>Risk Mgmt Short</vt:lpstr>
      <vt:lpstr>M&amp;A Cash</vt:lpstr>
      <vt:lpstr>M&amp;A Scrip</vt:lpstr>
      <vt:lpstr>M&amp;A Combined</vt:lpstr>
      <vt:lpstr>Outsourcing 1</vt:lpstr>
      <vt:lpstr>Outsourcing 2</vt:lpstr>
      <vt:lpstr>Outsourcing 3</vt:lpstr>
      <vt:lpstr>Sheet1</vt:lpstr>
    </vt:vector>
  </TitlesOfParts>
  <Manager/>
  <Company>Macquarie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 Amir Armanious</dc:creator>
  <cp:keywords/>
  <dc:description/>
  <cp:lastModifiedBy>Darlene Suryaputra</cp:lastModifiedBy>
  <cp:revision/>
  <dcterms:created xsi:type="dcterms:W3CDTF">2016-06-24T07:40:22Z</dcterms:created>
  <dcterms:modified xsi:type="dcterms:W3CDTF">2024-05-07T12:50:40Z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0x010100F339DF1C0481CA42952A893477620929</vt:lpwstr>
  </property>
</Properties>
</file>