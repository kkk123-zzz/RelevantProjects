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C:\Users\Viet\Downloads\"/>
    </mc:Choice>
  </mc:AlternateContent>
  <xr:revisionPtr revIDLastSave="31" documentId="13_ncr:1_{E85223DE-FF25-4D9D-BB4A-FFF622F43C5B}" xr6:coauthVersionLast="47" xr6:coauthVersionMax="47" xr10:uidLastSave="{F4B0022B-CDA7-4AEA-88DF-C70B14D0F54C}"/>
  <bookViews>
    <workbookView xWindow="19095" yWindow="0" windowWidth="19410" windowHeight="20985" firstSheet="7" activeTab="6" xr2:uid="{C3862A9C-182C-4C28-BC1B-1322D3838B9D}"/>
  </bookViews>
  <sheets>
    <sheet name="Price History" sheetId="1" r:id="rId1"/>
    <sheet name="ClosePrice vs Volume" sheetId="2" r:id="rId2"/>
    <sheet name="Stock Chart" sheetId="3" r:id="rId3"/>
    <sheet name="Capital vs SharePrice" sheetId="4" r:id="rId4"/>
    <sheet name="Dividend -Yield" sheetId="5" r:id="rId5"/>
    <sheet name="PE" sheetId="6" r:id="rId6"/>
    <sheet name="Yearly Portfolio" sheetId="9" r:id="rId7"/>
    <sheet name="1xTrade" sheetId="7" r:id="rId8"/>
    <sheet name="Maximum-Trade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9" l="1"/>
  <c r="J3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7" i="9"/>
  <c r="F3" i="9"/>
  <c r="F4" i="9"/>
  <c r="F5" i="9"/>
  <c r="F6" i="9"/>
  <c r="F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" i="9"/>
  <c r="J4" i="7"/>
  <c r="M83" i="1"/>
  <c r="H6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62" i="1"/>
  <c r="D30" i="8"/>
  <c r="E228" i="8"/>
  <c r="D228" i="8"/>
  <c r="D200" i="8"/>
  <c r="E200" i="8"/>
  <c r="D166" i="8"/>
  <c r="D126" i="8"/>
  <c r="D80" i="8"/>
  <c r="E166" i="8"/>
  <c r="E126" i="8"/>
  <c r="E80" i="8"/>
  <c r="J1" i="7"/>
  <c r="J7" i="7" s="1"/>
  <c r="M2" i="1"/>
  <c r="M225" i="1"/>
  <c r="M224" i="1"/>
  <c r="M4" i="1"/>
  <c r="M5" i="1"/>
  <c r="M3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G2" i="9" l="1"/>
  <c r="E2" i="9"/>
  <c r="J2" i="9" s="1"/>
  <c r="G254" i="9"/>
  <c r="E254" i="9"/>
  <c r="E253" i="9"/>
  <c r="G253" i="9"/>
  <c r="E252" i="9"/>
  <c r="G252" i="9"/>
  <c r="E251" i="9"/>
  <c r="G251" i="9"/>
  <c r="G250" i="9"/>
  <c r="E250" i="9"/>
  <c r="G249" i="9"/>
  <c r="E249" i="9"/>
  <c r="G248" i="9"/>
  <c r="E248" i="9"/>
  <c r="E247" i="9"/>
  <c r="G247" i="9"/>
  <c r="E246" i="9"/>
  <c r="G246" i="9"/>
  <c r="E245" i="9"/>
  <c r="G245" i="9"/>
  <c r="E244" i="9"/>
  <c r="G244" i="9"/>
  <c r="E243" i="9"/>
  <c r="G243" i="9"/>
  <c r="E242" i="9"/>
  <c r="G242" i="9"/>
  <c r="E241" i="9"/>
  <c r="G241" i="9"/>
  <c r="E240" i="9"/>
  <c r="G240" i="9"/>
  <c r="E239" i="9"/>
  <c r="G239" i="9"/>
  <c r="E238" i="9"/>
  <c r="G238" i="9"/>
  <c r="E237" i="9"/>
  <c r="G237" i="9"/>
  <c r="G236" i="9"/>
  <c r="E236" i="9"/>
  <c r="E235" i="9"/>
  <c r="G235" i="9"/>
  <c r="G234" i="9"/>
  <c r="E234" i="9"/>
  <c r="G233" i="9"/>
  <c r="E233" i="9"/>
  <c r="G232" i="9"/>
  <c r="E232" i="9"/>
  <c r="E231" i="9"/>
  <c r="G231" i="9"/>
  <c r="E230" i="9"/>
  <c r="G230" i="9"/>
  <c r="E229" i="9"/>
  <c r="G229" i="9"/>
  <c r="E228" i="9"/>
  <c r="G228" i="9"/>
  <c r="E227" i="9"/>
  <c r="G227" i="9"/>
  <c r="G226" i="9"/>
  <c r="E226" i="9"/>
  <c r="E225" i="9"/>
  <c r="G225" i="9"/>
  <c r="G224" i="9"/>
  <c r="E224" i="9"/>
  <c r="G223" i="9"/>
  <c r="E223" i="9"/>
  <c r="G222" i="9"/>
  <c r="E222" i="9"/>
  <c r="E221" i="9"/>
  <c r="G221" i="9"/>
  <c r="E220" i="9"/>
  <c r="G220" i="9"/>
  <c r="E219" i="9"/>
  <c r="G219" i="9"/>
  <c r="G218" i="9"/>
  <c r="E218" i="9"/>
  <c r="G217" i="9"/>
  <c r="E217" i="9"/>
  <c r="G216" i="9"/>
  <c r="E216" i="9"/>
  <c r="E215" i="9"/>
  <c r="G215" i="9"/>
  <c r="E214" i="9"/>
  <c r="G214" i="9"/>
  <c r="E213" i="9"/>
  <c r="G213" i="9"/>
  <c r="E212" i="9"/>
  <c r="G212" i="9"/>
  <c r="E211" i="9"/>
  <c r="G211" i="9"/>
  <c r="E210" i="9"/>
  <c r="G210" i="9"/>
  <c r="E209" i="9"/>
  <c r="G209" i="9"/>
  <c r="E208" i="9"/>
  <c r="G208" i="9"/>
  <c r="G207" i="9"/>
  <c r="E207" i="9"/>
  <c r="G206" i="9"/>
  <c r="E206" i="9"/>
  <c r="E205" i="9"/>
  <c r="G205" i="9"/>
  <c r="G204" i="9"/>
  <c r="E204" i="9"/>
  <c r="E203" i="9"/>
  <c r="G203" i="9"/>
  <c r="G202" i="9"/>
  <c r="E202" i="9"/>
  <c r="G201" i="9"/>
  <c r="E201" i="9"/>
  <c r="G200" i="9"/>
  <c r="E200" i="9"/>
  <c r="E199" i="9"/>
  <c r="G199" i="9"/>
  <c r="E198" i="9"/>
  <c r="G198" i="9"/>
  <c r="E197" i="9"/>
  <c r="G197" i="9"/>
  <c r="E196" i="9"/>
  <c r="G196" i="9"/>
  <c r="E195" i="9"/>
  <c r="G195" i="9"/>
  <c r="G194" i="9"/>
  <c r="E194" i="9"/>
  <c r="E193" i="9"/>
  <c r="G193" i="9"/>
  <c r="E192" i="9"/>
  <c r="G192" i="9"/>
  <c r="E191" i="9"/>
  <c r="G191" i="9"/>
  <c r="G190" i="9"/>
  <c r="E190" i="9"/>
  <c r="E189" i="9"/>
  <c r="G189" i="9"/>
  <c r="E188" i="9"/>
  <c r="G188" i="9"/>
  <c r="E187" i="9"/>
  <c r="G187" i="9"/>
  <c r="G186" i="9"/>
  <c r="E186" i="9"/>
  <c r="E185" i="9"/>
  <c r="G185" i="9"/>
  <c r="E184" i="9"/>
  <c r="G184" i="9"/>
  <c r="E183" i="9"/>
  <c r="G183" i="9"/>
  <c r="E182" i="9"/>
  <c r="G182" i="9"/>
  <c r="E181" i="9"/>
  <c r="G181" i="9"/>
  <c r="E180" i="9"/>
  <c r="G180" i="9"/>
  <c r="E179" i="9"/>
  <c r="G179" i="9"/>
  <c r="E178" i="9"/>
  <c r="G178" i="9"/>
  <c r="G177" i="9"/>
  <c r="E177" i="9"/>
  <c r="G176" i="9"/>
  <c r="E176" i="9"/>
  <c r="G175" i="9"/>
  <c r="E175" i="9"/>
  <c r="G174" i="9"/>
  <c r="E174" i="9"/>
  <c r="E173" i="9"/>
  <c r="G173" i="9"/>
  <c r="G172" i="9"/>
  <c r="E172" i="9"/>
  <c r="E171" i="9"/>
  <c r="G171" i="9"/>
  <c r="G170" i="9"/>
  <c r="E170" i="9"/>
  <c r="G169" i="9"/>
  <c r="E169" i="9"/>
  <c r="G168" i="9"/>
  <c r="E168" i="9"/>
  <c r="E167" i="9"/>
  <c r="G167" i="9"/>
  <c r="E166" i="9"/>
  <c r="G166" i="9"/>
  <c r="E165" i="9"/>
  <c r="G165" i="9"/>
  <c r="E164" i="9"/>
  <c r="G164" i="9"/>
  <c r="E163" i="9"/>
  <c r="G163" i="9"/>
  <c r="E162" i="9"/>
  <c r="G162" i="9"/>
  <c r="E161" i="9"/>
  <c r="G161" i="9"/>
  <c r="G160" i="9"/>
  <c r="E160" i="9"/>
  <c r="E159" i="9"/>
  <c r="G159" i="9"/>
  <c r="E158" i="9"/>
  <c r="G158" i="9"/>
  <c r="E157" i="9"/>
  <c r="G157" i="9"/>
  <c r="E156" i="9"/>
  <c r="G156" i="9"/>
  <c r="E155" i="9"/>
  <c r="G155" i="9"/>
  <c r="E154" i="9"/>
  <c r="G154" i="9"/>
  <c r="E153" i="9"/>
  <c r="G153" i="9"/>
  <c r="G152" i="9"/>
  <c r="E152" i="9"/>
  <c r="E151" i="9"/>
  <c r="G151" i="9"/>
  <c r="E150" i="9"/>
  <c r="G150" i="9"/>
  <c r="E149" i="9"/>
  <c r="G149" i="9"/>
  <c r="E148" i="9"/>
  <c r="G148" i="9"/>
  <c r="E147" i="9"/>
  <c r="G147" i="9"/>
  <c r="G146" i="9"/>
  <c r="E146" i="9"/>
  <c r="G145" i="9"/>
  <c r="E145" i="9"/>
  <c r="G144" i="9"/>
  <c r="E144" i="9"/>
  <c r="G143" i="9"/>
  <c r="E143" i="9"/>
  <c r="G142" i="9"/>
  <c r="E142" i="9"/>
  <c r="E141" i="9"/>
  <c r="G141" i="9"/>
  <c r="G140" i="9"/>
  <c r="E140" i="9"/>
  <c r="E139" i="9"/>
  <c r="G139" i="9"/>
  <c r="G138" i="9"/>
  <c r="E138" i="9"/>
  <c r="G137" i="9"/>
  <c r="E137" i="9"/>
  <c r="E136" i="9"/>
  <c r="G136" i="9"/>
  <c r="E135" i="9"/>
  <c r="G135" i="9"/>
  <c r="E134" i="9"/>
  <c r="G134" i="9"/>
  <c r="E133" i="9"/>
  <c r="G133" i="9"/>
  <c r="E132" i="9"/>
  <c r="G132" i="9"/>
  <c r="E131" i="9"/>
  <c r="G131" i="9"/>
  <c r="E130" i="9"/>
  <c r="G130" i="9"/>
  <c r="E129" i="9"/>
  <c r="G129" i="9"/>
  <c r="E128" i="9"/>
  <c r="G128" i="9"/>
  <c r="E127" i="9"/>
  <c r="G127" i="9"/>
  <c r="E126" i="9"/>
  <c r="G126" i="9"/>
  <c r="E125" i="9"/>
  <c r="G125" i="9"/>
  <c r="E124" i="9"/>
  <c r="G124" i="9"/>
  <c r="E123" i="9"/>
  <c r="G123" i="9"/>
  <c r="G122" i="9"/>
  <c r="E122" i="9"/>
  <c r="G121" i="9"/>
  <c r="E121" i="9"/>
  <c r="G120" i="9"/>
  <c r="E120" i="9"/>
  <c r="E119" i="9"/>
  <c r="G119" i="9"/>
  <c r="E118" i="9"/>
  <c r="G118" i="9"/>
  <c r="E117" i="9"/>
  <c r="G117" i="9"/>
  <c r="E116" i="9"/>
  <c r="G116" i="9"/>
  <c r="E115" i="9"/>
  <c r="G115" i="9"/>
  <c r="G114" i="9"/>
  <c r="E114" i="9"/>
  <c r="G113" i="9"/>
  <c r="E113" i="9"/>
  <c r="E112" i="9"/>
  <c r="G112" i="9"/>
  <c r="G111" i="9"/>
  <c r="E111" i="9"/>
  <c r="G110" i="9"/>
  <c r="E110" i="9"/>
  <c r="E109" i="9"/>
  <c r="G109" i="9"/>
  <c r="E108" i="9"/>
  <c r="G108" i="9"/>
  <c r="E107" i="9"/>
  <c r="G107" i="9"/>
  <c r="G106" i="9"/>
  <c r="E106" i="9"/>
  <c r="G105" i="9"/>
  <c r="E105" i="9"/>
  <c r="G104" i="9"/>
  <c r="E104" i="9"/>
  <c r="E103" i="9"/>
  <c r="G103" i="9"/>
  <c r="E102" i="9"/>
  <c r="G102" i="9"/>
  <c r="E101" i="9"/>
  <c r="G101" i="9"/>
  <c r="E100" i="9"/>
  <c r="G100" i="9"/>
  <c r="E99" i="9"/>
  <c r="G99" i="9"/>
  <c r="E98" i="9"/>
  <c r="G98" i="9"/>
  <c r="E97" i="9"/>
  <c r="G97" i="9"/>
  <c r="E96" i="9"/>
  <c r="G96" i="9"/>
  <c r="E95" i="9"/>
  <c r="G95" i="9"/>
  <c r="G94" i="9"/>
  <c r="E94" i="9"/>
  <c r="E93" i="9"/>
  <c r="G93" i="9"/>
  <c r="G92" i="9"/>
  <c r="E92" i="9"/>
  <c r="E91" i="9"/>
  <c r="G91" i="9"/>
  <c r="G90" i="9"/>
  <c r="E90" i="9"/>
  <c r="G89" i="9"/>
  <c r="E89" i="9"/>
  <c r="G88" i="9"/>
  <c r="E88" i="9"/>
  <c r="E87" i="9"/>
  <c r="G87" i="9"/>
  <c r="E86" i="9"/>
  <c r="G86" i="9"/>
  <c r="E85" i="9"/>
  <c r="G85" i="9"/>
  <c r="E84" i="9"/>
  <c r="G84" i="9"/>
  <c r="E83" i="9"/>
  <c r="G83" i="9"/>
  <c r="E82" i="9"/>
  <c r="G82" i="9"/>
  <c r="E81" i="9"/>
  <c r="G81" i="9"/>
  <c r="E80" i="9"/>
  <c r="G80" i="9"/>
  <c r="E79" i="9"/>
  <c r="G79" i="9"/>
  <c r="E78" i="9"/>
  <c r="G78" i="9"/>
  <c r="E77" i="9"/>
  <c r="G77" i="9"/>
  <c r="G76" i="9"/>
  <c r="E76" i="9"/>
  <c r="E75" i="9"/>
  <c r="G75" i="9"/>
  <c r="G74" i="9"/>
  <c r="E74" i="9"/>
  <c r="G73" i="9"/>
  <c r="E73" i="9"/>
  <c r="E72" i="9"/>
  <c r="G72" i="9"/>
  <c r="E71" i="9"/>
  <c r="G71" i="9"/>
  <c r="E70" i="9"/>
  <c r="G70" i="9"/>
  <c r="E69" i="9"/>
  <c r="G69" i="9"/>
  <c r="E68" i="9"/>
  <c r="G68" i="9"/>
  <c r="E67" i="9"/>
  <c r="G67" i="9"/>
  <c r="E66" i="9"/>
  <c r="G66" i="9"/>
  <c r="E65" i="9"/>
  <c r="G65" i="9"/>
  <c r="G64" i="9"/>
  <c r="E64" i="9"/>
  <c r="G63" i="9"/>
  <c r="E63" i="9"/>
  <c r="G62" i="9"/>
  <c r="E62" i="9"/>
  <c r="E61" i="9"/>
  <c r="G61" i="9"/>
  <c r="G60" i="9"/>
  <c r="E60" i="9"/>
  <c r="E59" i="9"/>
  <c r="G59" i="9"/>
  <c r="G58" i="9"/>
  <c r="E58" i="9"/>
  <c r="G57" i="9"/>
  <c r="E57" i="9"/>
  <c r="G56" i="9"/>
  <c r="E56" i="9"/>
  <c r="E55" i="9"/>
  <c r="G55" i="9"/>
  <c r="E54" i="9"/>
  <c r="G54" i="9"/>
  <c r="E53" i="9"/>
  <c r="G53" i="9"/>
  <c r="E52" i="9"/>
  <c r="G52" i="9"/>
  <c r="E51" i="9"/>
  <c r="G51" i="9"/>
  <c r="E50" i="9"/>
  <c r="G50" i="9"/>
  <c r="E49" i="9"/>
  <c r="G49" i="9"/>
  <c r="E48" i="9"/>
  <c r="G48" i="9"/>
  <c r="G47" i="9"/>
  <c r="E47" i="9"/>
  <c r="G46" i="9"/>
  <c r="E46" i="9"/>
  <c r="E45" i="9"/>
  <c r="G45" i="9"/>
  <c r="E44" i="9"/>
  <c r="G44" i="9"/>
  <c r="E43" i="9"/>
  <c r="G43" i="9"/>
  <c r="E42" i="9"/>
  <c r="G42" i="9"/>
  <c r="E41" i="9"/>
  <c r="G41" i="9"/>
  <c r="E40" i="9"/>
  <c r="G40" i="9"/>
  <c r="E39" i="9"/>
  <c r="G39" i="9"/>
  <c r="E38" i="9"/>
  <c r="G38" i="9"/>
  <c r="E37" i="9"/>
  <c r="G37" i="9"/>
  <c r="E36" i="9"/>
  <c r="G36" i="9"/>
  <c r="E35" i="9"/>
  <c r="G35" i="9"/>
  <c r="G34" i="9"/>
  <c r="E34" i="9"/>
  <c r="G33" i="9"/>
  <c r="E33" i="9"/>
  <c r="G32" i="9"/>
  <c r="E32" i="9"/>
  <c r="G31" i="9"/>
  <c r="E31" i="9"/>
  <c r="G30" i="9"/>
  <c r="E30" i="9"/>
  <c r="E29" i="9"/>
  <c r="G29" i="9"/>
  <c r="E28" i="9"/>
  <c r="G28" i="9"/>
  <c r="E27" i="9"/>
  <c r="G27" i="9"/>
  <c r="G26" i="9"/>
  <c r="E26" i="9"/>
  <c r="G25" i="9"/>
  <c r="E25" i="9"/>
  <c r="G24" i="9"/>
  <c r="E24" i="9"/>
  <c r="E23" i="9"/>
  <c r="G23" i="9"/>
  <c r="E22" i="9"/>
  <c r="G22" i="9"/>
  <c r="E21" i="9"/>
  <c r="G21" i="9"/>
  <c r="E20" i="9"/>
  <c r="G20" i="9"/>
  <c r="E19" i="9"/>
  <c r="G19" i="9"/>
  <c r="E18" i="9"/>
  <c r="G18" i="9"/>
  <c r="E17" i="9"/>
  <c r="G17" i="9"/>
  <c r="E16" i="9"/>
  <c r="G16" i="9"/>
  <c r="E15" i="9"/>
  <c r="G15" i="9"/>
  <c r="E14" i="9"/>
  <c r="G14" i="9"/>
  <c r="E13" i="9"/>
  <c r="G13" i="9"/>
  <c r="E12" i="9"/>
  <c r="G12" i="9"/>
  <c r="E11" i="9"/>
  <c r="G11" i="9"/>
  <c r="E10" i="9"/>
  <c r="G10" i="9"/>
  <c r="E9" i="9"/>
  <c r="G9" i="9"/>
  <c r="E8" i="9"/>
  <c r="G8" i="9"/>
  <c r="E7" i="9"/>
  <c r="G7" i="9"/>
  <c r="E6" i="9"/>
  <c r="G6" i="9"/>
  <c r="E5" i="9"/>
  <c r="G5" i="9"/>
  <c r="E4" i="9"/>
  <c r="G4" i="9"/>
  <c r="E3" i="9"/>
  <c r="G3" i="9"/>
  <c r="J8" i="7"/>
  <c r="J9" i="7" s="1"/>
</calcChain>
</file>

<file path=xl/sharedStrings.xml><?xml version="1.0" encoding="utf-8"?>
<sst xmlns="http://schemas.openxmlformats.org/spreadsheetml/2006/main" count="2854" uniqueCount="287">
  <si>
    <t>ASX Code</t>
  </si>
  <si>
    <t>Company Name</t>
  </si>
  <si>
    <t>Date</t>
  </si>
  <si>
    <t>Open</t>
  </si>
  <si>
    <t>High</t>
  </si>
  <si>
    <t>Low</t>
  </si>
  <si>
    <t>Close</t>
  </si>
  <si>
    <t>Daily Change</t>
  </si>
  <si>
    <t>Volume</t>
  </si>
  <si>
    <t>Market Capitalisation($m)</t>
  </si>
  <si>
    <t>Shares on Issue</t>
  </si>
  <si>
    <t>Dividends</t>
  </si>
  <si>
    <t>PE Ratio</t>
  </si>
  <si>
    <t>S32</t>
  </si>
  <si>
    <t>South32 Limited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</si>
  <si>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</si>
  <si>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</si>
  <si>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</si>
  <si>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</si>
  <si>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</si>
  <si>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</si>
  <si>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</si>
  <si>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</si>
  <si>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</si>
  <si>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</si>
  <si>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</si>
  <si>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</si>
  <si>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</si>
  <si>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</si>
  <si>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</si>
  <si>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</si>
  <si>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</si>
  <si>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</si>
  <si>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</si>
  <si>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</si>
  <si>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</si>
  <si>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</si>
  <si>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</si>
  <si>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</si>
  <si>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</si>
  <si>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</si>
  <si>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</si>
  <si>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</si>
  <si>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</si>
  <si>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</si>
  <si>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</si>
  <si>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</si>
  <si>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</si>
  <si>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</si>
  <si>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</si>
  <si>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</si>
  <si>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</si>
  <si>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</si>
  <si>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</si>
  <si>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</si>
  <si>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</si>
  <si>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</si>
  <si>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</si>
  <si>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</si>
  <si>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</si>
  <si>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</si>
  <si>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</si>
  <si>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</si>
  <si>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</si>
  <si>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</si>
  <si>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</si>
  <si>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</si>
  <si>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</si>
  <si>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</si>
  <si>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</si>
  <si>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</si>
  <si>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</si>
  <si>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</si>
  <si>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</si>
  <si>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</si>
  <si>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</si>
  <si>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</si>
  <si>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</si>
  <si>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</si>
  <si>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</si>
  <si>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</si>
  <si>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</si>
  <si>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</si>
  <si>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</si>
  <si>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</si>
  <si>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</si>
  <si>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</si>
  <si>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</si>
  <si>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</si>
  <si>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</si>
  <si>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</si>
  <si>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</si>
  <si>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</si>
  <si>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</si>
  <si>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</si>
  <si>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</si>
  <si>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</si>
  <si>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</si>
  <si>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</si>
  <si>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</si>
  <si>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</si>
  <si>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</si>
  <si>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</si>
  <si>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</si>
  <si>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</si>
  <si>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</si>
  <si>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</si>
  <si>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</si>
  <si>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</si>
  <si>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</si>
  <si>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</si>
  <si>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</si>
  <si>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</si>
  <si>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</si>
  <si>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</si>
  <si>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</si>
  <si>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</si>
  <si>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</si>
  <si>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</si>
  <si>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</si>
  <si>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</si>
  <si>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</si>
  <si>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</si>
  <si>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</si>
  <si>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</si>
  <si>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</si>
  <si>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</si>
  <si>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</si>
  <si>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</si>
  <si>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</si>
  <si>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</si>
  <si>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</si>
  <si>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</si>
  <si>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</si>
  <si>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</si>
  <si>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</si>
  <si>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</si>
  <si>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</si>
  <si>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</si>
  <si>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</si>
  <si>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</si>
  <si>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24/12/2024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</si>
  <si>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</si>
  <si>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</si>
  <si>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</si>
  <si>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</si>
  <si>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</si>
  <si>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</si>
  <si>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</si>
  <si>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</si>
  <si>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</si>
  <si>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</si>
  <si>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</si>
  <si>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</si>
  <si>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</si>
  <si>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</si>
  <si>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</si>
  <si>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</si>
  <si>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</si>
  <si>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</si>
  <si>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</si>
  <si>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</si>
  <si>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</si>
  <si>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</si>
  <si>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</si>
  <si>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</si>
  <si>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</si>
  <si>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</si>
  <si>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</si>
  <si>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</si>
  <si>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</si>
  <si>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</si>
  <si>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</si>
  <si>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</si>
  <si>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</si>
  <si>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</si>
  <si>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</si>
  <si>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</si>
  <si>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</si>
  <si>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</si>
  <si>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</si>
  <si>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</si>
  <si>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</si>
  <si>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</si>
  <si>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</si>
  <si>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</si>
  <si>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</si>
  <si>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</si>
  <si>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</si>
  <si>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</si>
  <si>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</si>
  <si>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</si>
  <si>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</si>
  <si>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</si>
  <si>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</si>
  <si>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</si>
  <si>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</si>
  <si>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</si>
  <si>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</si>
  <si>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</si>
  <si>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</si>
  <si>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</si>
  <si>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</si>
  <si>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</si>
  <si>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</si>
  <si>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</si>
  <si>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</si>
  <si>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</si>
  <si>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</si>
  <si>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</si>
  <si>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</si>
  <si>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</si>
  <si>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</si>
  <si>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</si>
  <si>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</si>
  <si>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</si>
  <si>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</si>
  <si>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</si>
  <si>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</si>
  <si>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</si>
  <si>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</si>
  <si>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</si>
  <si>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</si>
  <si>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28/04/2025</t>
  </si>
  <si>
    <t>29/04/2025</t>
  </si>
  <si>
    <t>30/04/2025</t>
  </si>
  <si>
    <t>01/05/2025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</si>
  <si>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</si>
  <si>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</si>
  <si>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</si>
  <si>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</si>
  <si>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</si>
  <si>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</si>
  <si>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</si>
  <si>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</si>
  <si>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</si>
  <si>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</si>
  <si>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</si>
  <si>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</si>
  <si>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</si>
  <si>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</si>
  <si>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</si>
  <si>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</si>
  <si>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</si>
  <si>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</si>
  <si>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</si>
  <si>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</si>
  <si>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</si>
  <si>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</si>
  <si>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</si>
  <si>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</si>
  <si>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</si>
  <si>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</si>
  <si>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</si>
  <si>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</si>
  <si>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</si>
  <si>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</si>
  <si>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</si>
  <si>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</si>
  <si>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</si>
  <si>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</si>
  <si>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</si>
  <si>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</si>
  <si>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</si>
  <si>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</si>
  <si>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</si>
  <si>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</si>
  <si>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</si>
  <si>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 xml:space="preserve"> </t>
  </si>
  <si>
    <t>Dividends Yield</t>
  </si>
  <si>
    <t>Shares Bought</t>
  </si>
  <si>
    <t>Market Value</t>
  </si>
  <si>
    <t>Portfolio</t>
  </si>
  <si>
    <t>Dividend Income</t>
  </si>
  <si>
    <t>$1000 can buy 269 shares</t>
  </si>
  <si>
    <t>Cash balance</t>
  </si>
  <si>
    <t>Total Dividend Income</t>
  </si>
  <si>
    <t xml:space="preserve">Final Portfolio Value </t>
  </si>
  <si>
    <t>Lowest Price</t>
  </si>
  <si>
    <t>Highest Price</t>
  </si>
  <si>
    <t>Sell Value</t>
  </si>
  <si>
    <t>Profit</t>
  </si>
  <si>
    <t>Buy/Sell Signal</t>
  </si>
  <si>
    <t>Shares Bought/Sold</t>
  </si>
  <si>
    <t>Portfolio Value</t>
  </si>
  <si>
    <t>BUY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</si>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</sst>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#,##0.00##"/>
    <numFmt numFmtId="166" formatCode="&quot;$&quot;#,##0.00"/>
    <numFmt numFmtId="167" formatCode="[$-F800]dddd\,\ mmmm\ dd\,\ yyyy"/>
    <numFmt numFmtId="168" formatCode="&quot;$&quot;#,##0.000"/>
  </numFmts>
  <fonts count="25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sz val="10"/>
      <name val="Arial"/>
    </font>
    <font>
      <b/>
      <sz val="11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right"/>
    </xf>
    <xf numFmtId="0" fontId="18" fillId="33" borderId="0" xfId="0" applyFont="1" applyFill="1" applyAlignment="1">
      <alignment horizontal="center"/>
    </xf>
    <xf numFmtId="165" fontId="0" fillId="0" borderId="0" xfId="0" applyNumberFormat="1"/>
    <xf numFmtId="166" fontId="18" fillId="33" borderId="0" xfId="42" applyNumberFormat="1" applyFont="1" applyFill="1" applyAlignment="1">
      <alignment horizontal="center"/>
    </xf>
    <xf numFmtId="166" fontId="0" fillId="0" borderId="0" xfId="42" applyNumberFormat="1" applyFont="1"/>
    <xf numFmtId="166" fontId="0" fillId="0" borderId="0" xfId="42" applyNumberFormat="1" applyFont="1" applyAlignment="1">
      <alignment horizontal="right"/>
    </xf>
    <xf numFmtId="166" fontId="18" fillId="33" borderId="0" xfId="0" applyNumberFormat="1" applyFont="1" applyFill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2" fontId="0" fillId="0" borderId="0" xfId="0" applyNumberFormat="1"/>
    <xf numFmtId="167" fontId="18" fillId="33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  <xf numFmtId="168" fontId="20" fillId="34" borderId="0" xfId="0" applyNumberFormat="1" applyFont="1" applyFill="1"/>
    <xf numFmtId="168" fontId="0" fillId="0" borderId="0" xfId="0" applyNumberFormat="1"/>
    <xf numFmtId="2" fontId="21" fillId="34" borderId="0" xfId="0" applyNumberFormat="1" applyFont="1" applyFill="1"/>
    <xf numFmtId="165" fontId="0" fillId="0" borderId="0" xfId="0" applyNumberFormat="1" applyAlignment="1">
      <alignment horizontal="right"/>
    </xf>
    <xf numFmtId="0" fontId="22" fillId="0" borderId="0" xfId="0" applyFont="1"/>
    <xf numFmtId="2" fontId="0" fillId="0" borderId="0" xfId="43" applyNumberFormat="1" applyFont="1"/>
    <xf numFmtId="10" fontId="0" fillId="0" borderId="0" xfId="0" applyNumberFormat="1"/>
    <xf numFmtId="10" fontId="22" fillId="0" borderId="0" xfId="0" applyNumberFormat="1" applyFont="1"/>
    <xf numFmtId="0" fontId="23" fillId="0" borderId="0" xfId="0" applyFont="1"/>
    <xf numFmtId="0" fontId="22" fillId="34" borderId="0" xfId="0" applyFont="1" applyFill="1"/>
    <xf numFmtId="166" fontId="22" fillId="34" borderId="0" xfId="0" applyNumberFormat="1" applyFont="1" applyFill="1"/>
    <xf numFmtId="2" fontId="18" fillId="3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right"/>
    </xf>
    <xf numFmtId="167" fontId="23" fillId="0" borderId="0" xfId="0" applyNumberFormat="1" applyFont="1" applyAlignment="1">
      <alignment horizontal="center"/>
    </xf>
    <xf numFmtId="168" fontId="22" fillId="34" borderId="0" xfId="0" applyNumberFormat="1" applyFont="1" applyFill="1"/>
    <xf numFmtId="0" fontId="22" fillId="35" borderId="0" xfId="0" applyFont="1" applyFill="1"/>
    <xf numFmtId="0" fontId="22" fillId="36" borderId="0" xfId="0" applyFont="1" applyFill="1"/>
    <xf numFmtId="0" fontId="24" fillId="35" borderId="0" xfId="0" applyFont="1" applyFill="1"/>
    <xf numFmtId="0" fontId="23" fillId="35" borderId="0" xfId="0" applyFont="1" applyFill="1"/>
    <xf numFmtId="166" fontId="22" fillId="36" borderId="0" xfId="0" applyNumberFormat="1" applyFont="1" applyFill="1"/>
    <xf numFmtId="10" fontId="18" fillId="33" borderId="0" xfId="0" applyNumberFormat="1" applyFont="1" applyFill="1" applyAlignment="1">
      <alignment horizontal="center"/>
    </xf>
    <xf numFmtId="10" fontId="0" fillId="0" borderId="0" xfId="0" applyNumberFormat="1" applyAlignment="1">
      <alignment horizontal="righ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Stock Close Price vs Trading Volume (2024/2025)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'ClosePrice vs Volume'!$C$1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'ClosePrice vs Volume'!$A$2:$A$254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'ClosePrice vs Volume'!$C$2:$C$254</c:f>
              <c:numCache>
                <c:formatCode>#,##0.00##</c:formatCode>
                <c:ptCount val="253"/>
                <c:pt idx="0">
                  <c:v>9106807</c:v>
                </c:pt>
                <c:pt idx="1">
                  <c:v>12394093</c:v>
                </c:pt>
                <c:pt idx="2">
                  <c:v>13794144</c:v>
                </c:pt>
                <c:pt idx="3">
                  <c:v>20956236</c:v>
                </c:pt>
                <c:pt idx="4">
                  <c:v>9689371</c:v>
                </c:pt>
                <c:pt idx="5">
                  <c:v>12881063</c:v>
                </c:pt>
                <c:pt idx="6">
                  <c:v>13428251</c:v>
                </c:pt>
                <c:pt idx="7">
                  <c:v>10158463</c:v>
                </c:pt>
                <c:pt idx="8">
                  <c:v>26396401</c:v>
                </c:pt>
                <c:pt idx="9">
                  <c:v>13100483</c:v>
                </c:pt>
                <c:pt idx="10">
                  <c:v>12435172</c:v>
                </c:pt>
                <c:pt idx="11">
                  <c:v>12406333</c:v>
                </c:pt>
                <c:pt idx="12">
                  <c:v>11173908</c:v>
                </c:pt>
                <c:pt idx="13">
                  <c:v>10817106</c:v>
                </c:pt>
                <c:pt idx="14">
                  <c:v>16152362</c:v>
                </c:pt>
                <c:pt idx="15">
                  <c:v>54812357</c:v>
                </c:pt>
                <c:pt idx="16">
                  <c:v>23134988</c:v>
                </c:pt>
                <c:pt idx="17">
                  <c:v>18835336</c:v>
                </c:pt>
                <c:pt idx="18">
                  <c:v>20154737</c:v>
                </c:pt>
                <c:pt idx="19">
                  <c:v>16115189</c:v>
                </c:pt>
                <c:pt idx="20">
                  <c:v>14373894</c:v>
                </c:pt>
                <c:pt idx="21">
                  <c:v>14273745</c:v>
                </c:pt>
                <c:pt idx="22">
                  <c:v>21660548</c:v>
                </c:pt>
                <c:pt idx="23">
                  <c:v>18882555</c:v>
                </c:pt>
                <c:pt idx="24">
                  <c:v>19896907</c:v>
                </c:pt>
                <c:pt idx="25">
                  <c:v>20345335</c:v>
                </c:pt>
                <c:pt idx="26">
                  <c:v>17012868</c:v>
                </c:pt>
                <c:pt idx="27">
                  <c:v>23768976</c:v>
                </c:pt>
                <c:pt idx="28">
                  <c:v>13810471</c:v>
                </c:pt>
                <c:pt idx="29">
                  <c:v>23253359</c:v>
                </c:pt>
                <c:pt idx="30">
                  <c:v>8648846</c:v>
                </c:pt>
                <c:pt idx="31">
                  <c:v>10662640</c:v>
                </c:pt>
                <c:pt idx="32">
                  <c:v>14400303</c:v>
                </c:pt>
                <c:pt idx="33">
                  <c:v>13069010</c:v>
                </c:pt>
                <c:pt idx="34">
                  <c:v>20523485</c:v>
                </c:pt>
                <c:pt idx="35">
                  <c:v>9279929</c:v>
                </c:pt>
                <c:pt idx="36">
                  <c:v>15788370</c:v>
                </c:pt>
                <c:pt idx="37">
                  <c:v>15016450</c:v>
                </c:pt>
                <c:pt idx="38">
                  <c:v>8807000</c:v>
                </c:pt>
                <c:pt idx="39">
                  <c:v>35694427</c:v>
                </c:pt>
                <c:pt idx="40">
                  <c:v>11068964</c:v>
                </c:pt>
                <c:pt idx="41">
                  <c:v>6127008</c:v>
                </c:pt>
                <c:pt idx="42">
                  <c:v>8290015</c:v>
                </c:pt>
                <c:pt idx="43">
                  <c:v>14884764</c:v>
                </c:pt>
                <c:pt idx="44">
                  <c:v>27310472</c:v>
                </c:pt>
                <c:pt idx="45">
                  <c:v>11343885</c:v>
                </c:pt>
                <c:pt idx="46">
                  <c:v>15429700</c:v>
                </c:pt>
                <c:pt idx="47">
                  <c:v>19186593</c:v>
                </c:pt>
                <c:pt idx="48">
                  <c:v>15023048</c:v>
                </c:pt>
                <c:pt idx="49">
                  <c:v>17896336</c:v>
                </c:pt>
                <c:pt idx="50">
                  <c:v>14175175</c:v>
                </c:pt>
                <c:pt idx="51">
                  <c:v>15928234</c:v>
                </c:pt>
                <c:pt idx="52">
                  <c:v>18691723</c:v>
                </c:pt>
                <c:pt idx="53">
                  <c:v>21797512</c:v>
                </c:pt>
                <c:pt idx="54">
                  <c:v>18380139</c:v>
                </c:pt>
                <c:pt idx="55">
                  <c:v>13693766</c:v>
                </c:pt>
                <c:pt idx="56">
                  <c:v>14476326</c:v>
                </c:pt>
                <c:pt idx="57">
                  <c:v>11530975</c:v>
                </c:pt>
                <c:pt idx="58">
                  <c:v>15823474</c:v>
                </c:pt>
                <c:pt idx="59">
                  <c:v>23310385</c:v>
                </c:pt>
                <c:pt idx="60">
                  <c:v>9780018</c:v>
                </c:pt>
                <c:pt idx="61">
                  <c:v>17248126</c:v>
                </c:pt>
                <c:pt idx="62">
                  <c:v>22390742</c:v>
                </c:pt>
                <c:pt idx="63">
                  <c:v>19880943</c:v>
                </c:pt>
                <c:pt idx="64">
                  <c:v>27845325</c:v>
                </c:pt>
                <c:pt idx="65">
                  <c:v>24777393</c:v>
                </c:pt>
                <c:pt idx="66">
                  <c:v>15941549</c:v>
                </c:pt>
                <c:pt idx="67">
                  <c:v>12086688</c:v>
                </c:pt>
                <c:pt idx="68">
                  <c:v>11816762</c:v>
                </c:pt>
                <c:pt idx="69">
                  <c:v>12653259</c:v>
                </c:pt>
                <c:pt idx="70">
                  <c:v>7659865</c:v>
                </c:pt>
                <c:pt idx="71">
                  <c:v>21852477</c:v>
                </c:pt>
                <c:pt idx="72">
                  <c:v>15112302</c:v>
                </c:pt>
                <c:pt idx="73">
                  <c:v>11678922</c:v>
                </c:pt>
                <c:pt idx="74">
                  <c:v>8008597</c:v>
                </c:pt>
                <c:pt idx="75">
                  <c:v>17833265</c:v>
                </c:pt>
                <c:pt idx="76">
                  <c:v>22222009</c:v>
                </c:pt>
                <c:pt idx="77">
                  <c:v>19870978</c:v>
                </c:pt>
                <c:pt idx="78">
                  <c:v>22446900</c:v>
                </c:pt>
                <c:pt idx="79">
                  <c:v>16193067</c:v>
                </c:pt>
                <c:pt idx="80">
                  <c:v>17438041</c:v>
                </c:pt>
                <c:pt idx="81">
                  <c:v>14369754</c:v>
                </c:pt>
                <c:pt idx="82">
                  <c:v>8203001</c:v>
                </c:pt>
                <c:pt idx="83">
                  <c:v>25670378</c:v>
                </c:pt>
                <c:pt idx="84">
                  <c:v>7370135</c:v>
                </c:pt>
                <c:pt idx="85">
                  <c:v>9312484</c:v>
                </c:pt>
                <c:pt idx="86">
                  <c:v>15617684</c:v>
                </c:pt>
                <c:pt idx="87">
                  <c:v>18969067</c:v>
                </c:pt>
                <c:pt idx="88">
                  <c:v>21765111</c:v>
                </c:pt>
                <c:pt idx="89">
                  <c:v>10174277</c:v>
                </c:pt>
                <c:pt idx="90">
                  <c:v>7434666</c:v>
                </c:pt>
                <c:pt idx="91">
                  <c:v>8992653</c:v>
                </c:pt>
                <c:pt idx="92">
                  <c:v>8805425</c:v>
                </c:pt>
                <c:pt idx="93">
                  <c:v>19216538</c:v>
                </c:pt>
                <c:pt idx="94">
                  <c:v>16653512</c:v>
                </c:pt>
                <c:pt idx="95">
                  <c:v>8933764</c:v>
                </c:pt>
                <c:pt idx="96">
                  <c:v>15232242</c:v>
                </c:pt>
                <c:pt idx="97">
                  <c:v>12657462</c:v>
                </c:pt>
                <c:pt idx="98">
                  <c:v>11885766</c:v>
                </c:pt>
                <c:pt idx="99">
                  <c:v>13539572</c:v>
                </c:pt>
                <c:pt idx="100">
                  <c:v>19069477</c:v>
                </c:pt>
                <c:pt idx="101">
                  <c:v>15335167</c:v>
                </c:pt>
                <c:pt idx="102">
                  <c:v>9212631</c:v>
                </c:pt>
                <c:pt idx="103">
                  <c:v>5670061</c:v>
                </c:pt>
                <c:pt idx="104">
                  <c:v>16409301</c:v>
                </c:pt>
                <c:pt idx="105">
                  <c:v>21656658</c:v>
                </c:pt>
                <c:pt idx="106">
                  <c:v>14817697</c:v>
                </c:pt>
                <c:pt idx="107">
                  <c:v>8918967</c:v>
                </c:pt>
                <c:pt idx="108">
                  <c:v>9530381</c:v>
                </c:pt>
                <c:pt idx="109">
                  <c:v>9776782</c:v>
                </c:pt>
                <c:pt idx="110">
                  <c:v>11756164</c:v>
                </c:pt>
                <c:pt idx="111">
                  <c:v>11874302</c:v>
                </c:pt>
                <c:pt idx="112">
                  <c:v>11015093</c:v>
                </c:pt>
                <c:pt idx="113">
                  <c:v>18213893</c:v>
                </c:pt>
                <c:pt idx="114">
                  <c:v>11559696</c:v>
                </c:pt>
                <c:pt idx="115">
                  <c:v>9267145</c:v>
                </c:pt>
                <c:pt idx="116">
                  <c:v>20329702</c:v>
                </c:pt>
                <c:pt idx="117">
                  <c:v>18801335</c:v>
                </c:pt>
                <c:pt idx="118">
                  <c:v>18727881</c:v>
                </c:pt>
                <c:pt idx="119">
                  <c:v>16059188</c:v>
                </c:pt>
                <c:pt idx="120">
                  <c:v>14294709</c:v>
                </c:pt>
                <c:pt idx="121">
                  <c:v>9236298</c:v>
                </c:pt>
                <c:pt idx="122">
                  <c:v>10017449</c:v>
                </c:pt>
                <c:pt idx="123">
                  <c:v>10930697</c:v>
                </c:pt>
                <c:pt idx="124">
                  <c:v>19155741</c:v>
                </c:pt>
                <c:pt idx="125">
                  <c:v>8755188</c:v>
                </c:pt>
                <c:pt idx="126">
                  <c:v>2536365</c:v>
                </c:pt>
                <c:pt idx="127">
                  <c:v>5446015</c:v>
                </c:pt>
                <c:pt idx="128">
                  <c:v>5831404</c:v>
                </c:pt>
                <c:pt idx="129">
                  <c:v>5074019</c:v>
                </c:pt>
                <c:pt idx="130">
                  <c:v>7244080</c:v>
                </c:pt>
                <c:pt idx="131">
                  <c:v>5814788</c:v>
                </c:pt>
                <c:pt idx="132">
                  <c:v>9706223</c:v>
                </c:pt>
                <c:pt idx="133">
                  <c:v>7193757</c:v>
                </c:pt>
                <c:pt idx="134">
                  <c:v>9258282</c:v>
                </c:pt>
                <c:pt idx="135">
                  <c:v>6468485</c:v>
                </c:pt>
                <c:pt idx="136">
                  <c:v>7527935</c:v>
                </c:pt>
                <c:pt idx="137">
                  <c:v>9978893</c:v>
                </c:pt>
                <c:pt idx="138">
                  <c:v>13344994</c:v>
                </c:pt>
                <c:pt idx="139">
                  <c:v>8447917</c:v>
                </c:pt>
                <c:pt idx="140">
                  <c:v>12309818</c:v>
                </c:pt>
                <c:pt idx="141">
                  <c:v>9864598</c:v>
                </c:pt>
                <c:pt idx="142">
                  <c:v>9755462</c:v>
                </c:pt>
                <c:pt idx="143">
                  <c:v>11967577</c:v>
                </c:pt>
                <c:pt idx="144">
                  <c:v>11161671</c:v>
                </c:pt>
                <c:pt idx="145">
                  <c:v>11839465</c:v>
                </c:pt>
                <c:pt idx="146">
                  <c:v>13899912</c:v>
                </c:pt>
                <c:pt idx="147">
                  <c:v>20124646</c:v>
                </c:pt>
                <c:pt idx="148">
                  <c:v>21131826</c:v>
                </c:pt>
                <c:pt idx="149">
                  <c:v>18129204</c:v>
                </c:pt>
                <c:pt idx="150">
                  <c:v>12898472</c:v>
                </c:pt>
                <c:pt idx="151">
                  <c:v>14484501</c:v>
                </c:pt>
                <c:pt idx="152">
                  <c:v>11500191</c:v>
                </c:pt>
                <c:pt idx="153">
                  <c:v>16395461</c:v>
                </c:pt>
                <c:pt idx="154">
                  <c:v>9923403</c:v>
                </c:pt>
                <c:pt idx="155">
                  <c:v>10527075</c:v>
                </c:pt>
                <c:pt idx="156">
                  <c:v>12788311</c:v>
                </c:pt>
                <c:pt idx="157">
                  <c:v>33825484</c:v>
                </c:pt>
                <c:pt idx="158">
                  <c:v>11055250</c:v>
                </c:pt>
                <c:pt idx="159">
                  <c:v>18191090</c:v>
                </c:pt>
                <c:pt idx="160">
                  <c:v>18126481</c:v>
                </c:pt>
                <c:pt idx="161">
                  <c:v>19081373</c:v>
                </c:pt>
                <c:pt idx="162">
                  <c:v>9230697</c:v>
                </c:pt>
                <c:pt idx="163">
                  <c:v>12160795</c:v>
                </c:pt>
                <c:pt idx="164">
                  <c:v>19688965</c:v>
                </c:pt>
                <c:pt idx="165">
                  <c:v>15321683</c:v>
                </c:pt>
                <c:pt idx="166">
                  <c:v>14359888</c:v>
                </c:pt>
                <c:pt idx="167">
                  <c:v>11475830</c:v>
                </c:pt>
                <c:pt idx="168">
                  <c:v>11638892</c:v>
                </c:pt>
                <c:pt idx="169">
                  <c:v>19503590</c:v>
                </c:pt>
                <c:pt idx="170">
                  <c:v>36980677</c:v>
                </c:pt>
                <c:pt idx="171">
                  <c:v>13507674</c:v>
                </c:pt>
                <c:pt idx="172">
                  <c:v>16175787</c:v>
                </c:pt>
                <c:pt idx="173">
                  <c:v>16983946</c:v>
                </c:pt>
                <c:pt idx="174">
                  <c:v>22995626</c:v>
                </c:pt>
                <c:pt idx="175">
                  <c:v>12230875</c:v>
                </c:pt>
                <c:pt idx="176">
                  <c:v>10692645</c:v>
                </c:pt>
                <c:pt idx="177">
                  <c:v>15971582</c:v>
                </c:pt>
                <c:pt idx="178">
                  <c:v>19477598</c:v>
                </c:pt>
                <c:pt idx="179">
                  <c:v>13534139</c:v>
                </c:pt>
                <c:pt idx="180">
                  <c:v>13694812</c:v>
                </c:pt>
                <c:pt idx="181">
                  <c:v>13261618</c:v>
                </c:pt>
                <c:pt idx="182">
                  <c:v>14388440</c:v>
                </c:pt>
                <c:pt idx="183">
                  <c:v>14997940</c:v>
                </c:pt>
                <c:pt idx="184">
                  <c:v>20786709</c:v>
                </c:pt>
                <c:pt idx="185">
                  <c:v>33529200</c:v>
                </c:pt>
                <c:pt idx="186">
                  <c:v>15115360</c:v>
                </c:pt>
                <c:pt idx="187">
                  <c:v>10970809</c:v>
                </c:pt>
                <c:pt idx="188">
                  <c:v>12634356</c:v>
                </c:pt>
                <c:pt idx="189">
                  <c:v>15381960</c:v>
                </c:pt>
                <c:pt idx="190">
                  <c:v>18889063</c:v>
                </c:pt>
                <c:pt idx="191">
                  <c:v>26542282</c:v>
                </c:pt>
                <c:pt idx="192">
                  <c:v>18427391</c:v>
                </c:pt>
                <c:pt idx="193">
                  <c:v>17869751</c:v>
                </c:pt>
                <c:pt idx="194">
                  <c:v>24714515</c:v>
                </c:pt>
                <c:pt idx="195">
                  <c:v>31014585</c:v>
                </c:pt>
                <c:pt idx="196">
                  <c:v>34589129</c:v>
                </c:pt>
                <c:pt idx="197">
                  <c:v>31824160</c:v>
                </c:pt>
                <c:pt idx="198">
                  <c:v>31916718</c:v>
                </c:pt>
                <c:pt idx="199">
                  <c:v>31986385</c:v>
                </c:pt>
                <c:pt idx="200">
                  <c:v>25673127</c:v>
                </c:pt>
                <c:pt idx="201">
                  <c:v>14433571</c:v>
                </c:pt>
                <c:pt idx="202">
                  <c:v>13860687</c:v>
                </c:pt>
                <c:pt idx="203">
                  <c:v>14401088</c:v>
                </c:pt>
                <c:pt idx="204">
                  <c:v>18798336</c:v>
                </c:pt>
                <c:pt idx="205">
                  <c:v>26367398</c:v>
                </c:pt>
                <c:pt idx="206">
                  <c:v>41030881</c:v>
                </c:pt>
                <c:pt idx="207">
                  <c:v>26901835</c:v>
                </c:pt>
                <c:pt idx="208">
                  <c:v>24848748</c:v>
                </c:pt>
                <c:pt idx="209">
                  <c:v>20819830</c:v>
                </c:pt>
                <c:pt idx="210">
                  <c:v>24306396</c:v>
                </c:pt>
                <c:pt idx="211">
                  <c:v>18455202</c:v>
                </c:pt>
                <c:pt idx="212">
                  <c:v>22496587</c:v>
                </c:pt>
                <c:pt idx="213">
                  <c:v>14942316</c:v>
                </c:pt>
                <c:pt idx="214">
                  <c:v>12190978</c:v>
                </c:pt>
                <c:pt idx="215">
                  <c:v>19324690</c:v>
                </c:pt>
                <c:pt idx="216">
                  <c:v>18959762</c:v>
                </c:pt>
                <c:pt idx="217">
                  <c:v>14545805</c:v>
                </c:pt>
                <c:pt idx="218">
                  <c:v>17068184</c:v>
                </c:pt>
                <c:pt idx="219">
                  <c:v>24722308</c:v>
                </c:pt>
                <c:pt idx="220">
                  <c:v>23298076</c:v>
                </c:pt>
                <c:pt idx="221">
                  <c:v>15686418</c:v>
                </c:pt>
                <c:pt idx="222">
                  <c:v>18821734</c:v>
                </c:pt>
                <c:pt idx="223">
                  <c:v>15059447</c:v>
                </c:pt>
                <c:pt idx="224">
                  <c:v>27135468</c:v>
                </c:pt>
                <c:pt idx="225">
                  <c:v>24714335</c:v>
                </c:pt>
                <c:pt idx="226">
                  <c:v>15803555</c:v>
                </c:pt>
                <c:pt idx="227">
                  <c:v>11877854</c:v>
                </c:pt>
                <c:pt idx="228">
                  <c:v>9879576</c:v>
                </c:pt>
                <c:pt idx="229">
                  <c:v>16719868</c:v>
                </c:pt>
                <c:pt idx="230">
                  <c:v>10117800</c:v>
                </c:pt>
                <c:pt idx="231">
                  <c:v>22897184</c:v>
                </c:pt>
                <c:pt idx="232">
                  <c:v>42713779</c:v>
                </c:pt>
                <c:pt idx="233">
                  <c:v>14944262</c:v>
                </c:pt>
                <c:pt idx="234">
                  <c:v>24625256</c:v>
                </c:pt>
                <c:pt idx="235">
                  <c:v>18210151</c:v>
                </c:pt>
                <c:pt idx="236">
                  <c:v>18891005</c:v>
                </c:pt>
                <c:pt idx="237">
                  <c:v>20009112</c:v>
                </c:pt>
                <c:pt idx="238">
                  <c:v>16051979</c:v>
                </c:pt>
                <c:pt idx="239">
                  <c:v>15607002</c:v>
                </c:pt>
                <c:pt idx="240">
                  <c:v>16823690</c:v>
                </c:pt>
                <c:pt idx="241">
                  <c:v>12378428</c:v>
                </c:pt>
                <c:pt idx="242">
                  <c:v>17660981</c:v>
                </c:pt>
                <c:pt idx="243">
                  <c:v>14170059</c:v>
                </c:pt>
                <c:pt idx="244">
                  <c:v>12910516</c:v>
                </c:pt>
                <c:pt idx="245">
                  <c:v>12337762</c:v>
                </c:pt>
                <c:pt idx="246">
                  <c:v>26354856</c:v>
                </c:pt>
                <c:pt idx="247">
                  <c:v>9761579</c:v>
                </c:pt>
                <c:pt idx="248">
                  <c:v>11070533</c:v>
                </c:pt>
                <c:pt idx="249">
                  <c:v>18246117</c:v>
                </c:pt>
                <c:pt idx="250">
                  <c:v>20132431</c:v>
                </c:pt>
                <c:pt idx="251">
                  <c:v>26553801</c:v>
                </c:pt>
                <c:pt idx="252">
                  <c:v>19839505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B-4D20-917C-95BD741F4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03618255"/>
        <c:axId val="1503619215"/>
      </c:barChart>
      <c:lineChart>
        <c:grouping val="standard"/>
        <c:varyColors val="0"/>
        <c:ser>
          <c:idx val="0"/>
          <c:order val="0"/>
          <c:tx>
            <c:strRef>
              <c:f>'ClosePrice vs Volume'!$B$1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'ClosePrice vs Volume'!$A$2:$A$254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'ClosePrice vs Volume'!$B$2:$B$254</c:f>
              <c:numCache>
                <c:formatCode>"$"#,##0.00</c:formatCode>
                <c:ptCount val="253"/>
                <c:pt idx="0">
                  <c:v>3.71</c:v>
                </c:pt>
                <c:pt idx="1">
                  <c:v>3.73</c:v>
                </c:pt>
                <c:pt idx="2">
                  <c:v>3.78</c:v>
                </c:pt>
                <c:pt idx="3">
                  <c:v>3.85</c:v>
                </c:pt>
                <c:pt idx="4">
                  <c:v>3.82</c:v>
                </c:pt>
                <c:pt idx="5">
                  <c:v>3.7</c:v>
                </c:pt>
                <c:pt idx="6">
                  <c:v>3.72</c:v>
                </c:pt>
                <c:pt idx="7">
                  <c:v>3.64</c:v>
                </c:pt>
                <c:pt idx="8">
                  <c:v>3.62</c:v>
                </c:pt>
                <c:pt idx="9">
                  <c:v>3.62</c:v>
                </c:pt>
                <c:pt idx="10">
                  <c:v>3.62</c:v>
                </c:pt>
                <c:pt idx="11">
                  <c:v>3.57</c:v>
                </c:pt>
                <c:pt idx="12">
                  <c:v>3.55</c:v>
                </c:pt>
                <c:pt idx="13">
                  <c:v>3.49</c:v>
                </c:pt>
                <c:pt idx="14">
                  <c:v>3.42</c:v>
                </c:pt>
                <c:pt idx="15">
                  <c:v>2.99</c:v>
                </c:pt>
                <c:pt idx="16">
                  <c:v>2.98</c:v>
                </c:pt>
                <c:pt idx="17">
                  <c:v>2.96</c:v>
                </c:pt>
                <c:pt idx="18">
                  <c:v>2.91</c:v>
                </c:pt>
                <c:pt idx="19">
                  <c:v>2.98</c:v>
                </c:pt>
                <c:pt idx="20">
                  <c:v>3.02</c:v>
                </c:pt>
                <c:pt idx="21">
                  <c:v>3.01</c:v>
                </c:pt>
                <c:pt idx="22">
                  <c:v>3.07</c:v>
                </c:pt>
                <c:pt idx="23">
                  <c:v>3.14</c:v>
                </c:pt>
                <c:pt idx="24">
                  <c:v>3.02</c:v>
                </c:pt>
                <c:pt idx="25">
                  <c:v>2.84</c:v>
                </c:pt>
                <c:pt idx="26">
                  <c:v>2.86</c:v>
                </c:pt>
                <c:pt idx="27">
                  <c:v>2.88</c:v>
                </c:pt>
                <c:pt idx="28">
                  <c:v>2.83</c:v>
                </c:pt>
                <c:pt idx="29">
                  <c:v>2.94</c:v>
                </c:pt>
                <c:pt idx="30">
                  <c:v>2.93</c:v>
                </c:pt>
                <c:pt idx="31">
                  <c:v>2.96</c:v>
                </c:pt>
                <c:pt idx="32">
                  <c:v>2.91</c:v>
                </c:pt>
                <c:pt idx="33">
                  <c:v>2.92</c:v>
                </c:pt>
                <c:pt idx="34">
                  <c:v>2.98</c:v>
                </c:pt>
                <c:pt idx="35">
                  <c:v>2.96</c:v>
                </c:pt>
                <c:pt idx="36">
                  <c:v>3.01</c:v>
                </c:pt>
                <c:pt idx="37">
                  <c:v>3.01</c:v>
                </c:pt>
                <c:pt idx="38">
                  <c:v>3.04</c:v>
                </c:pt>
                <c:pt idx="39">
                  <c:v>3.03</c:v>
                </c:pt>
                <c:pt idx="40">
                  <c:v>3.09</c:v>
                </c:pt>
                <c:pt idx="41">
                  <c:v>3.1</c:v>
                </c:pt>
                <c:pt idx="42">
                  <c:v>3.08</c:v>
                </c:pt>
                <c:pt idx="43">
                  <c:v>3.1</c:v>
                </c:pt>
                <c:pt idx="44">
                  <c:v>3.14</c:v>
                </c:pt>
                <c:pt idx="45">
                  <c:v>3.1</c:v>
                </c:pt>
                <c:pt idx="46">
                  <c:v>3.1</c:v>
                </c:pt>
                <c:pt idx="47">
                  <c:v>3</c:v>
                </c:pt>
                <c:pt idx="48">
                  <c:v>3.04</c:v>
                </c:pt>
                <c:pt idx="49">
                  <c:v>2.98</c:v>
                </c:pt>
                <c:pt idx="50">
                  <c:v>2.97</c:v>
                </c:pt>
                <c:pt idx="51">
                  <c:v>2.99</c:v>
                </c:pt>
                <c:pt idx="52">
                  <c:v>3.01</c:v>
                </c:pt>
                <c:pt idx="53">
                  <c:v>3.08</c:v>
                </c:pt>
                <c:pt idx="54">
                  <c:v>3.19</c:v>
                </c:pt>
                <c:pt idx="55">
                  <c:v>3.17</c:v>
                </c:pt>
                <c:pt idx="56">
                  <c:v>3.23</c:v>
                </c:pt>
                <c:pt idx="57">
                  <c:v>3.2</c:v>
                </c:pt>
                <c:pt idx="58">
                  <c:v>3.2</c:v>
                </c:pt>
                <c:pt idx="59">
                  <c:v>3.2</c:v>
                </c:pt>
                <c:pt idx="60">
                  <c:v>3.2</c:v>
                </c:pt>
                <c:pt idx="61">
                  <c:v>3.33</c:v>
                </c:pt>
                <c:pt idx="62">
                  <c:v>3.43</c:v>
                </c:pt>
                <c:pt idx="63">
                  <c:v>3.53</c:v>
                </c:pt>
                <c:pt idx="64">
                  <c:v>3.7</c:v>
                </c:pt>
                <c:pt idx="65">
                  <c:v>3.77</c:v>
                </c:pt>
                <c:pt idx="66">
                  <c:v>3.67</c:v>
                </c:pt>
                <c:pt idx="67">
                  <c:v>3.73</c:v>
                </c:pt>
                <c:pt idx="68">
                  <c:v>3.74</c:v>
                </c:pt>
                <c:pt idx="69">
                  <c:v>3.68</c:v>
                </c:pt>
                <c:pt idx="70">
                  <c:v>3.7</c:v>
                </c:pt>
                <c:pt idx="71">
                  <c:v>3.6</c:v>
                </c:pt>
                <c:pt idx="72">
                  <c:v>3.53</c:v>
                </c:pt>
                <c:pt idx="73">
                  <c:v>3.61</c:v>
                </c:pt>
                <c:pt idx="74">
                  <c:v>3.6</c:v>
                </c:pt>
                <c:pt idx="75">
                  <c:v>3.73</c:v>
                </c:pt>
                <c:pt idx="76">
                  <c:v>3.7</c:v>
                </c:pt>
                <c:pt idx="77">
                  <c:v>3.67</c:v>
                </c:pt>
                <c:pt idx="78">
                  <c:v>3.77</c:v>
                </c:pt>
                <c:pt idx="79">
                  <c:v>3.7</c:v>
                </c:pt>
                <c:pt idx="80">
                  <c:v>3.69</c:v>
                </c:pt>
                <c:pt idx="81">
                  <c:v>3.62</c:v>
                </c:pt>
                <c:pt idx="82">
                  <c:v>3.65</c:v>
                </c:pt>
                <c:pt idx="83">
                  <c:v>3.69</c:v>
                </c:pt>
                <c:pt idx="84">
                  <c:v>3.71</c:v>
                </c:pt>
                <c:pt idx="85">
                  <c:v>3.73</c:v>
                </c:pt>
                <c:pt idx="86">
                  <c:v>3.72</c:v>
                </c:pt>
                <c:pt idx="87">
                  <c:v>3.67</c:v>
                </c:pt>
                <c:pt idx="88">
                  <c:v>3.68</c:v>
                </c:pt>
                <c:pt idx="89">
                  <c:v>3.72</c:v>
                </c:pt>
                <c:pt idx="90">
                  <c:v>3.73</c:v>
                </c:pt>
                <c:pt idx="91">
                  <c:v>3.75</c:v>
                </c:pt>
                <c:pt idx="92">
                  <c:v>3.76</c:v>
                </c:pt>
                <c:pt idx="93">
                  <c:v>3.83</c:v>
                </c:pt>
                <c:pt idx="94">
                  <c:v>3.8</c:v>
                </c:pt>
                <c:pt idx="95">
                  <c:v>3.7</c:v>
                </c:pt>
                <c:pt idx="96">
                  <c:v>3.61</c:v>
                </c:pt>
                <c:pt idx="97">
                  <c:v>3.54</c:v>
                </c:pt>
                <c:pt idx="98">
                  <c:v>3.49</c:v>
                </c:pt>
                <c:pt idx="99">
                  <c:v>3.55</c:v>
                </c:pt>
                <c:pt idx="100">
                  <c:v>3.77</c:v>
                </c:pt>
                <c:pt idx="101">
                  <c:v>3.67</c:v>
                </c:pt>
                <c:pt idx="102">
                  <c:v>3.7</c:v>
                </c:pt>
                <c:pt idx="103">
                  <c:v>3.73</c:v>
                </c:pt>
                <c:pt idx="104">
                  <c:v>3.83</c:v>
                </c:pt>
                <c:pt idx="105">
                  <c:v>3.74</c:v>
                </c:pt>
                <c:pt idx="106">
                  <c:v>3.78</c:v>
                </c:pt>
                <c:pt idx="107">
                  <c:v>3.77</c:v>
                </c:pt>
                <c:pt idx="108">
                  <c:v>3.74</c:v>
                </c:pt>
                <c:pt idx="109">
                  <c:v>3.72</c:v>
                </c:pt>
                <c:pt idx="110">
                  <c:v>3.68</c:v>
                </c:pt>
                <c:pt idx="111">
                  <c:v>3.62</c:v>
                </c:pt>
                <c:pt idx="112">
                  <c:v>3.6</c:v>
                </c:pt>
                <c:pt idx="113">
                  <c:v>3.7</c:v>
                </c:pt>
                <c:pt idx="114">
                  <c:v>3.63</c:v>
                </c:pt>
                <c:pt idx="115">
                  <c:v>3.6</c:v>
                </c:pt>
                <c:pt idx="116">
                  <c:v>3.68</c:v>
                </c:pt>
                <c:pt idx="117">
                  <c:v>3.52</c:v>
                </c:pt>
                <c:pt idx="118">
                  <c:v>3.44</c:v>
                </c:pt>
                <c:pt idx="119">
                  <c:v>3.4</c:v>
                </c:pt>
                <c:pt idx="120">
                  <c:v>3.37</c:v>
                </c:pt>
                <c:pt idx="121">
                  <c:v>3.4</c:v>
                </c:pt>
                <c:pt idx="122">
                  <c:v>3.38</c:v>
                </c:pt>
                <c:pt idx="123">
                  <c:v>3.36</c:v>
                </c:pt>
                <c:pt idx="124">
                  <c:v>3.34</c:v>
                </c:pt>
                <c:pt idx="125">
                  <c:v>3.41</c:v>
                </c:pt>
                <c:pt idx="126">
                  <c:v>3.41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3.46</c:v>
                </c:pt>
                <c:pt idx="131">
                  <c:v>3.46</c:v>
                </c:pt>
                <c:pt idx="132">
                  <c:v>3.4</c:v>
                </c:pt>
                <c:pt idx="133">
                  <c:v>3.4</c:v>
                </c:pt>
                <c:pt idx="134">
                  <c:v>3.41</c:v>
                </c:pt>
                <c:pt idx="135">
                  <c:v>3.38</c:v>
                </c:pt>
                <c:pt idx="136">
                  <c:v>3.4</c:v>
                </c:pt>
                <c:pt idx="137">
                  <c:v>3.37</c:v>
                </c:pt>
                <c:pt idx="138">
                  <c:v>3.42</c:v>
                </c:pt>
                <c:pt idx="139">
                  <c:v>3.42</c:v>
                </c:pt>
                <c:pt idx="140">
                  <c:v>3.49</c:v>
                </c:pt>
                <c:pt idx="141">
                  <c:v>3.48</c:v>
                </c:pt>
                <c:pt idx="142">
                  <c:v>3.51</c:v>
                </c:pt>
                <c:pt idx="143">
                  <c:v>3.58</c:v>
                </c:pt>
                <c:pt idx="144">
                  <c:v>3.56</c:v>
                </c:pt>
                <c:pt idx="145">
                  <c:v>3.53</c:v>
                </c:pt>
                <c:pt idx="146">
                  <c:v>3.54</c:v>
                </c:pt>
                <c:pt idx="147">
                  <c:v>3.37</c:v>
                </c:pt>
                <c:pt idx="148">
                  <c:v>3.29</c:v>
                </c:pt>
                <c:pt idx="149">
                  <c:v>3.36</c:v>
                </c:pt>
                <c:pt idx="150">
                  <c:v>3.36</c:v>
                </c:pt>
                <c:pt idx="151">
                  <c:v>3.31</c:v>
                </c:pt>
                <c:pt idx="152">
                  <c:v>3.38</c:v>
                </c:pt>
                <c:pt idx="153">
                  <c:v>3.45</c:v>
                </c:pt>
                <c:pt idx="154">
                  <c:v>3.47</c:v>
                </c:pt>
                <c:pt idx="155">
                  <c:v>3.5</c:v>
                </c:pt>
                <c:pt idx="156">
                  <c:v>3.44</c:v>
                </c:pt>
                <c:pt idx="157">
                  <c:v>3.43</c:v>
                </c:pt>
                <c:pt idx="158">
                  <c:v>3.43</c:v>
                </c:pt>
                <c:pt idx="159">
                  <c:v>3.57</c:v>
                </c:pt>
                <c:pt idx="160">
                  <c:v>3.65</c:v>
                </c:pt>
                <c:pt idx="161">
                  <c:v>3.69</c:v>
                </c:pt>
                <c:pt idx="162">
                  <c:v>3.67</c:v>
                </c:pt>
                <c:pt idx="163">
                  <c:v>3.66</c:v>
                </c:pt>
                <c:pt idx="164">
                  <c:v>3.71</c:v>
                </c:pt>
                <c:pt idx="165">
                  <c:v>3.74</c:v>
                </c:pt>
                <c:pt idx="166">
                  <c:v>3.67</c:v>
                </c:pt>
                <c:pt idx="167">
                  <c:v>3.65</c:v>
                </c:pt>
                <c:pt idx="168">
                  <c:v>3.61</c:v>
                </c:pt>
                <c:pt idx="169">
                  <c:v>3.64</c:v>
                </c:pt>
                <c:pt idx="170">
                  <c:v>3.52</c:v>
                </c:pt>
                <c:pt idx="171">
                  <c:v>3.63</c:v>
                </c:pt>
                <c:pt idx="172">
                  <c:v>3.52</c:v>
                </c:pt>
                <c:pt idx="173">
                  <c:v>3.51</c:v>
                </c:pt>
                <c:pt idx="174">
                  <c:v>3.64</c:v>
                </c:pt>
                <c:pt idx="175">
                  <c:v>3.59</c:v>
                </c:pt>
                <c:pt idx="176">
                  <c:v>3.61</c:v>
                </c:pt>
                <c:pt idx="177">
                  <c:v>3.59</c:v>
                </c:pt>
                <c:pt idx="178">
                  <c:v>3.58</c:v>
                </c:pt>
                <c:pt idx="179">
                  <c:v>3.53</c:v>
                </c:pt>
                <c:pt idx="180">
                  <c:v>3.53</c:v>
                </c:pt>
                <c:pt idx="181">
                  <c:v>3.6</c:v>
                </c:pt>
                <c:pt idx="182">
                  <c:v>3.61</c:v>
                </c:pt>
                <c:pt idx="183">
                  <c:v>3.61</c:v>
                </c:pt>
                <c:pt idx="184">
                  <c:v>3.62</c:v>
                </c:pt>
                <c:pt idx="185">
                  <c:v>3.53</c:v>
                </c:pt>
                <c:pt idx="186">
                  <c:v>3.49</c:v>
                </c:pt>
                <c:pt idx="187">
                  <c:v>3.51</c:v>
                </c:pt>
                <c:pt idx="188">
                  <c:v>3.51</c:v>
                </c:pt>
                <c:pt idx="189">
                  <c:v>3.47</c:v>
                </c:pt>
                <c:pt idx="190">
                  <c:v>3.37</c:v>
                </c:pt>
                <c:pt idx="191">
                  <c:v>3.22</c:v>
                </c:pt>
                <c:pt idx="192">
                  <c:v>3.21</c:v>
                </c:pt>
                <c:pt idx="193">
                  <c:v>3.12</c:v>
                </c:pt>
                <c:pt idx="194">
                  <c:v>2.97</c:v>
                </c:pt>
                <c:pt idx="195">
                  <c:v>2.81</c:v>
                </c:pt>
                <c:pt idx="196">
                  <c:v>2.59</c:v>
                </c:pt>
                <c:pt idx="197">
                  <c:v>2.65</c:v>
                </c:pt>
                <c:pt idx="198">
                  <c:v>2.52</c:v>
                </c:pt>
                <c:pt idx="199">
                  <c:v>2.76</c:v>
                </c:pt>
                <c:pt idx="200">
                  <c:v>2.74</c:v>
                </c:pt>
                <c:pt idx="201">
                  <c:v>2.8</c:v>
                </c:pt>
                <c:pt idx="202">
                  <c:v>2.79</c:v>
                </c:pt>
                <c:pt idx="203">
                  <c:v>2.67</c:v>
                </c:pt>
                <c:pt idx="204">
                  <c:v>2.69</c:v>
                </c:pt>
                <c:pt idx="205">
                  <c:v>2.61</c:v>
                </c:pt>
                <c:pt idx="206">
                  <c:v>2.65</c:v>
                </c:pt>
                <c:pt idx="207">
                  <c:v>2.71</c:v>
                </c:pt>
                <c:pt idx="208">
                  <c:v>2.71</c:v>
                </c:pt>
                <c:pt idx="209">
                  <c:v>2.78</c:v>
                </c:pt>
                <c:pt idx="210">
                  <c:v>2.75</c:v>
                </c:pt>
                <c:pt idx="211">
                  <c:v>2.74</c:v>
                </c:pt>
                <c:pt idx="212">
                  <c:v>2.83</c:v>
                </c:pt>
                <c:pt idx="213">
                  <c:v>2.8</c:v>
                </c:pt>
                <c:pt idx="214">
                  <c:v>2.84</c:v>
                </c:pt>
                <c:pt idx="215">
                  <c:v>2.85</c:v>
                </c:pt>
                <c:pt idx="216">
                  <c:v>2.82</c:v>
                </c:pt>
                <c:pt idx="217">
                  <c:v>2.79</c:v>
                </c:pt>
                <c:pt idx="218">
                  <c:v>2.87</c:v>
                </c:pt>
                <c:pt idx="219">
                  <c:v>3.03</c:v>
                </c:pt>
                <c:pt idx="220">
                  <c:v>2.99</c:v>
                </c:pt>
                <c:pt idx="221">
                  <c:v>2.98</c:v>
                </c:pt>
                <c:pt idx="222">
                  <c:v>2.96</c:v>
                </c:pt>
                <c:pt idx="223">
                  <c:v>2.94</c:v>
                </c:pt>
                <c:pt idx="224">
                  <c:v>3.06</c:v>
                </c:pt>
                <c:pt idx="225">
                  <c:v>3.08</c:v>
                </c:pt>
                <c:pt idx="226">
                  <c:v>3.09</c:v>
                </c:pt>
                <c:pt idx="227">
                  <c:v>3.03</c:v>
                </c:pt>
                <c:pt idx="228">
                  <c:v>3.05</c:v>
                </c:pt>
                <c:pt idx="229">
                  <c:v>3.09</c:v>
                </c:pt>
                <c:pt idx="230">
                  <c:v>3.07</c:v>
                </c:pt>
                <c:pt idx="231">
                  <c:v>3.04</c:v>
                </c:pt>
                <c:pt idx="232">
                  <c:v>3.05</c:v>
                </c:pt>
                <c:pt idx="233">
                  <c:v>2.94</c:v>
                </c:pt>
                <c:pt idx="234">
                  <c:v>2.95</c:v>
                </c:pt>
                <c:pt idx="235">
                  <c:v>3.02</c:v>
                </c:pt>
                <c:pt idx="236">
                  <c:v>3.02</c:v>
                </c:pt>
                <c:pt idx="237">
                  <c:v>3.02</c:v>
                </c:pt>
                <c:pt idx="238">
                  <c:v>3.04</c:v>
                </c:pt>
                <c:pt idx="239">
                  <c:v>3.06</c:v>
                </c:pt>
                <c:pt idx="240">
                  <c:v>3.01</c:v>
                </c:pt>
                <c:pt idx="241">
                  <c:v>2.94</c:v>
                </c:pt>
                <c:pt idx="242">
                  <c:v>3</c:v>
                </c:pt>
                <c:pt idx="243">
                  <c:v>3.02</c:v>
                </c:pt>
                <c:pt idx="244">
                  <c:v>2.98</c:v>
                </c:pt>
                <c:pt idx="245">
                  <c:v>2.9</c:v>
                </c:pt>
                <c:pt idx="246">
                  <c:v>2.88</c:v>
                </c:pt>
                <c:pt idx="247">
                  <c:v>2.85</c:v>
                </c:pt>
                <c:pt idx="248">
                  <c:v>2.92</c:v>
                </c:pt>
                <c:pt idx="249">
                  <c:v>2.84</c:v>
                </c:pt>
                <c:pt idx="250">
                  <c:v>2.9</c:v>
                </c:pt>
                <c:pt idx="251">
                  <c:v>2.94</c:v>
                </c:pt>
                <c:pt idx="252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CB-4D20-917C-95BD741F4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324655"/>
        <c:axId val="1421323215"/>
      </c:lineChart>
      <c:catAx>
        <c:axId val="1421324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323215"/>
        <c:crosses val="autoZero"/>
        <c:auto val="1"/>
        <c:lblAlgn val="ctr"/>
        <c:lblOffset val="100"/>
        <c:noMultiLvlLbl val="0"/>
      </c:catAx>
      <c:valAx>
        <c:axId val="1421323215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Stock</a:t>
                </a:r>
                <a:r>
                  <a:rPr lang="en-AU" baseline="0"/>
                  <a:t> Close Price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324655"/>
        <c:crosses val="autoZero"/>
        <c:crossBetween val="between"/>
      </c:valAx>
      <c:valAx>
        <c:axId val="1503619215"/>
        <c:scaling>
          <c:orientation val="minMax"/>
          <c:max val="600000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Trading</a:t>
                </a:r>
                <a:r>
                  <a:rPr lang="en-AU" baseline="0"/>
                  <a:t> Volume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#,##0.00##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618255"/>
        <c:crosses val="max"/>
        <c:crossBetween val="between"/>
      </c:valAx>
      <c:catAx>
        <c:axId val="1503618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36192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South32 Stock Movement (2024/2025)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tockChart>
        <c:ser>
          <c:idx val="0"/>
          <c:order val="0"/>
          <c:tx>
            <c:strRef>
              <c:f>'Stock Chart'!$B$1</c:f>
              <c:strCache>
                <c:ptCount val="1"/>
                <c:pt idx="0">
                  <c:v>Open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'Stock Chart'!$A$2:$A$254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'Stock Chart'!$B$2:$B$254</c:f>
              <c:numCache>
                <c:formatCode>"$"#,##0.00</c:formatCode>
                <c:ptCount val="253"/>
                <c:pt idx="0">
                  <c:v>3.65</c:v>
                </c:pt>
                <c:pt idx="1">
                  <c:v>3.75</c:v>
                </c:pt>
                <c:pt idx="2">
                  <c:v>3.79</c:v>
                </c:pt>
                <c:pt idx="3">
                  <c:v>3.85</c:v>
                </c:pt>
                <c:pt idx="4">
                  <c:v>3.85</c:v>
                </c:pt>
                <c:pt idx="5">
                  <c:v>3.82</c:v>
                </c:pt>
                <c:pt idx="6">
                  <c:v>3.75</c:v>
                </c:pt>
                <c:pt idx="7">
                  <c:v>3.66</c:v>
                </c:pt>
                <c:pt idx="8">
                  <c:v>3.67</c:v>
                </c:pt>
                <c:pt idx="9">
                  <c:v>3.64</c:v>
                </c:pt>
                <c:pt idx="10">
                  <c:v>3.63</c:v>
                </c:pt>
                <c:pt idx="11">
                  <c:v>3.6</c:v>
                </c:pt>
                <c:pt idx="12">
                  <c:v>3.59</c:v>
                </c:pt>
                <c:pt idx="13">
                  <c:v>3.54</c:v>
                </c:pt>
                <c:pt idx="14">
                  <c:v>3.42</c:v>
                </c:pt>
                <c:pt idx="15">
                  <c:v>3.14</c:v>
                </c:pt>
                <c:pt idx="16">
                  <c:v>2.99</c:v>
                </c:pt>
                <c:pt idx="17">
                  <c:v>2.99</c:v>
                </c:pt>
                <c:pt idx="18">
                  <c:v>2.91</c:v>
                </c:pt>
                <c:pt idx="19">
                  <c:v>2.95</c:v>
                </c:pt>
                <c:pt idx="20">
                  <c:v>3.03</c:v>
                </c:pt>
                <c:pt idx="21">
                  <c:v>3</c:v>
                </c:pt>
                <c:pt idx="22">
                  <c:v>3.05</c:v>
                </c:pt>
                <c:pt idx="23">
                  <c:v>3.12</c:v>
                </c:pt>
                <c:pt idx="24">
                  <c:v>3.05</c:v>
                </c:pt>
                <c:pt idx="25">
                  <c:v>2.9</c:v>
                </c:pt>
                <c:pt idx="26">
                  <c:v>2.87</c:v>
                </c:pt>
                <c:pt idx="27">
                  <c:v>2.86</c:v>
                </c:pt>
                <c:pt idx="28">
                  <c:v>2.84</c:v>
                </c:pt>
                <c:pt idx="29">
                  <c:v>2.85</c:v>
                </c:pt>
                <c:pt idx="30">
                  <c:v>2.94</c:v>
                </c:pt>
                <c:pt idx="31">
                  <c:v>2.96</c:v>
                </c:pt>
                <c:pt idx="32">
                  <c:v>2.97</c:v>
                </c:pt>
                <c:pt idx="33">
                  <c:v>2.93</c:v>
                </c:pt>
                <c:pt idx="34">
                  <c:v>2.96</c:v>
                </c:pt>
                <c:pt idx="35">
                  <c:v>2.96</c:v>
                </c:pt>
                <c:pt idx="36">
                  <c:v>3.03</c:v>
                </c:pt>
                <c:pt idx="37">
                  <c:v>2.95</c:v>
                </c:pt>
                <c:pt idx="38">
                  <c:v>3.04</c:v>
                </c:pt>
                <c:pt idx="39">
                  <c:v>2.96</c:v>
                </c:pt>
                <c:pt idx="40">
                  <c:v>3.04</c:v>
                </c:pt>
                <c:pt idx="41">
                  <c:v>3.11</c:v>
                </c:pt>
                <c:pt idx="42">
                  <c:v>3.08</c:v>
                </c:pt>
                <c:pt idx="43">
                  <c:v>3.02</c:v>
                </c:pt>
                <c:pt idx="44">
                  <c:v>3.09</c:v>
                </c:pt>
                <c:pt idx="45">
                  <c:v>3.06</c:v>
                </c:pt>
                <c:pt idx="46">
                  <c:v>3.1</c:v>
                </c:pt>
                <c:pt idx="47">
                  <c:v>3</c:v>
                </c:pt>
                <c:pt idx="48">
                  <c:v>3</c:v>
                </c:pt>
                <c:pt idx="49">
                  <c:v>3.03</c:v>
                </c:pt>
                <c:pt idx="50">
                  <c:v>2.92</c:v>
                </c:pt>
                <c:pt idx="51">
                  <c:v>3.01</c:v>
                </c:pt>
                <c:pt idx="52">
                  <c:v>2.96</c:v>
                </c:pt>
                <c:pt idx="53">
                  <c:v>3.03</c:v>
                </c:pt>
                <c:pt idx="54">
                  <c:v>3.18</c:v>
                </c:pt>
                <c:pt idx="55">
                  <c:v>3.21</c:v>
                </c:pt>
                <c:pt idx="56">
                  <c:v>3.22</c:v>
                </c:pt>
                <c:pt idx="57">
                  <c:v>3.23</c:v>
                </c:pt>
                <c:pt idx="58">
                  <c:v>3.17</c:v>
                </c:pt>
                <c:pt idx="59">
                  <c:v>3.21</c:v>
                </c:pt>
                <c:pt idx="60">
                  <c:v>3.17</c:v>
                </c:pt>
                <c:pt idx="61">
                  <c:v>3.24</c:v>
                </c:pt>
                <c:pt idx="62">
                  <c:v>3.4</c:v>
                </c:pt>
                <c:pt idx="63">
                  <c:v>3.43</c:v>
                </c:pt>
                <c:pt idx="64">
                  <c:v>3.65</c:v>
                </c:pt>
                <c:pt idx="65">
                  <c:v>3.73</c:v>
                </c:pt>
                <c:pt idx="66">
                  <c:v>3.69</c:v>
                </c:pt>
                <c:pt idx="67">
                  <c:v>3.69</c:v>
                </c:pt>
                <c:pt idx="68">
                  <c:v>3.75</c:v>
                </c:pt>
                <c:pt idx="69">
                  <c:v>3.64</c:v>
                </c:pt>
                <c:pt idx="70">
                  <c:v>3.68</c:v>
                </c:pt>
                <c:pt idx="71">
                  <c:v>3.66</c:v>
                </c:pt>
                <c:pt idx="72">
                  <c:v>3.51</c:v>
                </c:pt>
                <c:pt idx="73">
                  <c:v>3.58</c:v>
                </c:pt>
                <c:pt idx="74">
                  <c:v>3.59</c:v>
                </c:pt>
                <c:pt idx="75">
                  <c:v>3.66</c:v>
                </c:pt>
                <c:pt idx="76">
                  <c:v>3.69</c:v>
                </c:pt>
                <c:pt idx="77">
                  <c:v>3.65</c:v>
                </c:pt>
                <c:pt idx="78">
                  <c:v>3.79</c:v>
                </c:pt>
                <c:pt idx="79">
                  <c:v>3.72</c:v>
                </c:pt>
                <c:pt idx="80">
                  <c:v>3.75</c:v>
                </c:pt>
                <c:pt idx="81">
                  <c:v>3.61</c:v>
                </c:pt>
                <c:pt idx="82">
                  <c:v>3.64</c:v>
                </c:pt>
                <c:pt idx="83">
                  <c:v>3.64</c:v>
                </c:pt>
                <c:pt idx="84">
                  <c:v>3.68</c:v>
                </c:pt>
                <c:pt idx="85">
                  <c:v>3.73</c:v>
                </c:pt>
                <c:pt idx="86">
                  <c:v>3.76</c:v>
                </c:pt>
                <c:pt idx="87">
                  <c:v>3.71</c:v>
                </c:pt>
                <c:pt idx="88">
                  <c:v>3.64</c:v>
                </c:pt>
                <c:pt idx="89">
                  <c:v>3.61</c:v>
                </c:pt>
                <c:pt idx="90">
                  <c:v>3.72</c:v>
                </c:pt>
                <c:pt idx="91">
                  <c:v>3.7</c:v>
                </c:pt>
                <c:pt idx="92">
                  <c:v>3.79</c:v>
                </c:pt>
                <c:pt idx="93">
                  <c:v>3.8</c:v>
                </c:pt>
                <c:pt idx="94">
                  <c:v>3.89</c:v>
                </c:pt>
                <c:pt idx="95">
                  <c:v>3.72</c:v>
                </c:pt>
                <c:pt idx="96">
                  <c:v>3.68</c:v>
                </c:pt>
                <c:pt idx="97">
                  <c:v>3.54</c:v>
                </c:pt>
                <c:pt idx="98">
                  <c:v>3.53</c:v>
                </c:pt>
                <c:pt idx="99">
                  <c:v>3.51</c:v>
                </c:pt>
                <c:pt idx="100">
                  <c:v>3.75</c:v>
                </c:pt>
                <c:pt idx="101">
                  <c:v>3.72</c:v>
                </c:pt>
                <c:pt idx="102">
                  <c:v>3.71</c:v>
                </c:pt>
                <c:pt idx="103">
                  <c:v>3.72</c:v>
                </c:pt>
                <c:pt idx="104">
                  <c:v>3.77</c:v>
                </c:pt>
                <c:pt idx="105">
                  <c:v>3.84</c:v>
                </c:pt>
                <c:pt idx="106">
                  <c:v>3.78</c:v>
                </c:pt>
                <c:pt idx="107">
                  <c:v>3.8</c:v>
                </c:pt>
                <c:pt idx="108">
                  <c:v>3.78</c:v>
                </c:pt>
                <c:pt idx="109">
                  <c:v>3.73</c:v>
                </c:pt>
                <c:pt idx="110">
                  <c:v>3.75</c:v>
                </c:pt>
                <c:pt idx="111">
                  <c:v>3.67</c:v>
                </c:pt>
                <c:pt idx="112">
                  <c:v>3.62</c:v>
                </c:pt>
                <c:pt idx="113">
                  <c:v>3.64</c:v>
                </c:pt>
                <c:pt idx="114">
                  <c:v>3.69</c:v>
                </c:pt>
                <c:pt idx="115">
                  <c:v>3.59</c:v>
                </c:pt>
                <c:pt idx="116">
                  <c:v>3.72</c:v>
                </c:pt>
                <c:pt idx="117">
                  <c:v>3.56</c:v>
                </c:pt>
                <c:pt idx="118">
                  <c:v>3.48</c:v>
                </c:pt>
                <c:pt idx="119">
                  <c:v>3.41</c:v>
                </c:pt>
                <c:pt idx="120">
                  <c:v>3.39</c:v>
                </c:pt>
                <c:pt idx="121">
                  <c:v>3.34</c:v>
                </c:pt>
                <c:pt idx="122">
                  <c:v>3.36</c:v>
                </c:pt>
                <c:pt idx="123">
                  <c:v>3.37</c:v>
                </c:pt>
                <c:pt idx="124">
                  <c:v>3.31</c:v>
                </c:pt>
                <c:pt idx="125">
                  <c:v>3.37</c:v>
                </c:pt>
                <c:pt idx="126">
                  <c:v>3.38</c:v>
                </c:pt>
                <c:pt idx="127">
                  <c:v>3.41</c:v>
                </c:pt>
                <c:pt idx="128">
                  <c:v>3.38</c:v>
                </c:pt>
                <c:pt idx="129">
                  <c:v>3.36</c:v>
                </c:pt>
                <c:pt idx="130">
                  <c:v>3.4</c:v>
                </c:pt>
                <c:pt idx="131">
                  <c:v>3.46</c:v>
                </c:pt>
                <c:pt idx="132">
                  <c:v>3.46</c:v>
                </c:pt>
                <c:pt idx="133">
                  <c:v>3.47</c:v>
                </c:pt>
                <c:pt idx="134">
                  <c:v>3.42</c:v>
                </c:pt>
                <c:pt idx="135">
                  <c:v>3.39</c:v>
                </c:pt>
                <c:pt idx="136">
                  <c:v>3.38</c:v>
                </c:pt>
                <c:pt idx="137">
                  <c:v>3.36</c:v>
                </c:pt>
                <c:pt idx="138">
                  <c:v>3.43</c:v>
                </c:pt>
                <c:pt idx="139">
                  <c:v>3.44</c:v>
                </c:pt>
                <c:pt idx="140">
                  <c:v>3.46</c:v>
                </c:pt>
                <c:pt idx="141">
                  <c:v>3.47</c:v>
                </c:pt>
                <c:pt idx="142">
                  <c:v>3.53</c:v>
                </c:pt>
                <c:pt idx="143">
                  <c:v>3.55</c:v>
                </c:pt>
                <c:pt idx="144">
                  <c:v>3.56</c:v>
                </c:pt>
                <c:pt idx="145">
                  <c:v>3.56</c:v>
                </c:pt>
                <c:pt idx="146">
                  <c:v>3.53</c:v>
                </c:pt>
                <c:pt idx="147">
                  <c:v>3.46</c:v>
                </c:pt>
                <c:pt idx="148">
                  <c:v>3.36</c:v>
                </c:pt>
                <c:pt idx="149">
                  <c:v>3.34</c:v>
                </c:pt>
                <c:pt idx="150">
                  <c:v>3.35</c:v>
                </c:pt>
                <c:pt idx="151">
                  <c:v>3.3</c:v>
                </c:pt>
                <c:pt idx="152">
                  <c:v>3.34</c:v>
                </c:pt>
                <c:pt idx="153">
                  <c:v>3.4</c:v>
                </c:pt>
                <c:pt idx="154">
                  <c:v>3.49</c:v>
                </c:pt>
                <c:pt idx="155">
                  <c:v>3.5</c:v>
                </c:pt>
                <c:pt idx="156">
                  <c:v>3.46</c:v>
                </c:pt>
                <c:pt idx="157">
                  <c:v>3.43</c:v>
                </c:pt>
                <c:pt idx="158">
                  <c:v>3.41</c:v>
                </c:pt>
                <c:pt idx="159">
                  <c:v>3.5</c:v>
                </c:pt>
                <c:pt idx="160">
                  <c:v>3.65</c:v>
                </c:pt>
                <c:pt idx="161">
                  <c:v>3.67</c:v>
                </c:pt>
                <c:pt idx="162">
                  <c:v>3.69</c:v>
                </c:pt>
                <c:pt idx="163">
                  <c:v>3.68</c:v>
                </c:pt>
                <c:pt idx="164">
                  <c:v>3.67</c:v>
                </c:pt>
                <c:pt idx="165">
                  <c:v>3.74</c:v>
                </c:pt>
                <c:pt idx="166">
                  <c:v>3.72</c:v>
                </c:pt>
                <c:pt idx="167">
                  <c:v>3.63</c:v>
                </c:pt>
                <c:pt idx="168">
                  <c:v>3.63</c:v>
                </c:pt>
                <c:pt idx="169">
                  <c:v>3.61</c:v>
                </c:pt>
                <c:pt idx="170">
                  <c:v>3.61</c:v>
                </c:pt>
                <c:pt idx="171">
                  <c:v>3.51</c:v>
                </c:pt>
                <c:pt idx="172">
                  <c:v>3.59</c:v>
                </c:pt>
                <c:pt idx="173">
                  <c:v>3.52</c:v>
                </c:pt>
                <c:pt idx="174">
                  <c:v>3.55</c:v>
                </c:pt>
                <c:pt idx="175">
                  <c:v>3.62</c:v>
                </c:pt>
                <c:pt idx="176">
                  <c:v>3.59</c:v>
                </c:pt>
                <c:pt idx="177">
                  <c:v>3.55</c:v>
                </c:pt>
                <c:pt idx="178">
                  <c:v>3.61</c:v>
                </c:pt>
                <c:pt idx="179">
                  <c:v>3.57</c:v>
                </c:pt>
                <c:pt idx="180">
                  <c:v>3.54</c:v>
                </c:pt>
                <c:pt idx="181">
                  <c:v>3.54</c:v>
                </c:pt>
                <c:pt idx="182">
                  <c:v>3.59</c:v>
                </c:pt>
                <c:pt idx="183">
                  <c:v>3.58</c:v>
                </c:pt>
                <c:pt idx="184">
                  <c:v>3.66</c:v>
                </c:pt>
                <c:pt idx="185">
                  <c:v>3.53</c:v>
                </c:pt>
                <c:pt idx="186">
                  <c:v>3.47</c:v>
                </c:pt>
                <c:pt idx="187">
                  <c:v>3.5</c:v>
                </c:pt>
                <c:pt idx="188">
                  <c:v>3.55</c:v>
                </c:pt>
                <c:pt idx="189">
                  <c:v>3.52</c:v>
                </c:pt>
                <c:pt idx="190">
                  <c:v>3.4</c:v>
                </c:pt>
                <c:pt idx="191">
                  <c:v>3.31</c:v>
                </c:pt>
                <c:pt idx="192">
                  <c:v>3.26</c:v>
                </c:pt>
                <c:pt idx="193">
                  <c:v>3.22</c:v>
                </c:pt>
                <c:pt idx="194">
                  <c:v>3.04</c:v>
                </c:pt>
                <c:pt idx="195">
                  <c:v>2.91</c:v>
                </c:pt>
                <c:pt idx="196">
                  <c:v>2.52</c:v>
                </c:pt>
                <c:pt idx="197">
                  <c:v>2.65</c:v>
                </c:pt>
                <c:pt idx="198">
                  <c:v>2.5499999999999998</c:v>
                </c:pt>
                <c:pt idx="199">
                  <c:v>2.84</c:v>
                </c:pt>
                <c:pt idx="200">
                  <c:v>2.65</c:v>
                </c:pt>
                <c:pt idx="201">
                  <c:v>2.78</c:v>
                </c:pt>
                <c:pt idx="202">
                  <c:v>2.83</c:v>
                </c:pt>
                <c:pt idx="203">
                  <c:v>2.75</c:v>
                </c:pt>
                <c:pt idx="204">
                  <c:v>2.71</c:v>
                </c:pt>
                <c:pt idx="205">
                  <c:v>2.67</c:v>
                </c:pt>
                <c:pt idx="206">
                  <c:v>2.7</c:v>
                </c:pt>
                <c:pt idx="207">
                  <c:v>2.65</c:v>
                </c:pt>
                <c:pt idx="208">
                  <c:v>2.7</c:v>
                </c:pt>
                <c:pt idx="209">
                  <c:v>2.71</c:v>
                </c:pt>
                <c:pt idx="210">
                  <c:v>2.8</c:v>
                </c:pt>
                <c:pt idx="211">
                  <c:v>2.71</c:v>
                </c:pt>
                <c:pt idx="212">
                  <c:v>2.77</c:v>
                </c:pt>
                <c:pt idx="213">
                  <c:v>2.82</c:v>
                </c:pt>
                <c:pt idx="214">
                  <c:v>2.8</c:v>
                </c:pt>
                <c:pt idx="215">
                  <c:v>2.84</c:v>
                </c:pt>
                <c:pt idx="216">
                  <c:v>2.81</c:v>
                </c:pt>
                <c:pt idx="217">
                  <c:v>2.8</c:v>
                </c:pt>
                <c:pt idx="218">
                  <c:v>2.82</c:v>
                </c:pt>
                <c:pt idx="219">
                  <c:v>2.97</c:v>
                </c:pt>
                <c:pt idx="220">
                  <c:v>3</c:v>
                </c:pt>
                <c:pt idx="221">
                  <c:v>2.95</c:v>
                </c:pt>
                <c:pt idx="222">
                  <c:v>2.99</c:v>
                </c:pt>
                <c:pt idx="223">
                  <c:v>2.97</c:v>
                </c:pt>
                <c:pt idx="224">
                  <c:v>3</c:v>
                </c:pt>
                <c:pt idx="225">
                  <c:v>3.07</c:v>
                </c:pt>
                <c:pt idx="226">
                  <c:v>3.03</c:v>
                </c:pt>
                <c:pt idx="227">
                  <c:v>3.07</c:v>
                </c:pt>
                <c:pt idx="228">
                  <c:v>3.04</c:v>
                </c:pt>
                <c:pt idx="229">
                  <c:v>3.06</c:v>
                </c:pt>
                <c:pt idx="230">
                  <c:v>3.06</c:v>
                </c:pt>
                <c:pt idx="231">
                  <c:v>3.08</c:v>
                </c:pt>
                <c:pt idx="232">
                  <c:v>3</c:v>
                </c:pt>
                <c:pt idx="233">
                  <c:v>3.01</c:v>
                </c:pt>
                <c:pt idx="234">
                  <c:v>2.99</c:v>
                </c:pt>
                <c:pt idx="235">
                  <c:v>2.99</c:v>
                </c:pt>
                <c:pt idx="236">
                  <c:v>3.05</c:v>
                </c:pt>
                <c:pt idx="237">
                  <c:v>3.05</c:v>
                </c:pt>
                <c:pt idx="238">
                  <c:v>3.04</c:v>
                </c:pt>
                <c:pt idx="239">
                  <c:v>3.06</c:v>
                </c:pt>
                <c:pt idx="240">
                  <c:v>3.03</c:v>
                </c:pt>
                <c:pt idx="241">
                  <c:v>3.02</c:v>
                </c:pt>
                <c:pt idx="242">
                  <c:v>2.95</c:v>
                </c:pt>
                <c:pt idx="243">
                  <c:v>3</c:v>
                </c:pt>
                <c:pt idx="244">
                  <c:v>3</c:v>
                </c:pt>
                <c:pt idx="245">
                  <c:v>2.97</c:v>
                </c:pt>
                <c:pt idx="246">
                  <c:v>2.9</c:v>
                </c:pt>
                <c:pt idx="247">
                  <c:v>2.9</c:v>
                </c:pt>
                <c:pt idx="248">
                  <c:v>2.9</c:v>
                </c:pt>
                <c:pt idx="249">
                  <c:v>2.89</c:v>
                </c:pt>
                <c:pt idx="250">
                  <c:v>2.82</c:v>
                </c:pt>
                <c:pt idx="251">
                  <c:v>2.95</c:v>
                </c:pt>
                <c:pt idx="25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C0-4EF4-B776-FD6A8A36B4FD}"/>
            </c:ext>
          </c:extLst>
        </c:ser>
        <c:ser>
          <c:idx val="1"/>
          <c:order val="1"/>
          <c:tx>
            <c:strRef>
              <c:f>'Stock Chart'!$C$1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'Stock Chart'!$A$2:$A$254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'Stock Chart'!$C$2:$C$254</c:f>
              <c:numCache>
                <c:formatCode>"$"#,##0.00</c:formatCode>
                <c:ptCount val="253"/>
                <c:pt idx="0">
                  <c:v>3.72</c:v>
                </c:pt>
                <c:pt idx="1">
                  <c:v>3.77</c:v>
                </c:pt>
                <c:pt idx="2">
                  <c:v>3.86</c:v>
                </c:pt>
                <c:pt idx="3">
                  <c:v>3.86</c:v>
                </c:pt>
                <c:pt idx="4">
                  <c:v>3.8650000000000002</c:v>
                </c:pt>
                <c:pt idx="5">
                  <c:v>3.83</c:v>
                </c:pt>
                <c:pt idx="6">
                  <c:v>3.75</c:v>
                </c:pt>
                <c:pt idx="7">
                  <c:v>3.67</c:v>
                </c:pt>
                <c:pt idx="8">
                  <c:v>3.6749999999999998</c:v>
                </c:pt>
                <c:pt idx="9">
                  <c:v>3.67</c:v>
                </c:pt>
                <c:pt idx="10">
                  <c:v>3.64</c:v>
                </c:pt>
                <c:pt idx="11">
                  <c:v>3.605</c:v>
                </c:pt>
                <c:pt idx="12">
                  <c:v>3.61</c:v>
                </c:pt>
                <c:pt idx="13">
                  <c:v>3.5449999999999999</c:v>
                </c:pt>
                <c:pt idx="14">
                  <c:v>3.43</c:v>
                </c:pt>
                <c:pt idx="15">
                  <c:v>3.16</c:v>
                </c:pt>
                <c:pt idx="16">
                  <c:v>3.05</c:v>
                </c:pt>
                <c:pt idx="17">
                  <c:v>2.99</c:v>
                </c:pt>
                <c:pt idx="18">
                  <c:v>2.97</c:v>
                </c:pt>
                <c:pt idx="19">
                  <c:v>2.99</c:v>
                </c:pt>
                <c:pt idx="20">
                  <c:v>3.05</c:v>
                </c:pt>
                <c:pt idx="21">
                  <c:v>3.03</c:v>
                </c:pt>
                <c:pt idx="22">
                  <c:v>3.09</c:v>
                </c:pt>
                <c:pt idx="23">
                  <c:v>3.15</c:v>
                </c:pt>
                <c:pt idx="24">
                  <c:v>3.0750000000000002</c:v>
                </c:pt>
                <c:pt idx="25">
                  <c:v>2.9249999999999998</c:v>
                </c:pt>
                <c:pt idx="26">
                  <c:v>2.93</c:v>
                </c:pt>
                <c:pt idx="27">
                  <c:v>2.92</c:v>
                </c:pt>
                <c:pt idx="28">
                  <c:v>2.86</c:v>
                </c:pt>
                <c:pt idx="29">
                  <c:v>2.94</c:v>
                </c:pt>
                <c:pt idx="30">
                  <c:v>2.95</c:v>
                </c:pt>
                <c:pt idx="31">
                  <c:v>2.9750000000000001</c:v>
                </c:pt>
                <c:pt idx="32">
                  <c:v>3</c:v>
                </c:pt>
                <c:pt idx="33">
                  <c:v>2.95</c:v>
                </c:pt>
                <c:pt idx="34">
                  <c:v>3</c:v>
                </c:pt>
                <c:pt idx="35">
                  <c:v>2.9849999999999999</c:v>
                </c:pt>
                <c:pt idx="36">
                  <c:v>3.07</c:v>
                </c:pt>
                <c:pt idx="37">
                  <c:v>3.0150000000000001</c:v>
                </c:pt>
                <c:pt idx="38">
                  <c:v>3.07</c:v>
                </c:pt>
                <c:pt idx="39">
                  <c:v>3.0449999999999999</c:v>
                </c:pt>
                <c:pt idx="40">
                  <c:v>3.11</c:v>
                </c:pt>
                <c:pt idx="41">
                  <c:v>3.125</c:v>
                </c:pt>
                <c:pt idx="42">
                  <c:v>3.1</c:v>
                </c:pt>
                <c:pt idx="43">
                  <c:v>3.11</c:v>
                </c:pt>
                <c:pt idx="44">
                  <c:v>3.16</c:v>
                </c:pt>
                <c:pt idx="45">
                  <c:v>3.12</c:v>
                </c:pt>
                <c:pt idx="46">
                  <c:v>3.17</c:v>
                </c:pt>
                <c:pt idx="47">
                  <c:v>3.0150000000000001</c:v>
                </c:pt>
                <c:pt idx="48">
                  <c:v>3.05</c:v>
                </c:pt>
                <c:pt idx="49">
                  <c:v>3.03</c:v>
                </c:pt>
                <c:pt idx="50">
                  <c:v>2.9950000000000001</c:v>
                </c:pt>
                <c:pt idx="51">
                  <c:v>3.03</c:v>
                </c:pt>
                <c:pt idx="52">
                  <c:v>3.03</c:v>
                </c:pt>
                <c:pt idx="53">
                  <c:v>3.11</c:v>
                </c:pt>
                <c:pt idx="54">
                  <c:v>3.21</c:v>
                </c:pt>
                <c:pt idx="55">
                  <c:v>3.22</c:v>
                </c:pt>
                <c:pt idx="56">
                  <c:v>3.25</c:v>
                </c:pt>
                <c:pt idx="57">
                  <c:v>3.2349999999999999</c:v>
                </c:pt>
                <c:pt idx="58">
                  <c:v>3.23</c:v>
                </c:pt>
                <c:pt idx="59">
                  <c:v>3.26</c:v>
                </c:pt>
                <c:pt idx="60">
                  <c:v>3.24</c:v>
                </c:pt>
                <c:pt idx="61">
                  <c:v>3.35</c:v>
                </c:pt>
                <c:pt idx="62">
                  <c:v>3.5</c:v>
                </c:pt>
                <c:pt idx="63">
                  <c:v>3.54</c:v>
                </c:pt>
                <c:pt idx="64">
                  <c:v>3.72</c:v>
                </c:pt>
                <c:pt idx="65">
                  <c:v>3.81</c:v>
                </c:pt>
                <c:pt idx="66">
                  <c:v>3.72</c:v>
                </c:pt>
                <c:pt idx="67">
                  <c:v>3.75</c:v>
                </c:pt>
                <c:pt idx="68">
                  <c:v>3.75</c:v>
                </c:pt>
                <c:pt idx="69">
                  <c:v>3.7</c:v>
                </c:pt>
                <c:pt idx="70">
                  <c:v>3.72</c:v>
                </c:pt>
                <c:pt idx="71">
                  <c:v>3.7650000000000001</c:v>
                </c:pt>
                <c:pt idx="72">
                  <c:v>3.58</c:v>
                </c:pt>
                <c:pt idx="73">
                  <c:v>3.6150000000000002</c:v>
                </c:pt>
                <c:pt idx="74">
                  <c:v>3.6150000000000002</c:v>
                </c:pt>
                <c:pt idx="75">
                  <c:v>3.7850000000000001</c:v>
                </c:pt>
                <c:pt idx="76">
                  <c:v>3.8</c:v>
                </c:pt>
                <c:pt idx="77">
                  <c:v>3.71</c:v>
                </c:pt>
                <c:pt idx="78">
                  <c:v>3.835</c:v>
                </c:pt>
                <c:pt idx="79">
                  <c:v>3.78</c:v>
                </c:pt>
                <c:pt idx="80">
                  <c:v>3.76</c:v>
                </c:pt>
                <c:pt idx="81">
                  <c:v>3.65</c:v>
                </c:pt>
                <c:pt idx="82">
                  <c:v>3.68</c:v>
                </c:pt>
                <c:pt idx="83">
                  <c:v>3.77</c:v>
                </c:pt>
                <c:pt idx="84">
                  <c:v>3.75</c:v>
                </c:pt>
                <c:pt idx="85">
                  <c:v>3.75</c:v>
                </c:pt>
                <c:pt idx="86">
                  <c:v>3.77</c:v>
                </c:pt>
                <c:pt idx="87">
                  <c:v>3.77</c:v>
                </c:pt>
                <c:pt idx="88">
                  <c:v>3.68</c:v>
                </c:pt>
                <c:pt idx="89">
                  <c:v>3.7349999999999999</c:v>
                </c:pt>
                <c:pt idx="90">
                  <c:v>3.74</c:v>
                </c:pt>
                <c:pt idx="91">
                  <c:v>3.78</c:v>
                </c:pt>
                <c:pt idx="92">
                  <c:v>3.8149999999999999</c:v>
                </c:pt>
                <c:pt idx="93">
                  <c:v>3.855</c:v>
                </c:pt>
                <c:pt idx="94">
                  <c:v>3.9449999999999998</c:v>
                </c:pt>
                <c:pt idx="95">
                  <c:v>3.74</c:v>
                </c:pt>
                <c:pt idx="96">
                  <c:v>3.73</c:v>
                </c:pt>
                <c:pt idx="97">
                  <c:v>3.57</c:v>
                </c:pt>
                <c:pt idx="98">
                  <c:v>3.5449999999999999</c:v>
                </c:pt>
                <c:pt idx="99">
                  <c:v>3.56</c:v>
                </c:pt>
                <c:pt idx="100">
                  <c:v>3.79</c:v>
                </c:pt>
                <c:pt idx="101">
                  <c:v>3.74</c:v>
                </c:pt>
                <c:pt idx="102">
                  <c:v>3.76</c:v>
                </c:pt>
                <c:pt idx="103">
                  <c:v>3.75</c:v>
                </c:pt>
                <c:pt idx="104">
                  <c:v>3.86</c:v>
                </c:pt>
                <c:pt idx="105">
                  <c:v>3.85</c:v>
                </c:pt>
                <c:pt idx="106">
                  <c:v>3.84</c:v>
                </c:pt>
                <c:pt idx="107">
                  <c:v>3.8149999999999999</c:v>
                </c:pt>
                <c:pt idx="108">
                  <c:v>3.78</c:v>
                </c:pt>
                <c:pt idx="109">
                  <c:v>3.74</c:v>
                </c:pt>
                <c:pt idx="110">
                  <c:v>3.77</c:v>
                </c:pt>
                <c:pt idx="111">
                  <c:v>3.68</c:v>
                </c:pt>
                <c:pt idx="112">
                  <c:v>3.65</c:v>
                </c:pt>
                <c:pt idx="113">
                  <c:v>3.72</c:v>
                </c:pt>
                <c:pt idx="114">
                  <c:v>3.74</c:v>
                </c:pt>
                <c:pt idx="115">
                  <c:v>3.62</c:v>
                </c:pt>
                <c:pt idx="116">
                  <c:v>3.77</c:v>
                </c:pt>
                <c:pt idx="117">
                  <c:v>3.59</c:v>
                </c:pt>
                <c:pt idx="118">
                  <c:v>3.49</c:v>
                </c:pt>
                <c:pt idx="119">
                  <c:v>3.43</c:v>
                </c:pt>
                <c:pt idx="120">
                  <c:v>3.4550000000000001</c:v>
                </c:pt>
                <c:pt idx="121">
                  <c:v>3.43</c:v>
                </c:pt>
                <c:pt idx="122">
                  <c:v>3.415</c:v>
                </c:pt>
                <c:pt idx="123">
                  <c:v>3.37</c:v>
                </c:pt>
                <c:pt idx="124">
                  <c:v>3.35</c:v>
                </c:pt>
                <c:pt idx="125">
                  <c:v>3.42</c:v>
                </c:pt>
                <c:pt idx="126">
                  <c:v>3.41</c:v>
                </c:pt>
                <c:pt idx="127">
                  <c:v>3.45</c:v>
                </c:pt>
                <c:pt idx="128">
                  <c:v>3.41</c:v>
                </c:pt>
                <c:pt idx="129">
                  <c:v>3.43</c:v>
                </c:pt>
                <c:pt idx="130">
                  <c:v>3.49</c:v>
                </c:pt>
                <c:pt idx="131">
                  <c:v>3.49</c:v>
                </c:pt>
                <c:pt idx="132">
                  <c:v>3.47</c:v>
                </c:pt>
                <c:pt idx="133">
                  <c:v>3.48</c:v>
                </c:pt>
                <c:pt idx="134">
                  <c:v>3.44</c:v>
                </c:pt>
                <c:pt idx="135">
                  <c:v>3.39</c:v>
                </c:pt>
                <c:pt idx="136">
                  <c:v>3.41</c:v>
                </c:pt>
                <c:pt idx="137">
                  <c:v>3.415</c:v>
                </c:pt>
                <c:pt idx="138">
                  <c:v>3.46</c:v>
                </c:pt>
                <c:pt idx="139">
                  <c:v>3.45</c:v>
                </c:pt>
                <c:pt idx="140">
                  <c:v>3.5150000000000001</c:v>
                </c:pt>
                <c:pt idx="141">
                  <c:v>3.52</c:v>
                </c:pt>
                <c:pt idx="142">
                  <c:v>3.54</c:v>
                </c:pt>
                <c:pt idx="143">
                  <c:v>3.64</c:v>
                </c:pt>
                <c:pt idx="144">
                  <c:v>3.6</c:v>
                </c:pt>
                <c:pt idx="145">
                  <c:v>3.57</c:v>
                </c:pt>
                <c:pt idx="146">
                  <c:v>3.55</c:v>
                </c:pt>
                <c:pt idx="147">
                  <c:v>3.51</c:v>
                </c:pt>
                <c:pt idx="148">
                  <c:v>3.375</c:v>
                </c:pt>
                <c:pt idx="149">
                  <c:v>3.38</c:v>
                </c:pt>
                <c:pt idx="150">
                  <c:v>3.4049999999999998</c:v>
                </c:pt>
                <c:pt idx="151">
                  <c:v>3.335</c:v>
                </c:pt>
                <c:pt idx="152">
                  <c:v>3.39</c:v>
                </c:pt>
                <c:pt idx="153">
                  <c:v>3.52</c:v>
                </c:pt>
                <c:pt idx="154">
                  <c:v>3.5</c:v>
                </c:pt>
                <c:pt idx="155">
                  <c:v>3.54</c:v>
                </c:pt>
                <c:pt idx="156">
                  <c:v>3.51</c:v>
                </c:pt>
                <c:pt idx="157">
                  <c:v>3.46</c:v>
                </c:pt>
                <c:pt idx="158">
                  <c:v>3.4350000000000001</c:v>
                </c:pt>
                <c:pt idx="159">
                  <c:v>3.59</c:v>
                </c:pt>
                <c:pt idx="160">
                  <c:v>3.665</c:v>
                </c:pt>
                <c:pt idx="161">
                  <c:v>3.72</c:v>
                </c:pt>
                <c:pt idx="162">
                  <c:v>3.69</c:v>
                </c:pt>
                <c:pt idx="163">
                  <c:v>3.7</c:v>
                </c:pt>
                <c:pt idx="164">
                  <c:v>3.71</c:v>
                </c:pt>
                <c:pt idx="165">
                  <c:v>3.78</c:v>
                </c:pt>
                <c:pt idx="166">
                  <c:v>3.74</c:v>
                </c:pt>
                <c:pt idx="167">
                  <c:v>3.66</c:v>
                </c:pt>
                <c:pt idx="168">
                  <c:v>3.67</c:v>
                </c:pt>
                <c:pt idx="169">
                  <c:v>3.7</c:v>
                </c:pt>
                <c:pt idx="170">
                  <c:v>3.62</c:v>
                </c:pt>
                <c:pt idx="171">
                  <c:v>3.63</c:v>
                </c:pt>
                <c:pt idx="172">
                  <c:v>3.6150000000000002</c:v>
                </c:pt>
                <c:pt idx="173">
                  <c:v>3.55</c:v>
                </c:pt>
                <c:pt idx="174">
                  <c:v>3.66</c:v>
                </c:pt>
                <c:pt idx="175">
                  <c:v>3.65</c:v>
                </c:pt>
                <c:pt idx="176">
                  <c:v>3.64</c:v>
                </c:pt>
                <c:pt idx="177">
                  <c:v>3.61</c:v>
                </c:pt>
                <c:pt idx="178">
                  <c:v>3.65</c:v>
                </c:pt>
                <c:pt idx="179">
                  <c:v>3.61</c:v>
                </c:pt>
                <c:pt idx="180">
                  <c:v>3.57</c:v>
                </c:pt>
                <c:pt idx="181">
                  <c:v>3.63</c:v>
                </c:pt>
                <c:pt idx="182">
                  <c:v>3.62</c:v>
                </c:pt>
                <c:pt idx="183">
                  <c:v>3.65</c:v>
                </c:pt>
                <c:pt idx="184">
                  <c:v>3.66</c:v>
                </c:pt>
                <c:pt idx="185">
                  <c:v>3.54</c:v>
                </c:pt>
                <c:pt idx="186">
                  <c:v>3.5</c:v>
                </c:pt>
                <c:pt idx="187">
                  <c:v>3.54</c:v>
                </c:pt>
                <c:pt idx="188">
                  <c:v>3.585</c:v>
                </c:pt>
                <c:pt idx="189">
                  <c:v>3.53</c:v>
                </c:pt>
                <c:pt idx="190">
                  <c:v>3.43</c:v>
                </c:pt>
                <c:pt idx="191">
                  <c:v>3.33</c:v>
                </c:pt>
                <c:pt idx="192">
                  <c:v>3.27</c:v>
                </c:pt>
                <c:pt idx="193">
                  <c:v>3.23</c:v>
                </c:pt>
                <c:pt idx="194">
                  <c:v>3.06</c:v>
                </c:pt>
                <c:pt idx="195">
                  <c:v>2.91</c:v>
                </c:pt>
                <c:pt idx="196">
                  <c:v>2.64</c:v>
                </c:pt>
                <c:pt idx="197">
                  <c:v>2.7050000000000001</c:v>
                </c:pt>
                <c:pt idx="198">
                  <c:v>2.58</c:v>
                </c:pt>
                <c:pt idx="199">
                  <c:v>2.85</c:v>
                </c:pt>
                <c:pt idx="200">
                  <c:v>2.74</c:v>
                </c:pt>
                <c:pt idx="201">
                  <c:v>2.82</c:v>
                </c:pt>
                <c:pt idx="202">
                  <c:v>2.83</c:v>
                </c:pt>
                <c:pt idx="203">
                  <c:v>2.76</c:v>
                </c:pt>
                <c:pt idx="204">
                  <c:v>2.72</c:v>
                </c:pt>
                <c:pt idx="205">
                  <c:v>2.67</c:v>
                </c:pt>
                <c:pt idx="206">
                  <c:v>2.72</c:v>
                </c:pt>
                <c:pt idx="207">
                  <c:v>2.7349999999999999</c:v>
                </c:pt>
                <c:pt idx="208">
                  <c:v>2.7349999999999999</c:v>
                </c:pt>
                <c:pt idx="209">
                  <c:v>2.81</c:v>
                </c:pt>
                <c:pt idx="210">
                  <c:v>2.8</c:v>
                </c:pt>
                <c:pt idx="211">
                  <c:v>2.7650000000000001</c:v>
                </c:pt>
                <c:pt idx="212">
                  <c:v>2.87</c:v>
                </c:pt>
                <c:pt idx="213">
                  <c:v>2.85</c:v>
                </c:pt>
                <c:pt idx="214">
                  <c:v>2.84</c:v>
                </c:pt>
                <c:pt idx="215">
                  <c:v>2.91</c:v>
                </c:pt>
                <c:pt idx="216">
                  <c:v>2.83</c:v>
                </c:pt>
                <c:pt idx="217">
                  <c:v>2.83</c:v>
                </c:pt>
                <c:pt idx="218">
                  <c:v>2.89</c:v>
                </c:pt>
                <c:pt idx="219">
                  <c:v>3.05</c:v>
                </c:pt>
                <c:pt idx="220">
                  <c:v>3.05</c:v>
                </c:pt>
                <c:pt idx="221">
                  <c:v>2.98</c:v>
                </c:pt>
                <c:pt idx="222">
                  <c:v>3.0049999999999999</c:v>
                </c:pt>
                <c:pt idx="223">
                  <c:v>2.97</c:v>
                </c:pt>
                <c:pt idx="224">
                  <c:v>3.07</c:v>
                </c:pt>
                <c:pt idx="225">
                  <c:v>3.12</c:v>
                </c:pt>
                <c:pt idx="226">
                  <c:v>3.1</c:v>
                </c:pt>
                <c:pt idx="227">
                  <c:v>3.08</c:v>
                </c:pt>
                <c:pt idx="228">
                  <c:v>3.07</c:v>
                </c:pt>
                <c:pt idx="229">
                  <c:v>3.1</c:v>
                </c:pt>
                <c:pt idx="230">
                  <c:v>3.08</c:v>
                </c:pt>
                <c:pt idx="231">
                  <c:v>3.09</c:v>
                </c:pt>
                <c:pt idx="232">
                  <c:v>3.06</c:v>
                </c:pt>
                <c:pt idx="233">
                  <c:v>3.03</c:v>
                </c:pt>
                <c:pt idx="234">
                  <c:v>2.99</c:v>
                </c:pt>
                <c:pt idx="235">
                  <c:v>3.04</c:v>
                </c:pt>
                <c:pt idx="236">
                  <c:v>3.0649999999999999</c:v>
                </c:pt>
                <c:pt idx="237">
                  <c:v>3.06</c:v>
                </c:pt>
                <c:pt idx="238">
                  <c:v>3.09</c:v>
                </c:pt>
                <c:pt idx="239">
                  <c:v>3.11</c:v>
                </c:pt>
                <c:pt idx="240">
                  <c:v>3.0449999999999999</c:v>
                </c:pt>
                <c:pt idx="241">
                  <c:v>3.03</c:v>
                </c:pt>
                <c:pt idx="242">
                  <c:v>3.02</c:v>
                </c:pt>
                <c:pt idx="243">
                  <c:v>3.05</c:v>
                </c:pt>
                <c:pt idx="244">
                  <c:v>3.01</c:v>
                </c:pt>
                <c:pt idx="245">
                  <c:v>2.97</c:v>
                </c:pt>
                <c:pt idx="246">
                  <c:v>2.915</c:v>
                </c:pt>
                <c:pt idx="247">
                  <c:v>2.9</c:v>
                </c:pt>
                <c:pt idx="248">
                  <c:v>2.9249999999999998</c:v>
                </c:pt>
                <c:pt idx="249">
                  <c:v>2.91</c:v>
                </c:pt>
                <c:pt idx="250">
                  <c:v>2.9</c:v>
                </c:pt>
                <c:pt idx="251">
                  <c:v>3.01</c:v>
                </c:pt>
                <c:pt idx="252">
                  <c:v>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0-4EF4-B776-FD6A8A36B4FD}"/>
            </c:ext>
          </c:extLst>
        </c:ser>
        <c:ser>
          <c:idx val="2"/>
          <c:order val="2"/>
          <c:tx>
            <c:strRef>
              <c:f>'Stock Chart'!$D$1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'Stock Chart'!$A$2:$A$254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'Stock Chart'!$D$2:$D$254</c:f>
              <c:numCache>
                <c:formatCode>"$"#,##0.00</c:formatCode>
                <c:ptCount val="253"/>
                <c:pt idx="0">
                  <c:v>3.64</c:v>
                </c:pt>
                <c:pt idx="1">
                  <c:v>3.6949999999999998</c:v>
                </c:pt>
                <c:pt idx="2">
                  <c:v>3.77</c:v>
                </c:pt>
                <c:pt idx="3">
                  <c:v>3.79</c:v>
                </c:pt>
                <c:pt idx="4">
                  <c:v>3.7949999999999999</c:v>
                </c:pt>
                <c:pt idx="5">
                  <c:v>3.68</c:v>
                </c:pt>
                <c:pt idx="6">
                  <c:v>3.67</c:v>
                </c:pt>
                <c:pt idx="7">
                  <c:v>3.625</c:v>
                </c:pt>
                <c:pt idx="8">
                  <c:v>3.59</c:v>
                </c:pt>
                <c:pt idx="9">
                  <c:v>3.61</c:v>
                </c:pt>
                <c:pt idx="10">
                  <c:v>3.59</c:v>
                </c:pt>
                <c:pt idx="11">
                  <c:v>3.5550000000000002</c:v>
                </c:pt>
                <c:pt idx="12">
                  <c:v>3.54</c:v>
                </c:pt>
                <c:pt idx="13">
                  <c:v>3.47</c:v>
                </c:pt>
                <c:pt idx="14">
                  <c:v>3.38</c:v>
                </c:pt>
                <c:pt idx="15">
                  <c:v>2.9350000000000001</c:v>
                </c:pt>
                <c:pt idx="16">
                  <c:v>2.94</c:v>
                </c:pt>
                <c:pt idx="17">
                  <c:v>2.91</c:v>
                </c:pt>
                <c:pt idx="18">
                  <c:v>2.89</c:v>
                </c:pt>
                <c:pt idx="19">
                  <c:v>2.94</c:v>
                </c:pt>
                <c:pt idx="20">
                  <c:v>3.01</c:v>
                </c:pt>
                <c:pt idx="21">
                  <c:v>2.99</c:v>
                </c:pt>
                <c:pt idx="22">
                  <c:v>3</c:v>
                </c:pt>
                <c:pt idx="23">
                  <c:v>3.08</c:v>
                </c:pt>
                <c:pt idx="24">
                  <c:v>2.9950000000000001</c:v>
                </c:pt>
                <c:pt idx="25">
                  <c:v>2.84</c:v>
                </c:pt>
                <c:pt idx="26">
                  <c:v>2.86</c:v>
                </c:pt>
                <c:pt idx="27">
                  <c:v>2.84</c:v>
                </c:pt>
                <c:pt idx="28">
                  <c:v>2.79</c:v>
                </c:pt>
                <c:pt idx="29">
                  <c:v>2.84</c:v>
                </c:pt>
                <c:pt idx="30">
                  <c:v>2.91</c:v>
                </c:pt>
                <c:pt idx="31">
                  <c:v>2.93</c:v>
                </c:pt>
                <c:pt idx="32">
                  <c:v>2.89</c:v>
                </c:pt>
                <c:pt idx="33">
                  <c:v>2.9</c:v>
                </c:pt>
                <c:pt idx="34">
                  <c:v>2.94</c:v>
                </c:pt>
                <c:pt idx="35">
                  <c:v>2.9249999999999998</c:v>
                </c:pt>
                <c:pt idx="36">
                  <c:v>3.01</c:v>
                </c:pt>
                <c:pt idx="37">
                  <c:v>2.94</c:v>
                </c:pt>
                <c:pt idx="38">
                  <c:v>3.01</c:v>
                </c:pt>
                <c:pt idx="39">
                  <c:v>2.96</c:v>
                </c:pt>
                <c:pt idx="40">
                  <c:v>3.04</c:v>
                </c:pt>
                <c:pt idx="41">
                  <c:v>3.09</c:v>
                </c:pt>
                <c:pt idx="42">
                  <c:v>3.0550000000000002</c:v>
                </c:pt>
                <c:pt idx="43">
                  <c:v>3.02</c:v>
                </c:pt>
                <c:pt idx="44">
                  <c:v>3.09</c:v>
                </c:pt>
                <c:pt idx="45">
                  <c:v>3.06</c:v>
                </c:pt>
                <c:pt idx="46">
                  <c:v>3.08</c:v>
                </c:pt>
                <c:pt idx="47">
                  <c:v>2.98</c:v>
                </c:pt>
                <c:pt idx="48">
                  <c:v>2.9950000000000001</c:v>
                </c:pt>
                <c:pt idx="49">
                  <c:v>2.95</c:v>
                </c:pt>
                <c:pt idx="50">
                  <c:v>2.91</c:v>
                </c:pt>
                <c:pt idx="51">
                  <c:v>2.97</c:v>
                </c:pt>
                <c:pt idx="52">
                  <c:v>2.95</c:v>
                </c:pt>
                <c:pt idx="53">
                  <c:v>3.01</c:v>
                </c:pt>
                <c:pt idx="54">
                  <c:v>3.16</c:v>
                </c:pt>
                <c:pt idx="55">
                  <c:v>3.145</c:v>
                </c:pt>
                <c:pt idx="56">
                  <c:v>3.18</c:v>
                </c:pt>
                <c:pt idx="57">
                  <c:v>3.165</c:v>
                </c:pt>
                <c:pt idx="58">
                  <c:v>3.13</c:v>
                </c:pt>
                <c:pt idx="59">
                  <c:v>3.19</c:v>
                </c:pt>
                <c:pt idx="60">
                  <c:v>3.16</c:v>
                </c:pt>
                <c:pt idx="61">
                  <c:v>3.2250000000000001</c:v>
                </c:pt>
                <c:pt idx="62">
                  <c:v>3.4</c:v>
                </c:pt>
                <c:pt idx="63">
                  <c:v>3.42</c:v>
                </c:pt>
                <c:pt idx="64">
                  <c:v>3.61</c:v>
                </c:pt>
                <c:pt idx="65">
                  <c:v>3.73</c:v>
                </c:pt>
                <c:pt idx="66">
                  <c:v>3.64</c:v>
                </c:pt>
                <c:pt idx="67">
                  <c:v>3.6549999999999998</c:v>
                </c:pt>
                <c:pt idx="68">
                  <c:v>3.69</c:v>
                </c:pt>
                <c:pt idx="69">
                  <c:v>3.63</c:v>
                </c:pt>
                <c:pt idx="70">
                  <c:v>3.66</c:v>
                </c:pt>
                <c:pt idx="71">
                  <c:v>3.55</c:v>
                </c:pt>
                <c:pt idx="72">
                  <c:v>3.4950000000000001</c:v>
                </c:pt>
                <c:pt idx="73">
                  <c:v>3.5449999999999999</c:v>
                </c:pt>
                <c:pt idx="74">
                  <c:v>3.5750000000000002</c:v>
                </c:pt>
                <c:pt idx="75">
                  <c:v>3.61</c:v>
                </c:pt>
                <c:pt idx="76">
                  <c:v>3.68</c:v>
                </c:pt>
                <c:pt idx="77">
                  <c:v>3.63</c:v>
                </c:pt>
                <c:pt idx="78">
                  <c:v>3.76</c:v>
                </c:pt>
                <c:pt idx="79">
                  <c:v>3.68</c:v>
                </c:pt>
                <c:pt idx="80">
                  <c:v>3.6349999999999998</c:v>
                </c:pt>
                <c:pt idx="81">
                  <c:v>3.5950000000000002</c:v>
                </c:pt>
                <c:pt idx="82">
                  <c:v>3.6349999999999998</c:v>
                </c:pt>
                <c:pt idx="83">
                  <c:v>3.62</c:v>
                </c:pt>
                <c:pt idx="84">
                  <c:v>3.68</c:v>
                </c:pt>
                <c:pt idx="85">
                  <c:v>3.69</c:v>
                </c:pt>
                <c:pt idx="86">
                  <c:v>3.7</c:v>
                </c:pt>
                <c:pt idx="87">
                  <c:v>3.64</c:v>
                </c:pt>
                <c:pt idx="88">
                  <c:v>3.59</c:v>
                </c:pt>
                <c:pt idx="89">
                  <c:v>3.6</c:v>
                </c:pt>
                <c:pt idx="90">
                  <c:v>3.67</c:v>
                </c:pt>
                <c:pt idx="91">
                  <c:v>3.67</c:v>
                </c:pt>
                <c:pt idx="92">
                  <c:v>3.72</c:v>
                </c:pt>
                <c:pt idx="93">
                  <c:v>3.7349999999999999</c:v>
                </c:pt>
                <c:pt idx="94">
                  <c:v>3.8</c:v>
                </c:pt>
                <c:pt idx="95">
                  <c:v>3.68</c:v>
                </c:pt>
                <c:pt idx="96">
                  <c:v>3.6</c:v>
                </c:pt>
                <c:pt idx="97">
                  <c:v>3.5</c:v>
                </c:pt>
                <c:pt idx="98">
                  <c:v>3.49</c:v>
                </c:pt>
                <c:pt idx="99">
                  <c:v>3.4950000000000001</c:v>
                </c:pt>
                <c:pt idx="100">
                  <c:v>3.68</c:v>
                </c:pt>
                <c:pt idx="101">
                  <c:v>3.67</c:v>
                </c:pt>
                <c:pt idx="102">
                  <c:v>3.7</c:v>
                </c:pt>
                <c:pt idx="103">
                  <c:v>3.7</c:v>
                </c:pt>
                <c:pt idx="104">
                  <c:v>3.75</c:v>
                </c:pt>
                <c:pt idx="105">
                  <c:v>3.74</c:v>
                </c:pt>
                <c:pt idx="106">
                  <c:v>3.77</c:v>
                </c:pt>
                <c:pt idx="107">
                  <c:v>3.74</c:v>
                </c:pt>
                <c:pt idx="108">
                  <c:v>3.74</c:v>
                </c:pt>
                <c:pt idx="109">
                  <c:v>3.67</c:v>
                </c:pt>
                <c:pt idx="110">
                  <c:v>3.68</c:v>
                </c:pt>
                <c:pt idx="111">
                  <c:v>3.6</c:v>
                </c:pt>
                <c:pt idx="112">
                  <c:v>3.56</c:v>
                </c:pt>
                <c:pt idx="113">
                  <c:v>3.62</c:v>
                </c:pt>
                <c:pt idx="114">
                  <c:v>3.62</c:v>
                </c:pt>
                <c:pt idx="115">
                  <c:v>3.54</c:v>
                </c:pt>
                <c:pt idx="116">
                  <c:v>3.64</c:v>
                </c:pt>
                <c:pt idx="117">
                  <c:v>3.4849999999999999</c:v>
                </c:pt>
                <c:pt idx="118">
                  <c:v>3.43</c:v>
                </c:pt>
                <c:pt idx="119">
                  <c:v>3.35</c:v>
                </c:pt>
                <c:pt idx="120">
                  <c:v>3.35</c:v>
                </c:pt>
                <c:pt idx="121">
                  <c:v>3.33</c:v>
                </c:pt>
                <c:pt idx="122">
                  <c:v>3.32</c:v>
                </c:pt>
                <c:pt idx="123">
                  <c:v>3.3050000000000002</c:v>
                </c:pt>
                <c:pt idx="124">
                  <c:v>3.31</c:v>
                </c:pt>
                <c:pt idx="125">
                  <c:v>3.3450000000000002</c:v>
                </c:pt>
                <c:pt idx="126">
                  <c:v>3.375</c:v>
                </c:pt>
                <c:pt idx="127">
                  <c:v>3.39</c:v>
                </c:pt>
                <c:pt idx="128">
                  <c:v>3.37</c:v>
                </c:pt>
                <c:pt idx="129">
                  <c:v>3.35</c:v>
                </c:pt>
                <c:pt idx="130">
                  <c:v>3.395</c:v>
                </c:pt>
                <c:pt idx="131">
                  <c:v>3.43</c:v>
                </c:pt>
                <c:pt idx="132">
                  <c:v>3.37</c:v>
                </c:pt>
                <c:pt idx="133">
                  <c:v>3.38</c:v>
                </c:pt>
                <c:pt idx="134">
                  <c:v>3.38</c:v>
                </c:pt>
                <c:pt idx="135">
                  <c:v>3.35</c:v>
                </c:pt>
                <c:pt idx="136">
                  <c:v>3.36</c:v>
                </c:pt>
                <c:pt idx="137">
                  <c:v>3.36</c:v>
                </c:pt>
                <c:pt idx="138">
                  <c:v>3.4</c:v>
                </c:pt>
                <c:pt idx="139">
                  <c:v>3.395</c:v>
                </c:pt>
                <c:pt idx="140">
                  <c:v>3.44</c:v>
                </c:pt>
                <c:pt idx="141">
                  <c:v>3.45</c:v>
                </c:pt>
                <c:pt idx="142">
                  <c:v>3.48</c:v>
                </c:pt>
                <c:pt idx="143">
                  <c:v>3.53</c:v>
                </c:pt>
                <c:pt idx="144">
                  <c:v>3.5449999999999999</c:v>
                </c:pt>
                <c:pt idx="145">
                  <c:v>3.49</c:v>
                </c:pt>
                <c:pt idx="146">
                  <c:v>3.5</c:v>
                </c:pt>
                <c:pt idx="147">
                  <c:v>3.3650000000000002</c:v>
                </c:pt>
                <c:pt idx="148">
                  <c:v>3.29</c:v>
                </c:pt>
                <c:pt idx="149">
                  <c:v>3.31</c:v>
                </c:pt>
                <c:pt idx="150">
                  <c:v>3.35</c:v>
                </c:pt>
                <c:pt idx="151">
                  <c:v>3.2549999999999999</c:v>
                </c:pt>
                <c:pt idx="152">
                  <c:v>3.32</c:v>
                </c:pt>
                <c:pt idx="153">
                  <c:v>3.4</c:v>
                </c:pt>
                <c:pt idx="154">
                  <c:v>3.45</c:v>
                </c:pt>
                <c:pt idx="155">
                  <c:v>3.4350000000000001</c:v>
                </c:pt>
                <c:pt idx="156">
                  <c:v>3.43</c:v>
                </c:pt>
                <c:pt idx="157">
                  <c:v>3.38</c:v>
                </c:pt>
                <c:pt idx="158">
                  <c:v>3.38</c:v>
                </c:pt>
                <c:pt idx="159">
                  <c:v>3.4049999999999998</c:v>
                </c:pt>
                <c:pt idx="160">
                  <c:v>3.5649999999999999</c:v>
                </c:pt>
                <c:pt idx="161">
                  <c:v>3.65</c:v>
                </c:pt>
                <c:pt idx="162">
                  <c:v>3.64</c:v>
                </c:pt>
                <c:pt idx="163">
                  <c:v>3.625</c:v>
                </c:pt>
                <c:pt idx="164">
                  <c:v>3.61</c:v>
                </c:pt>
                <c:pt idx="165">
                  <c:v>3.72</c:v>
                </c:pt>
                <c:pt idx="166">
                  <c:v>3.63</c:v>
                </c:pt>
                <c:pt idx="167">
                  <c:v>3.61</c:v>
                </c:pt>
                <c:pt idx="168">
                  <c:v>3.5750000000000002</c:v>
                </c:pt>
                <c:pt idx="169">
                  <c:v>3.6</c:v>
                </c:pt>
                <c:pt idx="170">
                  <c:v>3.5</c:v>
                </c:pt>
                <c:pt idx="171">
                  <c:v>3.4950000000000001</c:v>
                </c:pt>
                <c:pt idx="172">
                  <c:v>3.51</c:v>
                </c:pt>
                <c:pt idx="173">
                  <c:v>3.47</c:v>
                </c:pt>
                <c:pt idx="174">
                  <c:v>3.55</c:v>
                </c:pt>
                <c:pt idx="175">
                  <c:v>3.58</c:v>
                </c:pt>
                <c:pt idx="176">
                  <c:v>3.59</c:v>
                </c:pt>
                <c:pt idx="177">
                  <c:v>3.5150000000000001</c:v>
                </c:pt>
                <c:pt idx="178">
                  <c:v>3.54</c:v>
                </c:pt>
                <c:pt idx="179">
                  <c:v>3.5</c:v>
                </c:pt>
                <c:pt idx="180">
                  <c:v>3.51</c:v>
                </c:pt>
                <c:pt idx="181">
                  <c:v>3.54</c:v>
                </c:pt>
                <c:pt idx="182">
                  <c:v>3.55</c:v>
                </c:pt>
                <c:pt idx="183">
                  <c:v>3.5649999999999999</c:v>
                </c:pt>
                <c:pt idx="184">
                  <c:v>3.57</c:v>
                </c:pt>
                <c:pt idx="185">
                  <c:v>3.44</c:v>
                </c:pt>
                <c:pt idx="186">
                  <c:v>3.41</c:v>
                </c:pt>
                <c:pt idx="187">
                  <c:v>3.47</c:v>
                </c:pt>
                <c:pt idx="188">
                  <c:v>3.51</c:v>
                </c:pt>
                <c:pt idx="189">
                  <c:v>3.45</c:v>
                </c:pt>
                <c:pt idx="190">
                  <c:v>3.37</c:v>
                </c:pt>
                <c:pt idx="191">
                  <c:v>3.22</c:v>
                </c:pt>
                <c:pt idx="192">
                  <c:v>3.2</c:v>
                </c:pt>
                <c:pt idx="193">
                  <c:v>3.1</c:v>
                </c:pt>
                <c:pt idx="194">
                  <c:v>2.96</c:v>
                </c:pt>
                <c:pt idx="195">
                  <c:v>2.78</c:v>
                </c:pt>
                <c:pt idx="196">
                  <c:v>2.4700000000000002</c:v>
                </c:pt>
                <c:pt idx="197">
                  <c:v>2.61</c:v>
                </c:pt>
                <c:pt idx="198">
                  <c:v>2.5099999999999998</c:v>
                </c:pt>
                <c:pt idx="199">
                  <c:v>2.7149999999999999</c:v>
                </c:pt>
                <c:pt idx="200">
                  <c:v>2.65</c:v>
                </c:pt>
                <c:pt idx="201">
                  <c:v>2.75</c:v>
                </c:pt>
                <c:pt idx="202">
                  <c:v>2.77</c:v>
                </c:pt>
                <c:pt idx="203">
                  <c:v>2.65</c:v>
                </c:pt>
                <c:pt idx="204">
                  <c:v>2.64</c:v>
                </c:pt>
                <c:pt idx="205">
                  <c:v>2.58</c:v>
                </c:pt>
                <c:pt idx="206">
                  <c:v>2.62</c:v>
                </c:pt>
                <c:pt idx="207">
                  <c:v>2.63</c:v>
                </c:pt>
                <c:pt idx="208">
                  <c:v>2.68</c:v>
                </c:pt>
                <c:pt idx="209">
                  <c:v>2.71</c:v>
                </c:pt>
                <c:pt idx="210">
                  <c:v>2.7149999999999999</c:v>
                </c:pt>
                <c:pt idx="211">
                  <c:v>2.71</c:v>
                </c:pt>
                <c:pt idx="212">
                  <c:v>2.72</c:v>
                </c:pt>
                <c:pt idx="213">
                  <c:v>2.79</c:v>
                </c:pt>
                <c:pt idx="214">
                  <c:v>2.7949999999999999</c:v>
                </c:pt>
                <c:pt idx="215">
                  <c:v>2.82</c:v>
                </c:pt>
                <c:pt idx="216">
                  <c:v>2.77</c:v>
                </c:pt>
                <c:pt idx="217">
                  <c:v>2.78</c:v>
                </c:pt>
                <c:pt idx="218">
                  <c:v>2.81</c:v>
                </c:pt>
                <c:pt idx="219">
                  <c:v>2.97</c:v>
                </c:pt>
                <c:pt idx="220">
                  <c:v>2.97</c:v>
                </c:pt>
                <c:pt idx="221">
                  <c:v>2.94</c:v>
                </c:pt>
                <c:pt idx="222">
                  <c:v>2.93</c:v>
                </c:pt>
                <c:pt idx="223">
                  <c:v>2.91</c:v>
                </c:pt>
                <c:pt idx="224">
                  <c:v>2.97</c:v>
                </c:pt>
                <c:pt idx="225">
                  <c:v>3.0249999999999999</c:v>
                </c:pt>
                <c:pt idx="226">
                  <c:v>3.03</c:v>
                </c:pt>
                <c:pt idx="227">
                  <c:v>3.02</c:v>
                </c:pt>
                <c:pt idx="228">
                  <c:v>3.02</c:v>
                </c:pt>
                <c:pt idx="229">
                  <c:v>3.0350000000000001</c:v>
                </c:pt>
                <c:pt idx="230">
                  <c:v>3.04</c:v>
                </c:pt>
                <c:pt idx="231">
                  <c:v>3.0249999999999999</c:v>
                </c:pt>
                <c:pt idx="232">
                  <c:v>2.98</c:v>
                </c:pt>
                <c:pt idx="233">
                  <c:v>2.93</c:v>
                </c:pt>
                <c:pt idx="234">
                  <c:v>2.93</c:v>
                </c:pt>
                <c:pt idx="235">
                  <c:v>2.98</c:v>
                </c:pt>
                <c:pt idx="236">
                  <c:v>3.02</c:v>
                </c:pt>
                <c:pt idx="237">
                  <c:v>3.01</c:v>
                </c:pt>
                <c:pt idx="238">
                  <c:v>3.01</c:v>
                </c:pt>
                <c:pt idx="239">
                  <c:v>3.05</c:v>
                </c:pt>
                <c:pt idx="240">
                  <c:v>2.9950000000000001</c:v>
                </c:pt>
                <c:pt idx="241">
                  <c:v>2.91</c:v>
                </c:pt>
                <c:pt idx="242">
                  <c:v>2.9350000000000001</c:v>
                </c:pt>
                <c:pt idx="243">
                  <c:v>2.99</c:v>
                </c:pt>
                <c:pt idx="244">
                  <c:v>2.96</c:v>
                </c:pt>
                <c:pt idx="245">
                  <c:v>2.895</c:v>
                </c:pt>
                <c:pt idx="246">
                  <c:v>2.87</c:v>
                </c:pt>
                <c:pt idx="247">
                  <c:v>2.84</c:v>
                </c:pt>
                <c:pt idx="248">
                  <c:v>2.88</c:v>
                </c:pt>
                <c:pt idx="249">
                  <c:v>2.82</c:v>
                </c:pt>
                <c:pt idx="250">
                  <c:v>2.81</c:v>
                </c:pt>
                <c:pt idx="251">
                  <c:v>2.94</c:v>
                </c:pt>
                <c:pt idx="252">
                  <c:v>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C0-4EF4-B776-FD6A8A36B4FD}"/>
            </c:ext>
          </c:extLst>
        </c:ser>
        <c:ser>
          <c:idx val="3"/>
          <c:order val="3"/>
          <c:tx>
            <c:strRef>
              <c:f>'Stock Chart'!$E$1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 cmpd="tri">
                <a:solidFill>
                  <a:schemeClr val="accent4"/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'Stock Chart'!$A$2:$A$254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'Stock Chart'!$E$2:$E$254</c:f>
              <c:numCache>
                <c:formatCode>"$"#,##0.00</c:formatCode>
                <c:ptCount val="253"/>
                <c:pt idx="0">
                  <c:v>3.71</c:v>
                </c:pt>
                <c:pt idx="1">
                  <c:v>3.73</c:v>
                </c:pt>
                <c:pt idx="2">
                  <c:v>3.78</c:v>
                </c:pt>
                <c:pt idx="3">
                  <c:v>3.85</c:v>
                </c:pt>
                <c:pt idx="4">
                  <c:v>3.82</c:v>
                </c:pt>
                <c:pt idx="5">
                  <c:v>3.7</c:v>
                </c:pt>
                <c:pt idx="6">
                  <c:v>3.72</c:v>
                </c:pt>
                <c:pt idx="7">
                  <c:v>3.64</c:v>
                </c:pt>
                <c:pt idx="8">
                  <c:v>3.62</c:v>
                </c:pt>
                <c:pt idx="9">
                  <c:v>3.62</c:v>
                </c:pt>
                <c:pt idx="10">
                  <c:v>3.62</c:v>
                </c:pt>
                <c:pt idx="11">
                  <c:v>3.57</c:v>
                </c:pt>
                <c:pt idx="12">
                  <c:v>3.55</c:v>
                </c:pt>
                <c:pt idx="13">
                  <c:v>3.49</c:v>
                </c:pt>
                <c:pt idx="14">
                  <c:v>3.42</c:v>
                </c:pt>
                <c:pt idx="15">
                  <c:v>2.99</c:v>
                </c:pt>
                <c:pt idx="16">
                  <c:v>2.98</c:v>
                </c:pt>
                <c:pt idx="17">
                  <c:v>2.96</c:v>
                </c:pt>
                <c:pt idx="18">
                  <c:v>2.91</c:v>
                </c:pt>
                <c:pt idx="19">
                  <c:v>2.98</c:v>
                </c:pt>
                <c:pt idx="20">
                  <c:v>3.02</c:v>
                </c:pt>
                <c:pt idx="21">
                  <c:v>3.01</c:v>
                </c:pt>
                <c:pt idx="22">
                  <c:v>3.07</c:v>
                </c:pt>
                <c:pt idx="23">
                  <c:v>3.14</c:v>
                </c:pt>
                <c:pt idx="24">
                  <c:v>3.02</c:v>
                </c:pt>
                <c:pt idx="25">
                  <c:v>2.84</c:v>
                </c:pt>
                <c:pt idx="26">
                  <c:v>2.86</c:v>
                </c:pt>
                <c:pt idx="27">
                  <c:v>2.88</c:v>
                </c:pt>
                <c:pt idx="28">
                  <c:v>2.83</c:v>
                </c:pt>
                <c:pt idx="29">
                  <c:v>2.94</c:v>
                </c:pt>
                <c:pt idx="30">
                  <c:v>2.93</c:v>
                </c:pt>
                <c:pt idx="31">
                  <c:v>2.96</c:v>
                </c:pt>
                <c:pt idx="32">
                  <c:v>2.91</c:v>
                </c:pt>
                <c:pt idx="33">
                  <c:v>2.92</c:v>
                </c:pt>
                <c:pt idx="34">
                  <c:v>2.98</c:v>
                </c:pt>
                <c:pt idx="35">
                  <c:v>2.96</c:v>
                </c:pt>
                <c:pt idx="36">
                  <c:v>3.01</c:v>
                </c:pt>
                <c:pt idx="37">
                  <c:v>3.01</c:v>
                </c:pt>
                <c:pt idx="38">
                  <c:v>3.04</c:v>
                </c:pt>
                <c:pt idx="39">
                  <c:v>3.03</c:v>
                </c:pt>
                <c:pt idx="40">
                  <c:v>3.09</c:v>
                </c:pt>
                <c:pt idx="41">
                  <c:v>3.1</c:v>
                </c:pt>
                <c:pt idx="42">
                  <c:v>3.08</c:v>
                </c:pt>
                <c:pt idx="43">
                  <c:v>3.1</c:v>
                </c:pt>
                <c:pt idx="44">
                  <c:v>3.14</c:v>
                </c:pt>
                <c:pt idx="45">
                  <c:v>3.1</c:v>
                </c:pt>
                <c:pt idx="46">
                  <c:v>3.1</c:v>
                </c:pt>
                <c:pt idx="47">
                  <c:v>3</c:v>
                </c:pt>
                <c:pt idx="48">
                  <c:v>3.04</c:v>
                </c:pt>
                <c:pt idx="49">
                  <c:v>2.98</c:v>
                </c:pt>
                <c:pt idx="50">
                  <c:v>2.97</c:v>
                </c:pt>
                <c:pt idx="51">
                  <c:v>2.99</c:v>
                </c:pt>
                <c:pt idx="52">
                  <c:v>3.01</c:v>
                </c:pt>
                <c:pt idx="53">
                  <c:v>3.08</c:v>
                </c:pt>
                <c:pt idx="54">
                  <c:v>3.19</c:v>
                </c:pt>
                <c:pt idx="55">
                  <c:v>3.17</c:v>
                </c:pt>
                <c:pt idx="56">
                  <c:v>3.23</c:v>
                </c:pt>
                <c:pt idx="57">
                  <c:v>3.2</c:v>
                </c:pt>
                <c:pt idx="58">
                  <c:v>3.2</c:v>
                </c:pt>
                <c:pt idx="59">
                  <c:v>3.2</c:v>
                </c:pt>
                <c:pt idx="60">
                  <c:v>3.2</c:v>
                </c:pt>
                <c:pt idx="61">
                  <c:v>3.33</c:v>
                </c:pt>
                <c:pt idx="62">
                  <c:v>3.43</c:v>
                </c:pt>
                <c:pt idx="63">
                  <c:v>3.53</c:v>
                </c:pt>
                <c:pt idx="64">
                  <c:v>3.7</c:v>
                </c:pt>
                <c:pt idx="65">
                  <c:v>3.77</c:v>
                </c:pt>
                <c:pt idx="66">
                  <c:v>3.67</c:v>
                </c:pt>
                <c:pt idx="67">
                  <c:v>3.73</c:v>
                </c:pt>
                <c:pt idx="68">
                  <c:v>3.74</c:v>
                </c:pt>
                <c:pt idx="69">
                  <c:v>3.68</c:v>
                </c:pt>
                <c:pt idx="70">
                  <c:v>3.7</c:v>
                </c:pt>
                <c:pt idx="71">
                  <c:v>3.6</c:v>
                </c:pt>
                <c:pt idx="72">
                  <c:v>3.53</c:v>
                </c:pt>
                <c:pt idx="73">
                  <c:v>3.61</c:v>
                </c:pt>
                <c:pt idx="74">
                  <c:v>3.6</c:v>
                </c:pt>
                <c:pt idx="75">
                  <c:v>3.73</c:v>
                </c:pt>
                <c:pt idx="76">
                  <c:v>3.7</c:v>
                </c:pt>
                <c:pt idx="77">
                  <c:v>3.67</c:v>
                </c:pt>
                <c:pt idx="78">
                  <c:v>3.77</c:v>
                </c:pt>
                <c:pt idx="79">
                  <c:v>3.7</c:v>
                </c:pt>
                <c:pt idx="80">
                  <c:v>3.69</c:v>
                </c:pt>
                <c:pt idx="81">
                  <c:v>3.62</c:v>
                </c:pt>
                <c:pt idx="82">
                  <c:v>3.65</c:v>
                </c:pt>
                <c:pt idx="83">
                  <c:v>3.69</c:v>
                </c:pt>
                <c:pt idx="84">
                  <c:v>3.71</c:v>
                </c:pt>
                <c:pt idx="85">
                  <c:v>3.73</c:v>
                </c:pt>
                <c:pt idx="86">
                  <c:v>3.72</c:v>
                </c:pt>
                <c:pt idx="87">
                  <c:v>3.67</c:v>
                </c:pt>
                <c:pt idx="88">
                  <c:v>3.68</c:v>
                </c:pt>
                <c:pt idx="89">
                  <c:v>3.72</c:v>
                </c:pt>
                <c:pt idx="90">
                  <c:v>3.73</c:v>
                </c:pt>
                <c:pt idx="91">
                  <c:v>3.75</c:v>
                </c:pt>
                <c:pt idx="92">
                  <c:v>3.76</c:v>
                </c:pt>
                <c:pt idx="93">
                  <c:v>3.83</c:v>
                </c:pt>
                <c:pt idx="94">
                  <c:v>3.8</c:v>
                </c:pt>
                <c:pt idx="95">
                  <c:v>3.7</c:v>
                </c:pt>
                <c:pt idx="96">
                  <c:v>3.61</c:v>
                </c:pt>
                <c:pt idx="97">
                  <c:v>3.54</c:v>
                </c:pt>
                <c:pt idx="98">
                  <c:v>3.49</c:v>
                </c:pt>
                <c:pt idx="99">
                  <c:v>3.55</c:v>
                </c:pt>
                <c:pt idx="100">
                  <c:v>3.77</c:v>
                </c:pt>
                <c:pt idx="101">
                  <c:v>3.67</c:v>
                </c:pt>
                <c:pt idx="102">
                  <c:v>3.7</c:v>
                </c:pt>
                <c:pt idx="103">
                  <c:v>3.73</c:v>
                </c:pt>
                <c:pt idx="104">
                  <c:v>3.83</c:v>
                </c:pt>
                <c:pt idx="105">
                  <c:v>3.74</c:v>
                </c:pt>
                <c:pt idx="106">
                  <c:v>3.78</c:v>
                </c:pt>
                <c:pt idx="107">
                  <c:v>3.77</c:v>
                </c:pt>
                <c:pt idx="108">
                  <c:v>3.74</c:v>
                </c:pt>
                <c:pt idx="109">
                  <c:v>3.72</c:v>
                </c:pt>
                <c:pt idx="110">
                  <c:v>3.68</c:v>
                </c:pt>
                <c:pt idx="111">
                  <c:v>3.62</c:v>
                </c:pt>
                <c:pt idx="112">
                  <c:v>3.6</c:v>
                </c:pt>
                <c:pt idx="113">
                  <c:v>3.7</c:v>
                </c:pt>
                <c:pt idx="114">
                  <c:v>3.63</c:v>
                </c:pt>
                <c:pt idx="115">
                  <c:v>3.6</c:v>
                </c:pt>
                <c:pt idx="116">
                  <c:v>3.68</c:v>
                </c:pt>
                <c:pt idx="117">
                  <c:v>3.52</c:v>
                </c:pt>
                <c:pt idx="118">
                  <c:v>3.44</c:v>
                </c:pt>
                <c:pt idx="119">
                  <c:v>3.4</c:v>
                </c:pt>
                <c:pt idx="120">
                  <c:v>3.37</c:v>
                </c:pt>
                <c:pt idx="121">
                  <c:v>3.4</c:v>
                </c:pt>
                <c:pt idx="122">
                  <c:v>3.38</c:v>
                </c:pt>
                <c:pt idx="123">
                  <c:v>3.36</c:v>
                </c:pt>
                <c:pt idx="124">
                  <c:v>3.34</c:v>
                </c:pt>
                <c:pt idx="125">
                  <c:v>3.41</c:v>
                </c:pt>
                <c:pt idx="126">
                  <c:v>3.41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3.46</c:v>
                </c:pt>
                <c:pt idx="131">
                  <c:v>3.46</c:v>
                </c:pt>
                <c:pt idx="132">
                  <c:v>3.4</c:v>
                </c:pt>
                <c:pt idx="133">
                  <c:v>3.4</c:v>
                </c:pt>
                <c:pt idx="134">
                  <c:v>3.41</c:v>
                </c:pt>
                <c:pt idx="135">
                  <c:v>3.38</c:v>
                </c:pt>
                <c:pt idx="136">
                  <c:v>3.4</c:v>
                </c:pt>
                <c:pt idx="137">
                  <c:v>3.37</c:v>
                </c:pt>
                <c:pt idx="138">
                  <c:v>3.42</c:v>
                </c:pt>
                <c:pt idx="139">
                  <c:v>3.42</c:v>
                </c:pt>
                <c:pt idx="140">
                  <c:v>3.49</c:v>
                </c:pt>
                <c:pt idx="141">
                  <c:v>3.48</c:v>
                </c:pt>
                <c:pt idx="142">
                  <c:v>3.51</c:v>
                </c:pt>
                <c:pt idx="143">
                  <c:v>3.58</c:v>
                </c:pt>
                <c:pt idx="144">
                  <c:v>3.56</c:v>
                </c:pt>
                <c:pt idx="145">
                  <c:v>3.53</c:v>
                </c:pt>
                <c:pt idx="146">
                  <c:v>3.54</c:v>
                </c:pt>
                <c:pt idx="147">
                  <c:v>3.37</c:v>
                </c:pt>
                <c:pt idx="148">
                  <c:v>3.29</c:v>
                </c:pt>
                <c:pt idx="149">
                  <c:v>3.36</c:v>
                </c:pt>
                <c:pt idx="150">
                  <c:v>3.36</c:v>
                </c:pt>
                <c:pt idx="151">
                  <c:v>3.31</c:v>
                </c:pt>
                <c:pt idx="152">
                  <c:v>3.38</c:v>
                </c:pt>
                <c:pt idx="153">
                  <c:v>3.45</c:v>
                </c:pt>
                <c:pt idx="154">
                  <c:v>3.47</c:v>
                </c:pt>
                <c:pt idx="155">
                  <c:v>3.5</c:v>
                </c:pt>
                <c:pt idx="156">
                  <c:v>3.44</c:v>
                </c:pt>
                <c:pt idx="157">
                  <c:v>3.43</c:v>
                </c:pt>
                <c:pt idx="158">
                  <c:v>3.43</c:v>
                </c:pt>
                <c:pt idx="159">
                  <c:v>3.57</c:v>
                </c:pt>
                <c:pt idx="160">
                  <c:v>3.65</c:v>
                </c:pt>
                <c:pt idx="161">
                  <c:v>3.69</c:v>
                </c:pt>
                <c:pt idx="162">
                  <c:v>3.67</c:v>
                </c:pt>
                <c:pt idx="163">
                  <c:v>3.66</c:v>
                </c:pt>
                <c:pt idx="164">
                  <c:v>3.71</c:v>
                </c:pt>
                <c:pt idx="165">
                  <c:v>3.74</c:v>
                </c:pt>
                <c:pt idx="166">
                  <c:v>3.67</c:v>
                </c:pt>
                <c:pt idx="167">
                  <c:v>3.65</c:v>
                </c:pt>
                <c:pt idx="168">
                  <c:v>3.61</c:v>
                </c:pt>
                <c:pt idx="169">
                  <c:v>3.64</c:v>
                </c:pt>
                <c:pt idx="170">
                  <c:v>3.52</c:v>
                </c:pt>
                <c:pt idx="171">
                  <c:v>3.63</c:v>
                </c:pt>
                <c:pt idx="172">
                  <c:v>3.52</c:v>
                </c:pt>
                <c:pt idx="173">
                  <c:v>3.51</c:v>
                </c:pt>
                <c:pt idx="174">
                  <c:v>3.64</c:v>
                </c:pt>
                <c:pt idx="175">
                  <c:v>3.59</c:v>
                </c:pt>
                <c:pt idx="176">
                  <c:v>3.61</c:v>
                </c:pt>
                <c:pt idx="177">
                  <c:v>3.59</c:v>
                </c:pt>
                <c:pt idx="178">
                  <c:v>3.58</c:v>
                </c:pt>
                <c:pt idx="179">
                  <c:v>3.53</c:v>
                </c:pt>
                <c:pt idx="180">
                  <c:v>3.53</c:v>
                </c:pt>
                <c:pt idx="181">
                  <c:v>3.6</c:v>
                </c:pt>
                <c:pt idx="182">
                  <c:v>3.61</c:v>
                </c:pt>
                <c:pt idx="183">
                  <c:v>3.61</c:v>
                </c:pt>
                <c:pt idx="184">
                  <c:v>3.62</c:v>
                </c:pt>
                <c:pt idx="185">
                  <c:v>3.53</c:v>
                </c:pt>
                <c:pt idx="186">
                  <c:v>3.49</c:v>
                </c:pt>
                <c:pt idx="187">
                  <c:v>3.51</c:v>
                </c:pt>
                <c:pt idx="188">
                  <c:v>3.51</c:v>
                </c:pt>
                <c:pt idx="189">
                  <c:v>3.47</c:v>
                </c:pt>
                <c:pt idx="190">
                  <c:v>3.37</c:v>
                </c:pt>
                <c:pt idx="191">
                  <c:v>3.22</c:v>
                </c:pt>
                <c:pt idx="192">
                  <c:v>3.21</c:v>
                </c:pt>
                <c:pt idx="193">
                  <c:v>3.12</c:v>
                </c:pt>
                <c:pt idx="194">
                  <c:v>2.97</c:v>
                </c:pt>
                <c:pt idx="195">
                  <c:v>2.81</c:v>
                </c:pt>
                <c:pt idx="196">
                  <c:v>2.59</c:v>
                </c:pt>
                <c:pt idx="197">
                  <c:v>2.65</c:v>
                </c:pt>
                <c:pt idx="198">
                  <c:v>2.52</c:v>
                </c:pt>
                <c:pt idx="199">
                  <c:v>2.76</c:v>
                </c:pt>
                <c:pt idx="200">
                  <c:v>2.74</c:v>
                </c:pt>
                <c:pt idx="201">
                  <c:v>2.8</c:v>
                </c:pt>
                <c:pt idx="202">
                  <c:v>2.79</c:v>
                </c:pt>
                <c:pt idx="203">
                  <c:v>2.67</c:v>
                </c:pt>
                <c:pt idx="204">
                  <c:v>2.69</c:v>
                </c:pt>
                <c:pt idx="205">
                  <c:v>2.61</c:v>
                </c:pt>
                <c:pt idx="206">
                  <c:v>2.65</c:v>
                </c:pt>
                <c:pt idx="207">
                  <c:v>2.71</c:v>
                </c:pt>
                <c:pt idx="208">
                  <c:v>2.71</c:v>
                </c:pt>
                <c:pt idx="209">
                  <c:v>2.78</c:v>
                </c:pt>
                <c:pt idx="210">
                  <c:v>2.75</c:v>
                </c:pt>
                <c:pt idx="211">
                  <c:v>2.74</c:v>
                </c:pt>
                <c:pt idx="212">
                  <c:v>2.83</c:v>
                </c:pt>
                <c:pt idx="213">
                  <c:v>2.8</c:v>
                </c:pt>
                <c:pt idx="214">
                  <c:v>2.84</c:v>
                </c:pt>
                <c:pt idx="215">
                  <c:v>2.85</c:v>
                </c:pt>
                <c:pt idx="216">
                  <c:v>2.82</c:v>
                </c:pt>
                <c:pt idx="217">
                  <c:v>2.79</c:v>
                </c:pt>
                <c:pt idx="218">
                  <c:v>2.87</c:v>
                </c:pt>
                <c:pt idx="219">
                  <c:v>3.03</c:v>
                </c:pt>
                <c:pt idx="220">
                  <c:v>2.99</c:v>
                </c:pt>
                <c:pt idx="221">
                  <c:v>2.98</c:v>
                </c:pt>
                <c:pt idx="222">
                  <c:v>2.96</c:v>
                </c:pt>
                <c:pt idx="223">
                  <c:v>2.94</c:v>
                </c:pt>
                <c:pt idx="224">
                  <c:v>3.06</c:v>
                </c:pt>
                <c:pt idx="225">
                  <c:v>3.08</c:v>
                </c:pt>
                <c:pt idx="226">
                  <c:v>3.09</c:v>
                </c:pt>
                <c:pt idx="227">
                  <c:v>3.03</c:v>
                </c:pt>
                <c:pt idx="228">
                  <c:v>3.05</c:v>
                </c:pt>
                <c:pt idx="229">
                  <c:v>3.09</c:v>
                </c:pt>
                <c:pt idx="230">
                  <c:v>3.07</c:v>
                </c:pt>
                <c:pt idx="231">
                  <c:v>3.04</c:v>
                </c:pt>
                <c:pt idx="232">
                  <c:v>3.05</c:v>
                </c:pt>
                <c:pt idx="233">
                  <c:v>2.94</c:v>
                </c:pt>
                <c:pt idx="234">
                  <c:v>2.95</c:v>
                </c:pt>
                <c:pt idx="235">
                  <c:v>3.02</c:v>
                </c:pt>
                <c:pt idx="236">
                  <c:v>3.02</c:v>
                </c:pt>
                <c:pt idx="237">
                  <c:v>3.02</c:v>
                </c:pt>
                <c:pt idx="238">
                  <c:v>3.04</c:v>
                </c:pt>
                <c:pt idx="239">
                  <c:v>3.06</c:v>
                </c:pt>
                <c:pt idx="240">
                  <c:v>3.01</c:v>
                </c:pt>
                <c:pt idx="241">
                  <c:v>2.94</c:v>
                </c:pt>
                <c:pt idx="242">
                  <c:v>3</c:v>
                </c:pt>
                <c:pt idx="243">
                  <c:v>3.02</c:v>
                </c:pt>
                <c:pt idx="244">
                  <c:v>2.98</c:v>
                </c:pt>
                <c:pt idx="245">
                  <c:v>2.9</c:v>
                </c:pt>
                <c:pt idx="246">
                  <c:v>2.88</c:v>
                </c:pt>
                <c:pt idx="247">
                  <c:v>2.85</c:v>
                </c:pt>
                <c:pt idx="248">
                  <c:v>2.92</c:v>
                </c:pt>
                <c:pt idx="249">
                  <c:v>2.84</c:v>
                </c:pt>
                <c:pt idx="250">
                  <c:v>2.9</c:v>
                </c:pt>
                <c:pt idx="251">
                  <c:v>2.94</c:v>
                </c:pt>
                <c:pt idx="252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C0-4EF4-B776-FD6A8A36B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accent6"/>
              </a:solidFill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upBars>
          <c:downBars>
            <c:spPr>
              <a:solidFill>
                <a:srgbClr val="FF000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510337856"/>
        <c:axId val="1510333056"/>
      </c:stockChart>
      <c:catAx>
        <c:axId val="1510337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333056"/>
        <c:crosses val="autoZero"/>
        <c:auto val="1"/>
        <c:lblAlgn val="ctr"/>
        <c:lblOffset val="100"/>
        <c:noMultiLvlLbl val="0"/>
      </c:catAx>
      <c:valAx>
        <c:axId val="1510333056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Price</a:t>
                </a:r>
                <a:r>
                  <a:rPr lang="en-AU" baseline="0"/>
                  <a:t> (AUD)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3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Capital vs Issued Shares (South32, 2024/2025)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'Capital vs SharePrice'!$C$1</c:f>
              <c:strCache>
                <c:ptCount val="1"/>
                <c:pt idx="0">
                  <c:v>Market Capitalisation($m)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'Capital vs SharePrice'!$B$2:$B$254</c:f>
              <c:numCache>
                <c:formatCode>#,##0.00##</c:formatCode>
                <c:ptCount val="253"/>
                <c:pt idx="0">
                  <c:v>4529258568</c:v>
                </c:pt>
                <c:pt idx="1">
                  <c:v>4529258568</c:v>
                </c:pt>
                <c:pt idx="2">
                  <c:v>4529258568</c:v>
                </c:pt>
                <c:pt idx="3">
                  <c:v>4529258568</c:v>
                </c:pt>
                <c:pt idx="4">
                  <c:v>4529258568</c:v>
                </c:pt>
                <c:pt idx="5">
                  <c:v>4529258568</c:v>
                </c:pt>
                <c:pt idx="6">
                  <c:v>4529258568</c:v>
                </c:pt>
                <c:pt idx="7">
                  <c:v>4529258568</c:v>
                </c:pt>
                <c:pt idx="8">
                  <c:v>4529258568</c:v>
                </c:pt>
                <c:pt idx="9">
                  <c:v>4529258568</c:v>
                </c:pt>
                <c:pt idx="10">
                  <c:v>4529258568</c:v>
                </c:pt>
                <c:pt idx="11">
                  <c:v>4529258568</c:v>
                </c:pt>
                <c:pt idx="12">
                  <c:v>4529258568</c:v>
                </c:pt>
                <c:pt idx="13">
                  <c:v>4529258568</c:v>
                </c:pt>
                <c:pt idx="14">
                  <c:v>4529258568</c:v>
                </c:pt>
                <c:pt idx="15">
                  <c:v>4529258568</c:v>
                </c:pt>
                <c:pt idx="16">
                  <c:v>4529258568</c:v>
                </c:pt>
                <c:pt idx="17">
                  <c:v>4529258568</c:v>
                </c:pt>
                <c:pt idx="18">
                  <c:v>4529258568</c:v>
                </c:pt>
                <c:pt idx="19">
                  <c:v>4529258568</c:v>
                </c:pt>
                <c:pt idx="20">
                  <c:v>4529258568</c:v>
                </c:pt>
                <c:pt idx="21">
                  <c:v>4529258568</c:v>
                </c:pt>
                <c:pt idx="22">
                  <c:v>4529258568</c:v>
                </c:pt>
                <c:pt idx="23">
                  <c:v>4529258568</c:v>
                </c:pt>
                <c:pt idx="24">
                  <c:v>4529258568</c:v>
                </c:pt>
                <c:pt idx="25">
                  <c:v>4529258568</c:v>
                </c:pt>
                <c:pt idx="26">
                  <c:v>4529258568</c:v>
                </c:pt>
                <c:pt idx="27">
                  <c:v>4529258568</c:v>
                </c:pt>
                <c:pt idx="28">
                  <c:v>4529258568</c:v>
                </c:pt>
                <c:pt idx="29">
                  <c:v>4529258568</c:v>
                </c:pt>
                <c:pt idx="30">
                  <c:v>4529258568</c:v>
                </c:pt>
                <c:pt idx="31">
                  <c:v>4529258568</c:v>
                </c:pt>
                <c:pt idx="32">
                  <c:v>4529258568</c:v>
                </c:pt>
                <c:pt idx="33">
                  <c:v>4529258568</c:v>
                </c:pt>
                <c:pt idx="34">
                  <c:v>4529258568</c:v>
                </c:pt>
                <c:pt idx="35">
                  <c:v>4529258568</c:v>
                </c:pt>
                <c:pt idx="36">
                  <c:v>4529258568</c:v>
                </c:pt>
                <c:pt idx="37">
                  <c:v>4529258568</c:v>
                </c:pt>
                <c:pt idx="38">
                  <c:v>4529258568</c:v>
                </c:pt>
                <c:pt idx="39">
                  <c:v>4529258568</c:v>
                </c:pt>
                <c:pt idx="40">
                  <c:v>4529258568</c:v>
                </c:pt>
                <c:pt idx="41">
                  <c:v>4529258568</c:v>
                </c:pt>
                <c:pt idx="42">
                  <c:v>4529258568</c:v>
                </c:pt>
                <c:pt idx="43">
                  <c:v>4529258568</c:v>
                </c:pt>
                <c:pt idx="44">
                  <c:v>4529258568</c:v>
                </c:pt>
                <c:pt idx="45">
                  <c:v>4529258568</c:v>
                </c:pt>
                <c:pt idx="46">
                  <c:v>4529258568</c:v>
                </c:pt>
                <c:pt idx="47">
                  <c:v>4529258568</c:v>
                </c:pt>
                <c:pt idx="48">
                  <c:v>4529258568</c:v>
                </c:pt>
                <c:pt idx="49">
                  <c:v>4529258568</c:v>
                </c:pt>
                <c:pt idx="50">
                  <c:v>4529258568</c:v>
                </c:pt>
                <c:pt idx="51">
                  <c:v>4529258568</c:v>
                </c:pt>
                <c:pt idx="52">
                  <c:v>4529258568</c:v>
                </c:pt>
                <c:pt idx="53">
                  <c:v>4529258568</c:v>
                </c:pt>
                <c:pt idx="54">
                  <c:v>4529258568</c:v>
                </c:pt>
                <c:pt idx="55">
                  <c:v>4529258568</c:v>
                </c:pt>
                <c:pt idx="56">
                  <c:v>4529258568</c:v>
                </c:pt>
                <c:pt idx="57">
                  <c:v>4529258568</c:v>
                </c:pt>
                <c:pt idx="58">
                  <c:v>4529258568</c:v>
                </c:pt>
                <c:pt idx="59">
                  <c:v>4529258568</c:v>
                </c:pt>
                <c:pt idx="60">
                  <c:v>4529258568</c:v>
                </c:pt>
                <c:pt idx="61">
                  <c:v>4529258568</c:v>
                </c:pt>
                <c:pt idx="62">
                  <c:v>4529258568</c:v>
                </c:pt>
                <c:pt idx="63">
                  <c:v>4529258568</c:v>
                </c:pt>
                <c:pt idx="64">
                  <c:v>4529258568</c:v>
                </c:pt>
                <c:pt idx="65">
                  <c:v>4529258568</c:v>
                </c:pt>
                <c:pt idx="66">
                  <c:v>4529258568</c:v>
                </c:pt>
                <c:pt idx="67">
                  <c:v>4529258568</c:v>
                </c:pt>
                <c:pt idx="68">
                  <c:v>4528343579</c:v>
                </c:pt>
                <c:pt idx="69">
                  <c:v>4528343579</c:v>
                </c:pt>
                <c:pt idx="70">
                  <c:v>4528343579</c:v>
                </c:pt>
                <c:pt idx="71">
                  <c:v>4528343579</c:v>
                </c:pt>
                <c:pt idx="72">
                  <c:v>4528343579</c:v>
                </c:pt>
                <c:pt idx="73">
                  <c:v>4528343579</c:v>
                </c:pt>
                <c:pt idx="74">
                  <c:v>4528343579</c:v>
                </c:pt>
                <c:pt idx="75">
                  <c:v>4528343579</c:v>
                </c:pt>
                <c:pt idx="76">
                  <c:v>4528343579</c:v>
                </c:pt>
                <c:pt idx="77">
                  <c:v>4528343579</c:v>
                </c:pt>
                <c:pt idx="78">
                  <c:v>4528343579</c:v>
                </c:pt>
                <c:pt idx="79">
                  <c:v>4528343579</c:v>
                </c:pt>
                <c:pt idx="80">
                  <c:v>4528343579</c:v>
                </c:pt>
                <c:pt idx="81">
                  <c:v>4528343579</c:v>
                </c:pt>
                <c:pt idx="82">
                  <c:v>4528343579</c:v>
                </c:pt>
                <c:pt idx="83">
                  <c:v>4528343579</c:v>
                </c:pt>
                <c:pt idx="84">
                  <c:v>4528343579</c:v>
                </c:pt>
                <c:pt idx="85">
                  <c:v>4528343579</c:v>
                </c:pt>
                <c:pt idx="86">
                  <c:v>4528343579</c:v>
                </c:pt>
                <c:pt idx="87">
                  <c:v>4528343579</c:v>
                </c:pt>
                <c:pt idx="88">
                  <c:v>4528343579</c:v>
                </c:pt>
                <c:pt idx="89">
                  <c:v>4528343579</c:v>
                </c:pt>
                <c:pt idx="90">
                  <c:v>4522029926</c:v>
                </c:pt>
                <c:pt idx="91">
                  <c:v>4522029926</c:v>
                </c:pt>
                <c:pt idx="92">
                  <c:v>4522029926</c:v>
                </c:pt>
                <c:pt idx="93">
                  <c:v>4522029926</c:v>
                </c:pt>
                <c:pt idx="94">
                  <c:v>4522029926</c:v>
                </c:pt>
                <c:pt idx="95">
                  <c:v>4522029926</c:v>
                </c:pt>
                <c:pt idx="96">
                  <c:v>4522029926</c:v>
                </c:pt>
                <c:pt idx="97">
                  <c:v>4522029926</c:v>
                </c:pt>
                <c:pt idx="98">
                  <c:v>4522029926</c:v>
                </c:pt>
                <c:pt idx="99">
                  <c:v>4522029926</c:v>
                </c:pt>
                <c:pt idx="100">
                  <c:v>4522029926</c:v>
                </c:pt>
                <c:pt idx="101">
                  <c:v>4522029926</c:v>
                </c:pt>
                <c:pt idx="102">
                  <c:v>4522029926</c:v>
                </c:pt>
                <c:pt idx="103">
                  <c:v>4522029926</c:v>
                </c:pt>
                <c:pt idx="104">
                  <c:v>4522029926</c:v>
                </c:pt>
                <c:pt idx="105">
                  <c:v>4522029926</c:v>
                </c:pt>
                <c:pt idx="106">
                  <c:v>4522029926</c:v>
                </c:pt>
                <c:pt idx="107">
                  <c:v>4522029926</c:v>
                </c:pt>
                <c:pt idx="108">
                  <c:v>4522029926</c:v>
                </c:pt>
                <c:pt idx="109">
                  <c:v>4522029926</c:v>
                </c:pt>
                <c:pt idx="110">
                  <c:v>4522029926</c:v>
                </c:pt>
                <c:pt idx="111">
                  <c:v>4522029926</c:v>
                </c:pt>
                <c:pt idx="112">
                  <c:v>4518328958</c:v>
                </c:pt>
                <c:pt idx="113">
                  <c:v>4518328958</c:v>
                </c:pt>
                <c:pt idx="114">
                  <c:v>4518328958</c:v>
                </c:pt>
                <c:pt idx="115">
                  <c:v>4518328958</c:v>
                </c:pt>
                <c:pt idx="116">
                  <c:v>4518328958</c:v>
                </c:pt>
                <c:pt idx="117">
                  <c:v>4518328958</c:v>
                </c:pt>
                <c:pt idx="118">
                  <c:v>4518328958</c:v>
                </c:pt>
                <c:pt idx="119">
                  <c:v>4518328958</c:v>
                </c:pt>
                <c:pt idx="120">
                  <c:v>4518328958</c:v>
                </c:pt>
                <c:pt idx="121">
                  <c:v>4518328958</c:v>
                </c:pt>
                <c:pt idx="122">
                  <c:v>4518328958</c:v>
                </c:pt>
                <c:pt idx="123">
                  <c:v>4518328958</c:v>
                </c:pt>
                <c:pt idx="124">
                  <c:v>4518328958</c:v>
                </c:pt>
                <c:pt idx="125">
                  <c:v>4518328958</c:v>
                </c:pt>
                <c:pt idx="126">
                  <c:v>4518328958</c:v>
                </c:pt>
                <c:pt idx="127">
                  <c:v>4518328958</c:v>
                </c:pt>
                <c:pt idx="128">
                  <c:v>4518328958</c:v>
                </c:pt>
                <c:pt idx="129">
                  <c:v>4518328958</c:v>
                </c:pt>
                <c:pt idx="130">
                  <c:v>4518328958</c:v>
                </c:pt>
                <c:pt idx="131">
                  <c:v>4517415782</c:v>
                </c:pt>
                <c:pt idx="132">
                  <c:v>4517415782</c:v>
                </c:pt>
                <c:pt idx="133">
                  <c:v>4517415782</c:v>
                </c:pt>
                <c:pt idx="134">
                  <c:v>4517415782</c:v>
                </c:pt>
                <c:pt idx="135">
                  <c:v>4517415782</c:v>
                </c:pt>
                <c:pt idx="136">
                  <c:v>4517415782</c:v>
                </c:pt>
                <c:pt idx="137">
                  <c:v>4517415782</c:v>
                </c:pt>
                <c:pt idx="138">
                  <c:v>4517415782</c:v>
                </c:pt>
                <c:pt idx="139">
                  <c:v>4517415782</c:v>
                </c:pt>
                <c:pt idx="140">
                  <c:v>4517415782</c:v>
                </c:pt>
                <c:pt idx="141">
                  <c:v>4517415782</c:v>
                </c:pt>
                <c:pt idx="142">
                  <c:v>4517415782</c:v>
                </c:pt>
                <c:pt idx="143">
                  <c:v>4517415782</c:v>
                </c:pt>
                <c:pt idx="144">
                  <c:v>4517415782</c:v>
                </c:pt>
                <c:pt idx="145">
                  <c:v>4517415782</c:v>
                </c:pt>
                <c:pt idx="146">
                  <c:v>4517415782</c:v>
                </c:pt>
                <c:pt idx="147">
                  <c:v>4517415782</c:v>
                </c:pt>
                <c:pt idx="148">
                  <c:v>4517415782</c:v>
                </c:pt>
                <c:pt idx="149">
                  <c:v>4517415782</c:v>
                </c:pt>
                <c:pt idx="150">
                  <c:v>4517415782</c:v>
                </c:pt>
                <c:pt idx="151">
                  <c:v>4517415782</c:v>
                </c:pt>
                <c:pt idx="152">
                  <c:v>4517415782</c:v>
                </c:pt>
                <c:pt idx="153">
                  <c:v>4517415782</c:v>
                </c:pt>
                <c:pt idx="154">
                  <c:v>4517415782</c:v>
                </c:pt>
                <c:pt idx="155">
                  <c:v>4517415782</c:v>
                </c:pt>
                <c:pt idx="156">
                  <c:v>4517415782</c:v>
                </c:pt>
                <c:pt idx="157">
                  <c:v>4517415782</c:v>
                </c:pt>
                <c:pt idx="158">
                  <c:v>4517415782</c:v>
                </c:pt>
                <c:pt idx="159">
                  <c:v>4517415782</c:v>
                </c:pt>
                <c:pt idx="160">
                  <c:v>4517415782</c:v>
                </c:pt>
                <c:pt idx="161">
                  <c:v>4517415782</c:v>
                </c:pt>
                <c:pt idx="162">
                  <c:v>4517415782</c:v>
                </c:pt>
                <c:pt idx="163">
                  <c:v>4517415782</c:v>
                </c:pt>
                <c:pt idx="164">
                  <c:v>4517415782</c:v>
                </c:pt>
                <c:pt idx="165">
                  <c:v>4517415782</c:v>
                </c:pt>
                <c:pt idx="166">
                  <c:v>4517415782</c:v>
                </c:pt>
                <c:pt idx="167">
                  <c:v>4517415782</c:v>
                </c:pt>
                <c:pt idx="168">
                  <c:v>4517415782</c:v>
                </c:pt>
                <c:pt idx="169">
                  <c:v>4517415782</c:v>
                </c:pt>
                <c:pt idx="170">
                  <c:v>4517415782</c:v>
                </c:pt>
                <c:pt idx="171">
                  <c:v>4516680274</c:v>
                </c:pt>
                <c:pt idx="172">
                  <c:v>4516680274</c:v>
                </c:pt>
                <c:pt idx="173">
                  <c:v>4516680274</c:v>
                </c:pt>
                <c:pt idx="174">
                  <c:v>4516680274</c:v>
                </c:pt>
                <c:pt idx="175">
                  <c:v>4516680274</c:v>
                </c:pt>
                <c:pt idx="176">
                  <c:v>4516680274</c:v>
                </c:pt>
                <c:pt idx="177">
                  <c:v>4516680274</c:v>
                </c:pt>
                <c:pt idx="178">
                  <c:v>4516680274</c:v>
                </c:pt>
                <c:pt idx="179">
                  <c:v>4516680274</c:v>
                </c:pt>
                <c:pt idx="180">
                  <c:v>4516680274</c:v>
                </c:pt>
                <c:pt idx="181">
                  <c:v>4516680274</c:v>
                </c:pt>
                <c:pt idx="182">
                  <c:v>4516680274</c:v>
                </c:pt>
                <c:pt idx="183">
                  <c:v>4516680274</c:v>
                </c:pt>
                <c:pt idx="184">
                  <c:v>4516680274</c:v>
                </c:pt>
                <c:pt idx="185">
                  <c:v>4516680274</c:v>
                </c:pt>
                <c:pt idx="186">
                  <c:v>4516680274</c:v>
                </c:pt>
                <c:pt idx="187">
                  <c:v>4516680274</c:v>
                </c:pt>
                <c:pt idx="188">
                  <c:v>4516680274</c:v>
                </c:pt>
                <c:pt idx="189">
                  <c:v>4516680274</c:v>
                </c:pt>
                <c:pt idx="190">
                  <c:v>4516680274</c:v>
                </c:pt>
                <c:pt idx="191">
                  <c:v>4516680274</c:v>
                </c:pt>
                <c:pt idx="192">
                  <c:v>4516680274</c:v>
                </c:pt>
                <c:pt idx="193">
                  <c:v>4512732493</c:v>
                </c:pt>
                <c:pt idx="194">
                  <c:v>4512732493</c:v>
                </c:pt>
                <c:pt idx="195">
                  <c:v>4512732493</c:v>
                </c:pt>
                <c:pt idx="196">
                  <c:v>4512732493</c:v>
                </c:pt>
                <c:pt idx="197">
                  <c:v>4512732493</c:v>
                </c:pt>
                <c:pt idx="198">
                  <c:v>4512732493</c:v>
                </c:pt>
                <c:pt idx="199">
                  <c:v>4512732493</c:v>
                </c:pt>
                <c:pt idx="200">
                  <c:v>4512732493</c:v>
                </c:pt>
                <c:pt idx="201">
                  <c:v>4512732493</c:v>
                </c:pt>
                <c:pt idx="202">
                  <c:v>4512732493</c:v>
                </c:pt>
                <c:pt idx="203">
                  <c:v>4512732493</c:v>
                </c:pt>
                <c:pt idx="204">
                  <c:v>4512732493</c:v>
                </c:pt>
                <c:pt idx="205">
                  <c:v>4512732493</c:v>
                </c:pt>
                <c:pt idx="206">
                  <c:v>4512732493</c:v>
                </c:pt>
                <c:pt idx="207">
                  <c:v>4512732493</c:v>
                </c:pt>
                <c:pt idx="208">
                  <c:v>4512732493</c:v>
                </c:pt>
                <c:pt idx="209">
                  <c:v>4512732493</c:v>
                </c:pt>
                <c:pt idx="210">
                  <c:v>4512732493</c:v>
                </c:pt>
                <c:pt idx="211">
                  <c:v>4512732493</c:v>
                </c:pt>
                <c:pt idx="212">
                  <c:v>4508486226</c:v>
                </c:pt>
                <c:pt idx="213">
                  <c:v>4508486226</c:v>
                </c:pt>
                <c:pt idx="214">
                  <c:v>4508486226</c:v>
                </c:pt>
                <c:pt idx="215">
                  <c:v>4508486226</c:v>
                </c:pt>
                <c:pt idx="216">
                  <c:v>4508486226</c:v>
                </c:pt>
                <c:pt idx="217">
                  <c:v>4508486226</c:v>
                </c:pt>
                <c:pt idx="218">
                  <c:v>4508486226</c:v>
                </c:pt>
                <c:pt idx="219">
                  <c:v>4508486226</c:v>
                </c:pt>
                <c:pt idx="220">
                  <c:v>4508486226</c:v>
                </c:pt>
                <c:pt idx="221">
                  <c:v>4508486226</c:v>
                </c:pt>
                <c:pt idx="222">
                  <c:v>4508486226</c:v>
                </c:pt>
                <c:pt idx="223">
                  <c:v>4508486226</c:v>
                </c:pt>
                <c:pt idx="224">
                  <c:v>4508486226</c:v>
                </c:pt>
                <c:pt idx="225">
                  <c:v>4508486226</c:v>
                </c:pt>
                <c:pt idx="226">
                  <c:v>4508486226</c:v>
                </c:pt>
                <c:pt idx="227">
                  <c:v>4508486226</c:v>
                </c:pt>
                <c:pt idx="228">
                  <c:v>4508486226</c:v>
                </c:pt>
                <c:pt idx="229">
                  <c:v>4508486226</c:v>
                </c:pt>
                <c:pt idx="230">
                  <c:v>4508486226</c:v>
                </c:pt>
                <c:pt idx="231">
                  <c:v>4508486226</c:v>
                </c:pt>
                <c:pt idx="232">
                  <c:v>4508486226</c:v>
                </c:pt>
                <c:pt idx="233">
                  <c:v>4508486226</c:v>
                </c:pt>
                <c:pt idx="234">
                  <c:v>4507267591</c:v>
                </c:pt>
                <c:pt idx="235">
                  <c:v>4507267591</c:v>
                </c:pt>
                <c:pt idx="236">
                  <c:v>4507267591</c:v>
                </c:pt>
                <c:pt idx="237">
                  <c:v>4507267591</c:v>
                </c:pt>
                <c:pt idx="238">
                  <c:v>4507267591</c:v>
                </c:pt>
                <c:pt idx="239">
                  <c:v>4507267591</c:v>
                </c:pt>
                <c:pt idx="240">
                  <c:v>4507267591</c:v>
                </c:pt>
                <c:pt idx="241">
                  <c:v>4507267591</c:v>
                </c:pt>
                <c:pt idx="242">
                  <c:v>4507267591</c:v>
                </c:pt>
                <c:pt idx="243">
                  <c:v>4507267591</c:v>
                </c:pt>
                <c:pt idx="244">
                  <c:v>4507267591</c:v>
                </c:pt>
                <c:pt idx="245">
                  <c:v>4507267591</c:v>
                </c:pt>
                <c:pt idx="246">
                  <c:v>4507267591</c:v>
                </c:pt>
                <c:pt idx="247">
                  <c:v>4507267591</c:v>
                </c:pt>
                <c:pt idx="248">
                  <c:v>4507267591</c:v>
                </c:pt>
                <c:pt idx="249">
                  <c:v>4507267591</c:v>
                </c:pt>
                <c:pt idx="250">
                  <c:v>4507267591</c:v>
                </c:pt>
                <c:pt idx="251">
                  <c:v>4507267591</c:v>
                </c:pt>
                <c:pt idx="252">
                  <c:v>4507267591</c:v>
                </c:pt>
              </c:numCache>
            </c:numRef>
          </c:xVal>
          <c:yVal>
            <c:numRef>
              <c:f>'Capital vs SharePrice'!$C$2:$C$254</c:f>
              <c:numCache>
                <c:formatCode>"$"#,##0.00</c:formatCode>
                <c:ptCount val="253"/>
                <c:pt idx="0">
                  <c:v>16803.55</c:v>
                </c:pt>
                <c:pt idx="1">
                  <c:v>16894.13</c:v>
                </c:pt>
                <c:pt idx="2">
                  <c:v>17120.599999999999</c:v>
                </c:pt>
                <c:pt idx="3">
                  <c:v>17437.650000000001</c:v>
                </c:pt>
                <c:pt idx="4">
                  <c:v>17301.77</c:v>
                </c:pt>
                <c:pt idx="5">
                  <c:v>16758.259999999998</c:v>
                </c:pt>
                <c:pt idx="6">
                  <c:v>16848.84</c:v>
                </c:pt>
                <c:pt idx="7">
                  <c:v>16486.5</c:v>
                </c:pt>
                <c:pt idx="8">
                  <c:v>16395.919999999998</c:v>
                </c:pt>
                <c:pt idx="9">
                  <c:v>16395.919999999998</c:v>
                </c:pt>
                <c:pt idx="10">
                  <c:v>16395.919999999998</c:v>
                </c:pt>
                <c:pt idx="11">
                  <c:v>16169.45</c:v>
                </c:pt>
                <c:pt idx="12">
                  <c:v>16078.87</c:v>
                </c:pt>
                <c:pt idx="13">
                  <c:v>15807.11</c:v>
                </c:pt>
                <c:pt idx="14">
                  <c:v>15490.06</c:v>
                </c:pt>
                <c:pt idx="15">
                  <c:v>13542.48</c:v>
                </c:pt>
                <c:pt idx="16">
                  <c:v>13497.19</c:v>
                </c:pt>
                <c:pt idx="17">
                  <c:v>13406.61</c:v>
                </c:pt>
                <c:pt idx="18">
                  <c:v>13180.14</c:v>
                </c:pt>
                <c:pt idx="19">
                  <c:v>13497.19</c:v>
                </c:pt>
                <c:pt idx="20">
                  <c:v>13678.36</c:v>
                </c:pt>
                <c:pt idx="21">
                  <c:v>13633.07</c:v>
                </c:pt>
                <c:pt idx="22">
                  <c:v>13904.82</c:v>
                </c:pt>
                <c:pt idx="23">
                  <c:v>14221.87</c:v>
                </c:pt>
                <c:pt idx="24">
                  <c:v>13678.36</c:v>
                </c:pt>
                <c:pt idx="25">
                  <c:v>12863.09</c:v>
                </c:pt>
                <c:pt idx="26">
                  <c:v>12953.68</c:v>
                </c:pt>
                <c:pt idx="27">
                  <c:v>13044.26</c:v>
                </c:pt>
                <c:pt idx="28">
                  <c:v>12817.8</c:v>
                </c:pt>
                <c:pt idx="29">
                  <c:v>13316.02</c:v>
                </c:pt>
                <c:pt idx="30">
                  <c:v>13270.73</c:v>
                </c:pt>
                <c:pt idx="31">
                  <c:v>13406.61</c:v>
                </c:pt>
                <c:pt idx="32">
                  <c:v>13180.14</c:v>
                </c:pt>
                <c:pt idx="33">
                  <c:v>13225.44</c:v>
                </c:pt>
                <c:pt idx="34">
                  <c:v>13497.19</c:v>
                </c:pt>
                <c:pt idx="35">
                  <c:v>13406.61</c:v>
                </c:pt>
                <c:pt idx="36">
                  <c:v>13633.07</c:v>
                </c:pt>
                <c:pt idx="37">
                  <c:v>13633.07</c:v>
                </c:pt>
                <c:pt idx="38">
                  <c:v>13768.95</c:v>
                </c:pt>
                <c:pt idx="39">
                  <c:v>13723.65</c:v>
                </c:pt>
                <c:pt idx="40">
                  <c:v>13995.41</c:v>
                </c:pt>
                <c:pt idx="41">
                  <c:v>14040.7</c:v>
                </c:pt>
                <c:pt idx="42">
                  <c:v>13950.12</c:v>
                </c:pt>
                <c:pt idx="43">
                  <c:v>14040.7</c:v>
                </c:pt>
                <c:pt idx="44">
                  <c:v>14221.87</c:v>
                </c:pt>
                <c:pt idx="45">
                  <c:v>14040.7</c:v>
                </c:pt>
                <c:pt idx="46">
                  <c:v>14040.7</c:v>
                </c:pt>
                <c:pt idx="47">
                  <c:v>13587.78</c:v>
                </c:pt>
                <c:pt idx="48">
                  <c:v>13768.95</c:v>
                </c:pt>
                <c:pt idx="49">
                  <c:v>13497.19</c:v>
                </c:pt>
                <c:pt idx="50">
                  <c:v>13451.9</c:v>
                </c:pt>
                <c:pt idx="51">
                  <c:v>13542.48</c:v>
                </c:pt>
                <c:pt idx="52">
                  <c:v>13633.07</c:v>
                </c:pt>
                <c:pt idx="53">
                  <c:v>13950.12</c:v>
                </c:pt>
                <c:pt idx="54">
                  <c:v>14448.33</c:v>
                </c:pt>
                <c:pt idx="55">
                  <c:v>14357.75</c:v>
                </c:pt>
                <c:pt idx="56">
                  <c:v>14629.51</c:v>
                </c:pt>
                <c:pt idx="57">
                  <c:v>14493.63</c:v>
                </c:pt>
                <c:pt idx="58">
                  <c:v>14493.63</c:v>
                </c:pt>
                <c:pt idx="59">
                  <c:v>14493.63</c:v>
                </c:pt>
                <c:pt idx="60">
                  <c:v>14493.63</c:v>
                </c:pt>
                <c:pt idx="61">
                  <c:v>15082.43</c:v>
                </c:pt>
                <c:pt idx="62">
                  <c:v>15535.36</c:v>
                </c:pt>
                <c:pt idx="63">
                  <c:v>15988.28</c:v>
                </c:pt>
                <c:pt idx="64">
                  <c:v>16758.259999999998</c:v>
                </c:pt>
                <c:pt idx="65">
                  <c:v>17075.3</c:v>
                </c:pt>
                <c:pt idx="66">
                  <c:v>16622.38</c:v>
                </c:pt>
                <c:pt idx="67">
                  <c:v>16894.13</c:v>
                </c:pt>
                <c:pt idx="68">
                  <c:v>16936</c:v>
                </c:pt>
                <c:pt idx="69">
                  <c:v>16664.3</c:v>
                </c:pt>
                <c:pt idx="70">
                  <c:v>16754.87</c:v>
                </c:pt>
                <c:pt idx="71">
                  <c:v>16302.04</c:v>
                </c:pt>
                <c:pt idx="72">
                  <c:v>15985.05</c:v>
                </c:pt>
                <c:pt idx="73">
                  <c:v>16347.32</c:v>
                </c:pt>
                <c:pt idx="74">
                  <c:v>16302.04</c:v>
                </c:pt>
                <c:pt idx="75">
                  <c:v>16890.72</c:v>
                </c:pt>
                <c:pt idx="76">
                  <c:v>16754.87</c:v>
                </c:pt>
                <c:pt idx="77">
                  <c:v>16619.02</c:v>
                </c:pt>
                <c:pt idx="78">
                  <c:v>17071.86</c:v>
                </c:pt>
                <c:pt idx="79">
                  <c:v>16754.87</c:v>
                </c:pt>
                <c:pt idx="80">
                  <c:v>16709.59</c:v>
                </c:pt>
                <c:pt idx="81">
                  <c:v>16392.599999999999</c:v>
                </c:pt>
                <c:pt idx="82">
                  <c:v>16528.45</c:v>
                </c:pt>
                <c:pt idx="83">
                  <c:v>16709.59</c:v>
                </c:pt>
                <c:pt idx="84">
                  <c:v>16800.150000000001</c:v>
                </c:pt>
                <c:pt idx="85">
                  <c:v>16890.72</c:v>
                </c:pt>
                <c:pt idx="86">
                  <c:v>16845.439999999999</c:v>
                </c:pt>
                <c:pt idx="87">
                  <c:v>16619.02</c:v>
                </c:pt>
                <c:pt idx="88">
                  <c:v>16664.3</c:v>
                </c:pt>
                <c:pt idx="89">
                  <c:v>16845.439999999999</c:v>
                </c:pt>
                <c:pt idx="90">
                  <c:v>16867.169999999998</c:v>
                </c:pt>
                <c:pt idx="91">
                  <c:v>16957.61</c:v>
                </c:pt>
                <c:pt idx="92">
                  <c:v>17002.830000000002</c:v>
                </c:pt>
                <c:pt idx="93">
                  <c:v>17319.37</c:v>
                </c:pt>
                <c:pt idx="94">
                  <c:v>17183.71</c:v>
                </c:pt>
                <c:pt idx="95">
                  <c:v>16731.509999999998</c:v>
                </c:pt>
                <c:pt idx="96">
                  <c:v>16324.53</c:v>
                </c:pt>
                <c:pt idx="97">
                  <c:v>16007.99</c:v>
                </c:pt>
                <c:pt idx="98">
                  <c:v>15781.88</c:v>
                </c:pt>
                <c:pt idx="99">
                  <c:v>16053.21</c:v>
                </c:pt>
                <c:pt idx="100">
                  <c:v>17048.05</c:v>
                </c:pt>
                <c:pt idx="101">
                  <c:v>16595.849999999999</c:v>
                </c:pt>
                <c:pt idx="102">
                  <c:v>16731.509999999998</c:v>
                </c:pt>
                <c:pt idx="103">
                  <c:v>16867.169999999998</c:v>
                </c:pt>
                <c:pt idx="104">
                  <c:v>17319.37</c:v>
                </c:pt>
                <c:pt idx="105">
                  <c:v>16912.39</c:v>
                </c:pt>
                <c:pt idx="106">
                  <c:v>17093.27</c:v>
                </c:pt>
                <c:pt idx="107">
                  <c:v>17048.05</c:v>
                </c:pt>
                <c:pt idx="108">
                  <c:v>16912.39</c:v>
                </c:pt>
                <c:pt idx="109">
                  <c:v>16821.95</c:v>
                </c:pt>
                <c:pt idx="110">
                  <c:v>16641.07</c:v>
                </c:pt>
                <c:pt idx="111">
                  <c:v>16369.75</c:v>
                </c:pt>
                <c:pt idx="112">
                  <c:v>16265.98</c:v>
                </c:pt>
                <c:pt idx="113">
                  <c:v>16717.82</c:v>
                </c:pt>
                <c:pt idx="114">
                  <c:v>16401.53</c:v>
                </c:pt>
                <c:pt idx="115">
                  <c:v>16265.98</c:v>
                </c:pt>
                <c:pt idx="116">
                  <c:v>16627.45</c:v>
                </c:pt>
                <c:pt idx="117">
                  <c:v>15904.52</c:v>
                </c:pt>
                <c:pt idx="118">
                  <c:v>15543.05</c:v>
                </c:pt>
                <c:pt idx="119">
                  <c:v>15362.32</c:v>
                </c:pt>
                <c:pt idx="120">
                  <c:v>15226.77</c:v>
                </c:pt>
                <c:pt idx="121">
                  <c:v>15362.32</c:v>
                </c:pt>
                <c:pt idx="122">
                  <c:v>15271.95</c:v>
                </c:pt>
                <c:pt idx="123">
                  <c:v>15181.59</c:v>
                </c:pt>
                <c:pt idx="124">
                  <c:v>15091.22</c:v>
                </c:pt>
                <c:pt idx="125">
                  <c:v>15407.5</c:v>
                </c:pt>
                <c:pt idx="126">
                  <c:v>15407.5</c:v>
                </c:pt>
                <c:pt idx="127">
                  <c:v>15362.32</c:v>
                </c:pt>
                <c:pt idx="128">
                  <c:v>15362.32</c:v>
                </c:pt>
                <c:pt idx="129">
                  <c:v>15362.32</c:v>
                </c:pt>
                <c:pt idx="130">
                  <c:v>15633.42</c:v>
                </c:pt>
                <c:pt idx="131">
                  <c:v>15630.26</c:v>
                </c:pt>
                <c:pt idx="132">
                  <c:v>15359.21</c:v>
                </c:pt>
                <c:pt idx="133">
                  <c:v>15359.21</c:v>
                </c:pt>
                <c:pt idx="134">
                  <c:v>15404.39</c:v>
                </c:pt>
                <c:pt idx="135">
                  <c:v>15268.87</c:v>
                </c:pt>
                <c:pt idx="136">
                  <c:v>15359.21</c:v>
                </c:pt>
                <c:pt idx="137">
                  <c:v>15223.69</c:v>
                </c:pt>
                <c:pt idx="138">
                  <c:v>15449.56</c:v>
                </c:pt>
                <c:pt idx="139">
                  <c:v>15449.56</c:v>
                </c:pt>
                <c:pt idx="140">
                  <c:v>15765.78</c:v>
                </c:pt>
                <c:pt idx="141">
                  <c:v>15720.61</c:v>
                </c:pt>
                <c:pt idx="142">
                  <c:v>15856.13</c:v>
                </c:pt>
                <c:pt idx="143">
                  <c:v>16172.35</c:v>
                </c:pt>
                <c:pt idx="144">
                  <c:v>16082</c:v>
                </c:pt>
                <c:pt idx="145">
                  <c:v>15946.48</c:v>
                </c:pt>
                <c:pt idx="146">
                  <c:v>15991.65</c:v>
                </c:pt>
                <c:pt idx="147">
                  <c:v>15223.69</c:v>
                </c:pt>
                <c:pt idx="148">
                  <c:v>14862.3</c:v>
                </c:pt>
                <c:pt idx="149">
                  <c:v>15178.52</c:v>
                </c:pt>
                <c:pt idx="150">
                  <c:v>15178.52</c:v>
                </c:pt>
                <c:pt idx="151">
                  <c:v>14952.65</c:v>
                </c:pt>
                <c:pt idx="152">
                  <c:v>15268.87</c:v>
                </c:pt>
                <c:pt idx="153">
                  <c:v>15585.08</c:v>
                </c:pt>
                <c:pt idx="154">
                  <c:v>15675.43</c:v>
                </c:pt>
                <c:pt idx="155">
                  <c:v>15810.96</c:v>
                </c:pt>
                <c:pt idx="156">
                  <c:v>15539.91</c:v>
                </c:pt>
                <c:pt idx="157">
                  <c:v>15494.74</c:v>
                </c:pt>
                <c:pt idx="158">
                  <c:v>15494.74</c:v>
                </c:pt>
                <c:pt idx="159">
                  <c:v>16127.17</c:v>
                </c:pt>
                <c:pt idx="160">
                  <c:v>16488.57</c:v>
                </c:pt>
                <c:pt idx="161">
                  <c:v>16669.259999999998</c:v>
                </c:pt>
                <c:pt idx="162">
                  <c:v>16578.919999999998</c:v>
                </c:pt>
                <c:pt idx="163">
                  <c:v>16533.740000000002</c:v>
                </c:pt>
                <c:pt idx="164">
                  <c:v>16759.61</c:v>
                </c:pt>
                <c:pt idx="165">
                  <c:v>16895.14</c:v>
                </c:pt>
                <c:pt idx="166">
                  <c:v>16578.919999999998</c:v>
                </c:pt>
                <c:pt idx="167">
                  <c:v>16488.57</c:v>
                </c:pt>
                <c:pt idx="168">
                  <c:v>16307.87</c:v>
                </c:pt>
                <c:pt idx="169">
                  <c:v>16443.39</c:v>
                </c:pt>
                <c:pt idx="170">
                  <c:v>15901.3</c:v>
                </c:pt>
                <c:pt idx="171">
                  <c:v>16395.55</c:v>
                </c:pt>
                <c:pt idx="172">
                  <c:v>15898.71</c:v>
                </c:pt>
                <c:pt idx="173">
                  <c:v>15853.55</c:v>
                </c:pt>
                <c:pt idx="174">
                  <c:v>16440.72</c:v>
                </c:pt>
                <c:pt idx="175">
                  <c:v>16214.88</c:v>
                </c:pt>
                <c:pt idx="176">
                  <c:v>16305.22</c:v>
                </c:pt>
                <c:pt idx="177">
                  <c:v>16214.88</c:v>
                </c:pt>
                <c:pt idx="178">
                  <c:v>16169.72</c:v>
                </c:pt>
                <c:pt idx="179">
                  <c:v>15943.88</c:v>
                </c:pt>
                <c:pt idx="180">
                  <c:v>15943.88</c:v>
                </c:pt>
                <c:pt idx="181">
                  <c:v>16260.05</c:v>
                </c:pt>
                <c:pt idx="182">
                  <c:v>16305.22</c:v>
                </c:pt>
                <c:pt idx="183">
                  <c:v>16305.22</c:v>
                </c:pt>
                <c:pt idx="184">
                  <c:v>16350.38</c:v>
                </c:pt>
                <c:pt idx="185">
                  <c:v>15943.88</c:v>
                </c:pt>
                <c:pt idx="186">
                  <c:v>15763.21</c:v>
                </c:pt>
                <c:pt idx="187">
                  <c:v>15853.55</c:v>
                </c:pt>
                <c:pt idx="188">
                  <c:v>15853.55</c:v>
                </c:pt>
                <c:pt idx="189">
                  <c:v>15672.88</c:v>
                </c:pt>
                <c:pt idx="190">
                  <c:v>15221.21</c:v>
                </c:pt>
                <c:pt idx="191">
                  <c:v>14543.71</c:v>
                </c:pt>
                <c:pt idx="192">
                  <c:v>14498.54</c:v>
                </c:pt>
                <c:pt idx="193">
                  <c:v>14079.73</c:v>
                </c:pt>
                <c:pt idx="194">
                  <c:v>13402.82</c:v>
                </c:pt>
                <c:pt idx="195">
                  <c:v>12680.78</c:v>
                </c:pt>
                <c:pt idx="196">
                  <c:v>11687.98</c:v>
                </c:pt>
                <c:pt idx="197">
                  <c:v>11958.74</c:v>
                </c:pt>
                <c:pt idx="198">
                  <c:v>11372.09</c:v>
                </c:pt>
                <c:pt idx="199">
                  <c:v>12455.14</c:v>
                </c:pt>
                <c:pt idx="200">
                  <c:v>12364.89</c:v>
                </c:pt>
                <c:pt idx="201">
                  <c:v>12635.65</c:v>
                </c:pt>
                <c:pt idx="202">
                  <c:v>12590.52</c:v>
                </c:pt>
                <c:pt idx="203">
                  <c:v>12049</c:v>
                </c:pt>
                <c:pt idx="204">
                  <c:v>12139.25</c:v>
                </c:pt>
                <c:pt idx="205">
                  <c:v>11778.23</c:v>
                </c:pt>
                <c:pt idx="206">
                  <c:v>11958.74</c:v>
                </c:pt>
                <c:pt idx="207">
                  <c:v>12229.51</c:v>
                </c:pt>
                <c:pt idx="208">
                  <c:v>12229.51</c:v>
                </c:pt>
                <c:pt idx="209">
                  <c:v>12545.4</c:v>
                </c:pt>
                <c:pt idx="210">
                  <c:v>12410.01</c:v>
                </c:pt>
                <c:pt idx="211">
                  <c:v>12364.89</c:v>
                </c:pt>
                <c:pt idx="212">
                  <c:v>12759.02</c:v>
                </c:pt>
                <c:pt idx="213">
                  <c:v>12623.76</c:v>
                </c:pt>
                <c:pt idx="214">
                  <c:v>12804.1</c:v>
                </c:pt>
                <c:pt idx="215">
                  <c:v>12849.19</c:v>
                </c:pt>
                <c:pt idx="216">
                  <c:v>12713.93</c:v>
                </c:pt>
                <c:pt idx="217">
                  <c:v>12578.68</c:v>
                </c:pt>
                <c:pt idx="218">
                  <c:v>12939.36</c:v>
                </c:pt>
                <c:pt idx="219">
                  <c:v>13660.71</c:v>
                </c:pt>
                <c:pt idx="220">
                  <c:v>13480.37</c:v>
                </c:pt>
                <c:pt idx="221">
                  <c:v>13435.29</c:v>
                </c:pt>
                <c:pt idx="222">
                  <c:v>13345.12</c:v>
                </c:pt>
                <c:pt idx="223">
                  <c:v>13254.95</c:v>
                </c:pt>
                <c:pt idx="224">
                  <c:v>13795.97</c:v>
                </c:pt>
                <c:pt idx="225">
                  <c:v>13886.14</c:v>
                </c:pt>
                <c:pt idx="226">
                  <c:v>13931.22</c:v>
                </c:pt>
                <c:pt idx="227">
                  <c:v>13660.71</c:v>
                </c:pt>
                <c:pt idx="228">
                  <c:v>13750.88</c:v>
                </c:pt>
                <c:pt idx="229">
                  <c:v>13931.22</c:v>
                </c:pt>
                <c:pt idx="230">
                  <c:v>13841.05</c:v>
                </c:pt>
                <c:pt idx="231">
                  <c:v>13705.8</c:v>
                </c:pt>
                <c:pt idx="232">
                  <c:v>13750.88</c:v>
                </c:pt>
                <c:pt idx="233">
                  <c:v>13254.95</c:v>
                </c:pt>
                <c:pt idx="234">
                  <c:v>13296.44</c:v>
                </c:pt>
                <c:pt idx="235">
                  <c:v>13611.95</c:v>
                </c:pt>
                <c:pt idx="236">
                  <c:v>13611.95</c:v>
                </c:pt>
                <c:pt idx="237">
                  <c:v>13611.95</c:v>
                </c:pt>
                <c:pt idx="238">
                  <c:v>13702.09</c:v>
                </c:pt>
                <c:pt idx="239">
                  <c:v>13792.24</c:v>
                </c:pt>
                <c:pt idx="240">
                  <c:v>13566.88</c:v>
                </c:pt>
                <c:pt idx="241">
                  <c:v>13251.37</c:v>
                </c:pt>
                <c:pt idx="242">
                  <c:v>13521.8</c:v>
                </c:pt>
                <c:pt idx="243">
                  <c:v>13611.95</c:v>
                </c:pt>
                <c:pt idx="244">
                  <c:v>13431.66</c:v>
                </c:pt>
                <c:pt idx="245">
                  <c:v>13071.08</c:v>
                </c:pt>
                <c:pt idx="246">
                  <c:v>12980.93</c:v>
                </c:pt>
                <c:pt idx="247">
                  <c:v>12845.71</c:v>
                </c:pt>
                <c:pt idx="248">
                  <c:v>13161.22</c:v>
                </c:pt>
                <c:pt idx="249">
                  <c:v>12800.64</c:v>
                </c:pt>
                <c:pt idx="250">
                  <c:v>13071.08</c:v>
                </c:pt>
                <c:pt idx="251">
                  <c:v>13251.37</c:v>
                </c:pt>
                <c:pt idx="252">
                  <c:v>13116.15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99-46F9-B628-0ED710482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840176"/>
        <c:axId val="1997833936"/>
      </c:scatterChart>
      <c:valAx>
        <c:axId val="199784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0" i="0" u="none" strike="noStrike" baseline="0"/>
                  <a:t>Shares on Issue (billions)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#,##0.00##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33936"/>
        <c:crosses val="autoZero"/>
        <c:crossBetween val="midCat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997833936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0" i="0" u="none" strike="noStrike" baseline="0"/>
                  <a:t>Market Capitalisation ($m)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4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Dividend</a:t>
            </a:r>
            <a:r>
              <a:rPr lang="en-AU" baseline="0"/>
              <a:t> Yield vs Stock Price </a:t>
            </a:r>
            <a:r>
              <a:rPr lang="en-AU" sz="1400" b="0" i="0" u="none" strike="noStrike" baseline="0"/>
              <a:t>(South32, 2024/2025)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'Dividend -Yield'!$C$1</c:f>
              <c:strCache>
                <c:ptCount val="1"/>
                <c:pt idx="0">
                  <c:v>Dividends Yield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78"/>
            <c:invertIfNegative val="0"/>
            <c:bubble3D val="0"/>
            <c:spPr>
              <a:solidFill>
                <a:schemeClr val="accent2"/>
              </a:solidFill>
              <a:ln w="41275"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49D-435E-9498-1637799075F6}"/>
              </c:ext>
            </c:extLst>
          </c:dPt>
          <c:dPt>
            <c:idx val="194"/>
            <c:invertIfNegative val="0"/>
            <c:bubble3D val="0"/>
            <c:spPr>
              <a:solidFill>
                <a:schemeClr val="accent2"/>
              </a:solidFill>
              <a:ln w="28575"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49D-435E-9498-1637799075F6}"/>
              </c:ext>
            </c:extLst>
          </c:dPt>
          <c:dLbls>
            <c:dLbl>
              <c:idx val="78"/>
              <c:layout>
                <c:manualLayout>
                  <c:x val="8.6458989779364656E-2"/>
                  <c:y val="5.3736356003358458E-2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rgbClr val="FF0000"/>
                        </a:solidFill>
                      </a:rPr>
                      <a:t>Final</a:t>
                    </a:r>
                    <a:r>
                      <a:rPr lang="en-US" baseline="0">
                        <a:solidFill>
                          <a:srgbClr val="FF0000"/>
                        </a:solidFill>
                      </a:rPr>
                      <a:t> Dividend (Oct 2024)</a:t>
                    </a:r>
                    <a:endParaRPr lang="en-US">
                      <a:solidFill>
                        <a:srgbClr val="FF0000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49D-435E-9498-1637799075F6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r>
                      <a:rPr lang="en-US">
                        <a:solidFill>
                          <a:srgbClr val="FF0000"/>
                        </a:solidFill>
                      </a:rPr>
                      <a:t>Interim Dividend (April 2025)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549D-435E-9498-1637799075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'Dividend -Yield'!$A$2:$A$254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'Dividend -Yield'!$C$2:$C$254</c:f>
              <c:numCache>
                <c:formatCode>0.00%</c:formatCode>
                <c:ptCount val="2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1.220159151193634E-2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1.8181818181818198E-2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9D-435E-9498-163779907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00053840"/>
        <c:axId val="1100053360"/>
      </c:barChart>
      <c:lineChart>
        <c:grouping val="standard"/>
        <c:varyColors val="0"/>
        <c:ser>
          <c:idx val="0"/>
          <c:order val="0"/>
          <c:tx>
            <c:strRef>
              <c:f>'Dividend -Yield'!$B$1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'Dividend -Yield'!$A$2:$A$254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'Dividend -Yield'!$B$2:$B$254</c:f>
              <c:numCache>
                <c:formatCode>"$"#,##0.00</c:formatCode>
                <c:ptCount val="253"/>
                <c:pt idx="0">
                  <c:v>3.71</c:v>
                </c:pt>
                <c:pt idx="1">
                  <c:v>3.73</c:v>
                </c:pt>
                <c:pt idx="2">
                  <c:v>3.78</c:v>
                </c:pt>
                <c:pt idx="3">
                  <c:v>3.85</c:v>
                </c:pt>
                <c:pt idx="4">
                  <c:v>3.82</c:v>
                </c:pt>
                <c:pt idx="5">
                  <c:v>3.7</c:v>
                </c:pt>
                <c:pt idx="6">
                  <c:v>3.72</c:v>
                </c:pt>
                <c:pt idx="7">
                  <c:v>3.64</c:v>
                </c:pt>
                <c:pt idx="8">
                  <c:v>3.62</c:v>
                </c:pt>
                <c:pt idx="9">
                  <c:v>3.62</c:v>
                </c:pt>
                <c:pt idx="10">
                  <c:v>3.62</c:v>
                </c:pt>
                <c:pt idx="11">
                  <c:v>3.57</c:v>
                </c:pt>
                <c:pt idx="12">
                  <c:v>3.55</c:v>
                </c:pt>
                <c:pt idx="13">
                  <c:v>3.49</c:v>
                </c:pt>
                <c:pt idx="14">
                  <c:v>3.42</c:v>
                </c:pt>
                <c:pt idx="15">
                  <c:v>2.99</c:v>
                </c:pt>
                <c:pt idx="16">
                  <c:v>2.98</c:v>
                </c:pt>
                <c:pt idx="17">
                  <c:v>2.96</c:v>
                </c:pt>
                <c:pt idx="18">
                  <c:v>2.91</c:v>
                </c:pt>
                <c:pt idx="19">
                  <c:v>2.98</c:v>
                </c:pt>
                <c:pt idx="20">
                  <c:v>3.02</c:v>
                </c:pt>
                <c:pt idx="21">
                  <c:v>3.01</c:v>
                </c:pt>
                <c:pt idx="22">
                  <c:v>3.07</c:v>
                </c:pt>
                <c:pt idx="23">
                  <c:v>3.14</c:v>
                </c:pt>
                <c:pt idx="24">
                  <c:v>3.02</c:v>
                </c:pt>
                <c:pt idx="25">
                  <c:v>2.84</c:v>
                </c:pt>
                <c:pt idx="26">
                  <c:v>2.86</c:v>
                </c:pt>
                <c:pt idx="27">
                  <c:v>2.88</c:v>
                </c:pt>
                <c:pt idx="28">
                  <c:v>2.83</c:v>
                </c:pt>
                <c:pt idx="29">
                  <c:v>2.94</c:v>
                </c:pt>
                <c:pt idx="30">
                  <c:v>2.93</c:v>
                </c:pt>
                <c:pt idx="31">
                  <c:v>2.96</c:v>
                </c:pt>
                <c:pt idx="32">
                  <c:v>2.91</c:v>
                </c:pt>
                <c:pt idx="33">
                  <c:v>2.92</c:v>
                </c:pt>
                <c:pt idx="34">
                  <c:v>2.98</c:v>
                </c:pt>
                <c:pt idx="35">
                  <c:v>2.96</c:v>
                </c:pt>
                <c:pt idx="36">
                  <c:v>3.01</c:v>
                </c:pt>
                <c:pt idx="37">
                  <c:v>3.01</c:v>
                </c:pt>
                <c:pt idx="38">
                  <c:v>3.04</c:v>
                </c:pt>
                <c:pt idx="39">
                  <c:v>3.03</c:v>
                </c:pt>
                <c:pt idx="40">
                  <c:v>3.09</c:v>
                </c:pt>
                <c:pt idx="41">
                  <c:v>3.1</c:v>
                </c:pt>
                <c:pt idx="42">
                  <c:v>3.08</c:v>
                </c:pt>
                <c:pt idx="43">
                  <c:v>3.1</c:v>
                </c:pt>
                <c:pt idx="44">
                  <c:v>3.14</c:v>
                </c:pt>
                <c:pt idx="45">
                  <c:v>3.1</c:v>
                </c:pt>
                <c:pt idx="46">
                  <c:v>3.1</c:v>
                </c:pt>
                <c:pt idx="47">
                  <c:v>3</c:v>
                </c:pt>
                <c:pt idx="48">
                  <c:v>3.04</c:v>
                </c:pt>
                <c:pt idx="49">
                  <c:v>2.98</c:v>
                </c:pt>
                <c:pt idx="50">
                  <c:v>2.97</c:v>
                </c:pt>
                <c:pt idx="51">
                  <c:v>2.99</c:v>
                </c:pt>
                <c:pt idx="52">
                  <c:v>3.01</c:v>
                </c:pt>
                <c:pt idx="53">
                  <c:v>3.08</c:v>
                </c:pt>
                <c:pt idx="54">
                  <c:v>3.19</c:v>
                </c:pt>
                <c:pt idx="55">
                  <c:v>3.17</c:v>
                </c:pt>
                <c:pt idx="56">
                  <c:v>3.23</c:v>
                </c:pt>
                <c:pt idx="57">
                  <c:v>3.2</c:v>
                </c:pt>
                <c:pt idx="58">
                  <c:v>3.2</c:v>
                </c:pt>
                <c:pt idx="59">
                  <c:v>3.2</c:v>
                </c:pt>
                <c:pt idx="60">
                  <c:v>3.2</c:v>
                </c:pt>
                <c:pt idx="61">
                  <c:v>3.33</c:v>
                </c:pt>
                <c:pt idx="62">
                  <c:v>3.43</c:v>
                </c:pt>
                <c:pt idx="63">
                  <c:v>3.53</c:v>
                </c:pt>
                <c:pt idx="64">
                  <c:v>3.7</c:v>
                </c:pt>
                <c:pt idx="65">
                  <c:v>3.77</c:v>
                </c:pt>
                <c:pt idx="66">
                  <c:v>3.67</c:v>
                </c:pt>
                <c:pt idx="67">
                  <c:v>3.73</c:v>
                </c:pt>
                <c:pt idx="68">
                  <c:v>3.74</c:v>
                </c:pt>
                <c:pt idx="69">
                  <c:v>3.68</c:v>
                </c:pt>
                <c:pt idx="70">
                  <c:v>3.7</c:v>
                </c:pt>
                <c:pt idx="71">
                  <c:v>3.6</c:v>
                </c:pt>
                <c:pt idx="72">
                  <c:v>3.53</c:v>
                </c:pt>
                <c:pt idx="73">
                  <c:v>3.61</c:v>
                </c:pt>
                <c:pt idx="74">
                  <c:v>3.6</c:v>
                </c:pt>
                <c:pt idx="75">
                  <c:v>3.73</c:v>
                </c:pt>
                <c:pt idx="76">
                  <c:v>3.7</c:v>
                </c:pt>
                <c:pt idx="77">
                  <c:v>3.67</c:v>
                </c:pt>
                <c:pt idx="78">
                  <c:v>3.77</c:v>
                </c:pt>
                <c:pt idx="79">
                  <c:v>3.7</c:v>
                </c:pt>
                <c:pt idx="80">
                  <c:v>3.69</c:v>
                </c:pt>
                <c:pt idx="81">
                  <c:v>3.62</c:v>
                </c:pt>
                <c:pt idx="82">
                  <c:v>3.65</c:v>
                </c:pt>
                <c:pt idx="83">
                  <c:v>3.69</c:v>
                </c:pt>
                <c:pt idx="84">
                  <c:v>3.71</c:v>
                </c:pt>
                <c:pt idx="85">
                  <c:v>3.73</c:v>
                </c:pt>
                <c:pt idx="86">
                  <c:v>3.72</c:v>
                </c:pt>
                <c:pt idx="87">
                  <c:v>3.67</c:v>
                </c:pt>
                <c:pt idx="88">
                  <c:v>3.68</c:v>
                </c:pt>
                <c:pt idx="89">
                  <c:v>3.72</c:v>
                </c:pt>
                <c:pt idx="90">
                  <c:v>3.73</c:v>
                </c:pt>
                <c:pt idx="91">
                  <c:v>3.75</c:v>
                </c:pt>
                <c:pt idx="92">
                  <c:v>3.76</c:v>
                </c:pt>
                <c:pt idx="93">
                  <c:v>3.83</c:v>
                </c:pt>
                <c:pt idx="94">
                  <c:v>3.8</c:v>
                </c:pt>
                <c:pt idx="95">
                  <c:v>3.7</c:v>
                </c:pt>
                <c:pt idx="96">
                  <c:v>3.61</c:v>
                </c:pt>
                <c:pt idx="97">
                  <c:v>3.54</c:v>
                </c:pt>
                <c:pt idx="98">
                  <c:v>3.49</c:v>
                </c:pt>
                <c:pt idx="99">
                  <c:v>3.55</c:v>
                </c:pt>
                <c:pt idx="100">
                  <c:v>3.77</c:v>
                </c:pt>
                <c:pt idx="101">
                  <c:v>3.67</c:v>
                </c:pt>
                <c:pt idx="102">
                  <c:v>3.7</c:v>
                </c:pt>
                <c:pt idx="103">
                  <c:v>3.73</c:v>
                </c:pt>
                <c:pt idx="104">
                  <c:v>3.83</c:v>
                </c:pt>
                <c:pt idx="105">
                  <c:v>3.74</c:v>
                </c:pt>
                <c:pt idx="106">
                  <c:v>3.78</c:v>
                </c:pt>
                <c:pt idx="107">
                  <c:v>3.77</c:v>
                </c:pt>
                <c:pt idx="108">
                  <c:v>3.74</c:v>
                </c:pt>
                <c:pt idx="109">
                  <c:v>3.72</c:v>
                </c:pt>
                <c:pt idx="110">
                  <c:v>3.68</c:v>
                </c:pt>
                <c:pt idx="111">
                  <c:v>3.62</c:v>
                </c:pt>
                <c:pt idx="112">
                  <c:v>3.6</c:v>
                </c:pt>
                <c:pt idx="113">
                  <c:v>3.7</c:v>
                </c:pt>
                <c:pt idx="114">
                  <c:v>3.63</c:v>
                </c:pt>
                <c:pt idx="115">
                  <c:v>3.6</c:v>
                </c:pt>
                <c:pt idx="116">
                  <c:v>3.68</c:v>
                </c:pt>
                <c:pt idx="117">
                  <c:v>3.52</c:v>
                </c:pt>
                <c:pt idx="118">
                  <c:v>3.44</c:v>
                </c:pt>
                <c:pt idx="119">
                  <c:v>3.4</c:v>
                </c:pt>
                <c:pt idx="120">
                  <c:v>3.37</c:v>
                </c:pt>
                <c:pt idx="121">
                  <c:v>3.4</c:v>
                </c:pt>
                <c:pt idx="122">
                  <c:v>3.38</c:v>
                </c:pt>
                <c:pt idx="123">
                  <c:v>3.36</c:v>
                </c:pt>
                <c:pt idx="124">
                  <c:v>3.34</c:v>
                </c:pt>
                <c:pt idx="125">
                  <c:v>3.41</c:v>
                </c:pt>
                <c:pt idx="126">
                  <c:v>3.41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3.46</c:v>
                </c:pt>
                <c:pt idx="131">
                  <c:v>3.46</c:v>
                </c:pt>
                <c:pt idx="132">
                  <c:v>3.4</c:v>
                </c:pt>
                <c:pt idx="133">
                  <c:v>3.4</c:v>
                </c:pt>
                <c:pt idx="134">
                  <c:v>3.41</c:v>
                </c:pt>
                <c:pt idx="135">
                  <c:v>3.38</c:v>
                </c:pt>
                <c:pt idx="136">
                  <c:v>3.4</c:v>
                </c:pt>
                <c:pt idx="137">
                  <c:v>3.37</c:v>
                </c:pt>
                <c:pt idx="138">
                  <c:v>3.42</c:v>
                </c:pt>
                <c:pt idx="139">
                  <c:v>3.42</c:v>
                </c:pt>
                <c:pt idx="140">
                  <c:v>3.49</c:v>
                </c:pt>
                <c:pt idx="141">
                  <c:v>3.48</c:v>
                </c:pt>
                <c:pt idx="142">
                  <c:v>3.51</c:v>
                </c:pt>
                <c:pt idx="143">
                  <c:v>3.58</c:v>
                </c:pt>
                <c:pt idx="144">
                  <c:v>3.56</c:v>
                </c:pt>
                <c:pt idx="145">
                  <c:v>3.53</c:v>
                </c:pt>
                <c:pt idx="146">
                  <c:v>3.54</c:v>
                </c:pt>
                <c:pt idx="147">
                  <c:v>3.37</c:v>
                </c:pt>
                <c:pt idx="148">
                  <c:v>3.29</c:v>
                </c:pt>
                <c:pt idx="149">
                  <c:v>3.36</c:v>
                </c:pt>
                <c:pt idx="150">
                  <c:v>3.36</c:v>
                </c:pt>
                <c:pt idx="151">
                  <c:v>3.31</c:v>
                </c:pt>
                <c:pt idx="152">
                  <c:v>3.38</c:v>
                </c:pt>
                <c:pt idx="153">
                  <c:v>3.45</c:v>
                </c:pt>
                <c:pt idx="154">
                  <c:v>3.47</c:v>
                </c:pt>
                <c:pt idx="155">
                  <c:v>3.5</c:v>
                </c:pt>
                <c:pt idx="156">
                  <c:v>3.44</c:v>
                </c:pt>
                <c:pt idx="157">
                  <c:v>3.43</c:v>
                </c:pt>
                <c:pt idx="158">
                  <c:v>3.43</c:v>
                </c:pt>
                <c:pt idx="159">
                  <c:v>3.57</c:v>
                </c:pt>
                <c:pt idx="160">
                  <c:v>3.65</c:v>
                </c:pt>
                <c:pt idx="161">
                  <c:v>3.69</c:v>
                </c:pt>
                <c:pt idx="162">
                  <c:v>3.67</c:v>
                </c:pt>
                <c:pt idx="163">
                  <c:v>3.66</c:v>
                </c:pt>
                <c:pt idx="164">
                  <c:v>3.71</c:v>
                </c:pt>
                <c:pt idx="165">
                  <c:v>3.74</c:v>
                </c:pt>
                <c:pt idx="166">
                  <c:v>3.67</c:v>
                </c:pt>
                <c:pt idx="167">
                  <c:v>3.65</c:v>
                </c:pt>
                <c:pt idx="168">
                  <c:v>3.61</c:v>
                </c:pt>
                <c:pt idx="169">
                  <c:v>3.64</c:v>
                </c:pt>
                <c:pt idx="170">
                  <c:v>3.52</c:v>
                </c:pt>
                <c:pt idx="171">
                  <c:v>3.63</c:v>
                </c:pt>
                <c:pt idx="172">
                  <c:v>3.52</c:v>
                </c:pt>
                <c:pt idx="173">
                  <c:v>3.51</c:v>
                </c:pt>
                <c:pt idx="174">
                  <c:v>3.64</c:v>
                </c:pt>
                <c:pt idx="175">
                  <c:v>3.59</c:v>
                </c:pt>
                <c:pt idx="176">
                  <c:v>3.61</c:v>
                </c:pt>
                <c:pt idx="177">
                  <c:v>3.59</c:v>
                </c:pt>
                <c:pt idx="178">
                  <c:v>3.58</c:v>
                </c:pt>
                <c:pt idx="179">
                  <c:v>3.53</c:v>
                </c:pt>
                <c:pt idx="180">
                  <c:v>3.53</c:v>
                </c:pt>
                <c:pt idx="181">
                  <c:v>3.6</c:v>
                </c:pt>
                <c:pt idx="182">
                  <c:v>3.61</c:v>
                </c:pt>
                <c:pt idx="183">
                  <c:v>3.61</c:v>
                </c:pt>
                <c:pt idx="184">
                  <c:v>3.62</c:v>
                </c:pt>
                <c:pt idx="185">
                  <c:v>3.53</c:v>
                </c:pt>
                <c:pt idx="186">
                  <c:v>3.49</c:v>
                </c:pt>
                <c:pt idx="187">
                  <c:v>3.51</c:v>
                </c:pt>
                <c:pt idx="188">
                  <c:v>3.51</c:v>
                </c:pt>
                <c:pt idx="189">
                  <c:v>3.47</c:v>
                </c:pt>
                <c:pt idx="190">
                  <c:v>3.37</c:v>
                </c:pt>
                <c:pt idx="191">
                  <c:v>3.22</c:v>
                </c:pt>
                <c:pt idx="192">
                  <c:v>3.21</c:v>
                </c:pt>
                <c:pt idx="193">
                  <c:v>3.12</c:v>
                </c:pt>
                <c:pt idx="194">
                  <c:v>2.97</c:v>
                </c:pt>
                <c:pt idx="195">
                  <c:v>2.81</c:v>
                </c:pt>
                <c:pt idx="196">
                  <c:v>2.59</c:v>
                </c:pt>
                <c:pt idx="197">
                  <c:v>2.65</c:v>
                </c:pt>
                <c:pt idx="198">
                  <c:v>2.52</c:v>
                </c:pt>
                <c:pt idx="199">
                  <c:v>2.76</c:v>
                </c:pt>
                <c:pt idx="200">
                  <c:v>2.74</c:v>
                </c:pt>
                <c:pt idx="201">
                  <c:v>2.8</c:v>
                </c:pt>
                <c:pt idx="202">
                  <c:v>2.79</c:v>
                </c:pt>
                <c:pt idx="203">
                  <c:v>2.67</c:v>
                </c:pt>
                <c:pt idx="204">
                  <c:v>2.69</c:v>
                </c:pt>
                <c:pt idx="205">
                  <c:v>2.61</c:v>
                </c:pt>
                <c:pt idx="206">
                  <c:v>2.65</c:v>
                </c:pt>
                <c:pt idx="207">
                  <c:v>2.71</c:v>
                </c:pt>
                <c:pt idx="208">
                  <c:v>2.71</c:v>
                </c:pt>
                <c:pt idx="209">
                  <c:v>2.78</c:v>
                </c:pt>
                <c:pt idx="210">
                  <c:v>2.75</c:v>
                </c:pt>
                <c:pt idx="211">
                  <c:v>2.74</c:v>
                </c:pt>
                <c:pt idx="212">
                  <c:v>2.83</c:v>
                </c:pt>
                <c:pt idx="213">
                  <c:v>2.8</c:v>
                </c:pt>
                <c:pt idx="214">
                  <c:v>2.84</c:v>
                </c:pt>
                <c:pt idx="215">
                  <c:v>2.85</c:v>
                </c:pt>
                <c:pt idx="216">
                  <c:v>2.82</c:v>
                </c:pt>
                <c:pt idx="217">
                  <c:v>2.79</c:v>
                </c:pt>
                <c:pt idx="218">
                  <c:v>2.87</c:v>
                </c:pt>
                <c:pt idx="219">
                  <c:v>3.03</c:v>
                </c:pt>
                <c:pt idx="220">
                  <c:v>2.99</c:v>
                </c:pt>
                <c:pt idx="221">
                  <c:v>2.98</c:v>
                </c:pt>
                <c:pt idx="222">
                  <c:v>2.96</c:v>
                </c:pt>
                <c:pt idx="223">
                  <c:v>2.94</c:v>
                </c:pt>
                <c:pt idx="224">
                  <c:v>3.06</c:v>
                </c:pt>
                <c:pt idx="225">
                  <c:v>3.08</c:v>
                </c:pt>
                <c:pt idx="226">
                  <c:v>3.09</c:v>
                </c:pt>
                <c:pt idx="227">
                  <c:v>3.03</c:v>
                </c:pt>
                <c:pt idx="228">
                  <c:v>3.05</c:v>
                </c:pt>
                <c:pt idx="229">
                  <c:v>3.09</c:v>
                </c:pt>
                <c:pt idx="230">
                  <c:v>3.07</c:v>
                </c:pt>
                <c:pt idx="231">
                  <c:v>3.04</c:v>
                </c:pt>
                <c:pt idx="232">
                  <c:v>3.05</c:v>
                </c:pt>
                <c:pt idx="233">
                  <c:v>2.94</c:v>
                </c:pt>
                <c:pt idx="234">
                  <c:v>2.95</c:v>
                </c:pt>
                <c:pt idx="235">
                  <c:v>3.02</c:v>
                </c:pt>
                <c:pt idx="236">
                  <c:v>3.02</c:v>
                </c:pt>
                <c:pt idx="237">
                  <c:v>3.02</c:v>
                </c:pt>
                <c:pt idx="238">
                  <c:v>3.04</c:v>
                </c:pt>
                <c:pt idx="239">
                  <c:v>3.06</c:v>
                </c:pt>
                <c:pt idx="240">
                  <c:v>3.01</c:v>
                </c:pt>
                <c:pt idx="241">
                  <c:v>2.94</c:v>
                </c:pt>
                <c:pt idx="242">
                  <c:v>3</c:v>
                </c:pt>
                <c:pt idx="243">
                  <c:v>3.02</c:v>
                </c:pt>
                <c:pt idx="244">
                  <c:v>2.98</c:v>
                </c:pt>
                <c:pt idx="245">
                  <c:v>2.9</c:v>
                </c:pt>
                <c:pt idx="246">
                  <c:v>2.88</c:v>
                </c:pt>
                <c:pt idx="247">
                  <c:v>2.85</c:v>
                </c:pt>
                <c:pt idx="248">
                  <c:v>2.92</c:v>
                </c:pt>
                <c:pt idx="249">
                  <c:v>2.84</c:v>
                </c:pt>
                <c:pt idx="250">
                  <c:v>2.9</c:v>
                </c:pt>
                <c:pt idx="251">
                  <c:v>2.94</c:v>
                </c:pt>
                <c:pt idx="252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9D-435E-9498-163779907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6110848"/>
        <c:axId val="906111328"/>
      </c:lineChart>
      <c:catAx>
        <c:axId val="90611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111328"/>
        <c:crosses val="autoZero"/>
        <c:auto val="1"/>
        <c:lblAlgn val="ctr"/>
        <c:lblOffset val="100"/>
        <c:noMultiLvlLbl val="0"/>
      </c:catAx>
      <c:valAx>
        <c:axId val="906111328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Stock</a:t>
                </a:r>
                <a:r>
                  <a:rPr lang="en-AU" baseline="0"/>
                  <a:t> Price (AUD)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110848"/>
        <c:crosses val="autoZero"/>
        <c:crossBetween val="between"/>
      </c:valAx>
      <c:valAx>
        <c:axId val="11000533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Dividend</a:t>
                </a:r>
                <a:r>
                  <a:rPr lang="en-AU" baseline="0"/>
                  <a:t> Yield (%)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053840"/>
        <c:crosses val="max"/>
        <c:crossBetween val="between"/>
      </c:valAx>
      <c:catAx>
        <c:axId val="1100053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0053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PE Ratio vs Stock Price (</a:t>
            </a: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South32 </a:t>
            </a:r>
            <a:r>
              <a:rPr lang="en-AU" sz="1400" b="0" i="0" u="none" strike="noStrike" baseline="0"/>
              <a:t>2024/2025)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PE!$C$1</c:f>
              <c:strCache>
                <c:ptCount val="1"/>
                <c:pt idx="0">
                  <c:v>PE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PE!$A$2:$A$254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PE!$C$2:$C$254</c:f>
              <c:numCache>
                <c:formatCode>0.00</c:formatCode>
                <c:ptCount val="253"/>
                <c:pt idx="0">
                  <c:v>0.48944591029023748</c:v>
                </c:pt>
                <c:pt idx="1">
                  <c:v>0.4920844327176781</c:v>
                </c:pt>
                <c:pt idx="2">
                  <c:v>0.49868073878627966</c:v>
                </c:pt>
                <c:pt idx="3">
                  <c:v>0.5079155672823219</c:v>
                </c:pt>
                <c:pt idx="4">
                  <c:v>0.50395778364116095</c:v>
                </c:pt>
                <c:pt idx="5">
                  <c:v>0.48812664907651715</c:v>
                </c:pt>
                <c:pt idx="6">
                  <c:v>0.49076517150395782</c:v>
                </c:pt>
                <c:pt idx="7">
                  <c:v>0.48021108179419525</c:v>
                </c:pt>
                <c:pt idx="8">
                  <c:v>0.47757255936675463</c:v>
                </c:pt>
                <c:pt idx="9">
                  <c:v>0.47757255936675463</c:v>
                </c:pt>
                <c:pt idx="10">
                  <c:v>0.47757255936675463</c:v>
                </c:pt>
                <c:pt idx="11">
                  <c:v>0.47097625329815301</c:v>
                </c:pt>
                <c:pt idx="12">
                  <c:v>0.4683377308707124</c:v>
                </c:pt>
                <c:pt idx="13">
                  <c:v>0.4604221635883905</c:v>
                </c:pt>
                <c:pt idx="14">
                  <c:v>0.45118733509234826</c:v>
                </c:pt>
                <c:pt idx="15">
                  <c:v>0.39445910290237468</c:v>
                </c:pt>
                <c:pt idx="16">
                  <c:v>0.39313984168865435</c:v>
                </c:pt>
                <c:pt idx="17">
                  <c:v>0.39050131926121373</c:v>
                </c:pt>
                <c:pt idx="18">
                  <c:v>0.38390501319261217</c:v>
                </c:pt>
                <c:pt idx="19">
                  <c:v>0.39313984168865435</c:v>
                </c:pt>
                <c:pt idx="20">
                  <c:v>0.39841688654353563</c:v>
                </c:pt>
                <c:pt idx="21">
                  <c:v>0.3970976253298153</c:v>
                </c:pt>
                <c:pt idx="22">
                  <c:v>0.4050131926121372</c:v>
                </c:pt>
                <c:pt idx="23">
                  <c:v>0.41424802110817943</c:v>
                </c:pt>
                <c:pt idx="24">
                  <c:v>0.39841688654353563</c:v>
                </c:pt>
                <c:pt idx="25">
                  <c:v>0.37467018469656987</c:v>
                </c:pt>
                <c:pt idx="26">
                  <c:v>0.37730870712401055</c:v>
                </c:pt>
                <c:pt idx="27">
                  <c:v>0.37994722955145116</c:v>
                </c:pt>
                <c:pt idx="28">
                  <c:v>0.37335092348284959</c:v>
                </c:pt>
                <c:pt idx="29">
                  <c:v>0.38786279683377306</c:v>
                </c:pt>
                <c:pt idx="30">
                  <c:v>0.38654353562005278</c:v>
                </c:pt>
                <c:pt idx="31">
                  <c:v>0.39050131926121373</c:v>
                </c:pt>
                <c:pt idx="32">
                  <c:v>0.38390501319261217</c:v>
                </c:pt>
                <c:pt idx="33">
                  <c:v>0.38522427440633245</c:v>
                </c:pt>
                <c:pt idx="34">
                  <c:v>0.39313984168865435</c:v>
                </c:pt>
                <c:pt idx="35">
                  <c:v>0.39050131926121373</c:v>
                </c:pt>
                <c:pt idx="36">
                  <c:v>0.3970976253298153</c:v>
                </c:pt>
                <c:pt idx="37">
                  <c:v>0.3970976253298153</c:v>
                </c:pt>
                <c:pt idx="38">
                  <c:v>0.40105540897097625</c:v>
                </c:pt>
                <c:pt idx="39">
                  <c:v>0.39973614775725591</c:v>
                </c:pt>
                <c:pt idx="40">
                  <c:v>0.40765171503957781</c:v>
                </c:pt>
                <c:pt idx="41">
                  <c:v>0.40897097625329815</c:v>
                </c:pt>
                <c:pt idx="42">
                  <c:v>0.40633245382585753</c:v>
                </c:pt>
                <c:pt idx="43">
                  <c:v>0.40897097625329815</c:v>
                </c:pt>
                <c:pt idx="44">
                  <c:v>0.41424802110817943</c:v>
                </c:pt>
                <c:pt idx="45">
                  <c:v>0.40897097625329815</c:v>
                </c:pt>
                <c:pt idx="46">
                  <c:v>0.40897097625329815</c:v>
                </c:pt>
                <c:pt idx="47">
                  <c:v>0.39577836411609496</c:v>
                </c:pt>
                <c:pt idx="48">
                  <c:v>0.40105540897097625</c:v>
                </c:pt>
                <c:pt idx="49">
                  <c:v>0.39313984168865435</c:v>
                </c:pt>
                <c:pt idx="50">
                  <c:v>0.39182058047493407</c:v>
                </c:pt>
                <c:pt idx="51">
                  <c:v>0.39445910290237468</c:v>
                </c:pt>
                <c:pt idx="52">
                  <c:v>0.3970976253298153</c:v>
                </c:pt>
                <c:pt idx="53">
                  <c:v>0.40633245382585753</c:v>
                </c:pt>
                <c:pt idx="54">
                  <c:v>0.420844327176781</c:v>
                </c:pt>
                <c:pt idx="55">
                  <c:v>0.41820580474934038</c:v>
                </c:pt>
                <c:pt idx="56">
                  <c:v>0.42612137203166228</c:v>
                </c:pt>
                <c:pt idx="57">
                  <c:v>0.42216358839050133</c:v>
                </c:pt>
                <c:pt idx="58">
                  <c:v>0.42216358839050133</c:v>
                </c:pt>
                <c:pt idx="59">
                  <c:v>0.42216358839050133</c:v>
                </c:pt>
                <c:pt idx="60">
                  <c:v>0.42216358839050133</c:v>
                </c:pt>
                <c:pt idx="61">
                  <c:v>0.43931398416886547</c:v>
                </c:pt>
                <c:pt idx="62">
                  <c:v>0.4525065963060686</c:v>
                </c:pt>
                <c:pt idx="63">
                  <c:v>0.46569920844327173</c:v>
                </c:pt>
                <c:pt idx="64">
                  <c:v>0.48812664907651715</c:v>
                </c:pt>
                <c:pt idx="65">
                  <c:v>0.49736147757255939</c:v>
                </c:pt>
                <c:pt idx="66">
                  <c:v>0.4841688654353562</c:v>
                </c:pt>
                <c:pt idx="67">
                  <c:v>0.4920844327176781</c:v>
                </c:pt>
                <c:pt idx="68">
                  <c:v>0.49340369393139843</c:v>
                </c:pt>
                <c:pt idx="69">
                  <c:v>0.48548812664907653</c:v>
                </c:pt>
                <c:pt idx="70">
                  <c:v>0.48812664907651715</c:v>
                </c:pt>
                <c:pt idx="71">
                  <c:v>0.47493403693931396</c:v>
                </c:pt>
                <c:pt idx="72">
                  <c:v>0.46569920844327173</c:v>
                </c:pt>
                <c:pt idx="73">
                  <c:v>0.4762532981530343</c:v>
                </c:pt>
                <c:pt idx="74">
                  <c:v>0.47493403693931396</c:v>
                </c:pt>
                <c:pt idx="75">
                  <c:v>0.4920844327176781</c:v>
                </c:pt>
                <c:pt idx="76">
                  <c:v>0.48812664907651715</c:v>
                </c:pt>
                <c:pt idx="77">
                  <c:v>0.4841688654353562</c:v>
                </c:pt>
                <c:pt idx="78">
                  <c:v>0.49736147757255939</c:v>
                </c:pt>
                <c:pt idx="79">
                  <c:v>0.48812664907651715</c:v>
                </c:pt>
                <c:pt idx="80">
                  <c:v>0.48680738786279681</c:v>
                </c:pt>
                <c:pt idx="81">
                  <c:v>0.47757255936675463</c:v>
                </c:pt>
                <c:pt idx="82">
                  <c:v>0.48153034300791553</c:v>
                </c:pt>
                <c:pt idx="83">
                  <c:v>0.48680738786279681</c:v>
                </c:pt>
                <c:pt idx="84">
                  <c:v>0.48944591029023748</c:v>
                </c:pt>
                <c:pt idx="85">
                  <c:v>0.4920844327176781</c:v>
                </c:pt>
                <c:pt idx="86">
                  <c:v>0.49076517150395782</c:v>
                </c:pt>
                <c:pt idx="87">
                  <c:v>0.4841688654353562</c:v>
                </c:pt>
                <c:pt idx="88">
                  <c:v>0.48548812664907653</c:v>
                </c:pt>
                <c:pt idx="89">
                  <c:v>0.49076517150395782</c:v>
                </c:pt>
                <c:pt idx="90">
                  <c:v>0.4920844327176781</c:v>
                </c:pt>
                <c:pt idx="91">
                  <c:v>0.49472295514511871</c:v>
                </c:pt>
                <c:pt idx="92">
                  <c:v>0.49604221635883899</c:v>
                </c:pt>
                <c:pt idx="93">
                  <c:v>0.50527704485488123</c:v>
                </c:pt>
                <c:pt idx="94">
                  <c:v>0.50131926121372028</c:v>
                </c:pt>
                <c:pt idx="95">
                  <c:v>0.48812664907651715</c:v>
                </c:pt>
                <c:pt idx="96">
                  <c:v>0.4762532981530343</c:v>
                </c:pt>
                <c:pt idx="97">
                  <c:v>0.46701846965699206</c:v>
                </c:pt>
                <c:pt idx="98">
                  <c:v>0.4604221635883905</c:v>
                </c:pt>
                <c:pt idx="99">
                  <c:v>0.4683377308707124</c:v>
                </c:pt>
                <c:pt idx="100">
                  <c:v>0.49736147757255939</c:v>
                </c:pt>
                <c:pt idx="101">
                  <c:v>0.4841688654353562</c:v>
                </c:pt>
                <c:pt idx="102">
                  <c:v>0.48812664907651715</c:v>
                </c:pt>
                <c:pt idx="103">
                  <c:v>0.4920844327176781</c:v>
                </c:pt>
                <c:pt idx="104">
                  <c:v>0.50527704485488123</c:v>
                </c:pt>
                <c:pt idx="105">
                  <c:v>0.49340369393139843</c:v>
                </c:pt>
                <c:pt idx="106">
                  <c:v>0.49868073878627966</c:v>
                </c:pt>
                <c:pt idx="107">
                  <c:v>0.49736147757255939</c:v>
                </c:pt>
                <c:pt idx="108">
                  <c:v>0.49340369393139843</c:v>
                </c:pt>
                <c:pt idx="109">
                  <c:v>0.49076517150395782</c:v>
                </c:pt>
                <c:pt idx="110">
                  <c:v>0.48548812664907653</c:v>
                </c:pt>
                <c:pt idx="111">
                  <c:v>0.47757255936675463</c:v>
                </c:pt>
                <c:pt idx="112">
                  <c:v>0.47493403693931396</c:v>
                </c:pt>
                <c:pt idx="113">
                  <c:v>0.48812664907651715</c:v>
                </c:pt>
                <c:pt idx="114">
                  <c:v>0.47889182058047491</c:v>
                </c:pt>
                <c:pt idx="115">
                  <c:v>0.47493403693931396</c:v>
                </c:pt>
                <c:pt idx="116">
                  <c:v>0.48548812664907653</c:v>
                </c:pt>
                <c:pt idx="117">
                  <c:v>0.46437994722955145</c:v>
                </c:pt>
                <c:pt idx="118">
                  <c:v>0.45382585751978893</c:v>
                </c:pt>
                <c:pt idx="119">
                  <c:v>0.44854881266490765</c:v>
                </c:pt>
                <c:pt idx="120">
                  <c:v>0.4445910290237467</c:v>
                </c:pt>
                <c:pt idx="121">
                  <c:v>0.44854881266490765</c:v>
                </c:pt>
                <c:pt idx="122">
                  <c:v>0.44591029023746698</c:v>
                </c:pt>
                <c:pt idx="123">
                  <c:v>0.44327176781002636</c:v>
                </c:pt>
                <c:pt idx="124">
                  <c:v>0.44063324538258575</c:v>
                </c:pt>
                <c:pt idx="125">
                  <c:v>0.44986807387862798</c:v>
                </c:pt>
                <c:pt idx="126">
                  <c:v>0.44986807387862798</c:v>
                </c:pt>
                <c:pt idx="127">
                  <c:v>0.44854881266490765</c:v>
                </c:pt>
                <c:pt idx="128">
                  <c:v>0.44854881266490765</c:v>
                </c:pt>
                <c:pt idx="129">
                  <c:v>0.44854881266490765</c:v>
                </c:pt>
                <c:pt idx="130">
                  <c:v>0.45646437994722955</c:v>
                </c:pt>
                <c:pt idx="131">
                  <c:v>0.45646437994722955</c:v>
                </c:pt>
                <c:pt idx="132">
                  <c:v>0.44854881266490765</c:v>
                </c:pt>
                <c:pt idx="133">
                  <c:v>0.44854881266490765</c:v>
                </c:pt>
                <c:pt idx="134">
                  <c:v>0.44986807387862798</c:v>
                </c:pt>
                <c:pt idx="135">
                  <c:v>0.44591029023746698</c:v>
                </c:pt>
                <c:pt idx="136">
                  <c:v>0.44854881266490765</c:v>
                </c:pt>
                <c:pt idx="137">
                  <c:v>0.4445910290237467</c:v>
                </c:pt>
                <c:pt idx="138">
                  <c:v>0.45118733509234826</c:v>
                </c:pt>
                <c:pt idx="139">
                  <c:v>0.45118733509234826</c:v>
                </c:pt>
                <c:pt idx="140">
                  <c:v>0.4604221635883905</c:v>
                </c:pt>
                <c:pt idx="141">
                  <c:v>0.45910290237467016</c:v>
                </c:pt>
                <c:pt idx="142">
                  <c:v>0.46306068601583111</c:v>
                </c:pt>
                <c:pt idx="143">
                  <c:v>0.47229551451187335</c:v>
                </c:pt>
                <c:pt idx="144">
                  <c:v>0.46965699208443273</c:v>
                </c:pt>
                <c:pt idx="145">
                  <c:v>0.46569920844327173</c:v>
                </c:pt>
                <c:pt idx="146">
                  <c:v>0.46701846965699206</c:v>
                </c:pt>
                <c:pt idx="147">
                  <c:v>0.4445910290237467</c:v>
                </c:pt>
                <c:pt idx="148">
                  <c:v>0.43403693931398418</c:v>
                </c:pt>
                <c:pt idx="149">
                  <c:v>0.44327176781002636</c:v>
                </c:pt>
                <c:pt idx="150">
                  <c:v>0.44327176781002636</c:v>
                </c:pt>
                <c:pt idx="151">
                  <c:v>0.4366754617414248</c:v>
                </c:pt>
                <c:pt idx="152">
                  <c:v>0.44591029023746698</c:v>
                </c:pt>
                <c:pt idx="153">
                  <c:v>0.45514511873350927</c:v>
                </c:pt>
                <c:pt idx="154">
                  <c:v>0.45778364116094988</c:v>
                </c:pt>
                <c:pt idx="155">
                  <c:v>0.46174142480211083</c:v>
                </c:pt>
                <c:pt idx="156">
                  <c:v>0.45382585751978893</c:v>
                </c:pt>
                <c:pt idx="157">
                  <c:v>0.4525065963060686</c:v>
                </c:pt>
                <c:pt idx="158">
                  <c:v>0.4525065963060686</c:v>
                </c:pt>
                <c:pt idx="159">
                  <c:v>0.47097625329815301</c:v>
                </c:pt>
                <c:pt idx="160">
                  <c:v>0.48153034300791553</c:v>
                </c:pt>
                <c:pt idx="161">
                  <c:v>0.48680738786279681</c:v>
                </c:pt>
                <c:pt idx="162">
                  <c:v>0.4841688654353562</c:v>
                </c:pt>
                <c:pt idx="163">
                  <c:v>0.48284960422163592</c:v>
                </c:pt>
                <c:pt idx="164">
                  <c:v>0.48944591029023748</c:v>
                </c:pt>
                <c:pt idx="165">
                  <c:v>0.49340369393139843</c:v>
                </c:pt>
                <c:pt idx="166">
                  <c:v>0.4841688654353562</c:v>
                </c:pt>
                <c:pt idx="167">
                  <c:v>0.48153034300791553</c:v>
                </c:pt>
                <c:pt idx="168">
                  <c:v>0.4762532981530343</c:v>
                </c:pt>
                <c:pt idx="169">
                  <c:v>0.48021108179419525</c:v>
                </c:pt>
                <c:pt idx="170">
                  <c:v>0.46437994722955145</c:v>
                </c:pt>
                <c:pt idx="171">
                  <c:v>0.47889182058047491</c:v>
                </c:pt>
                <c:pt idx="172">
                  <c:v>0.46437994722955145</c:v>
                </c:pt>
                <c:pt idx="173">
                  <c:v>0.46306068601583111</c:v>
                </c:pt>
                <c:pt idx="174">
                  <c:v>0.48021108179419525</c:v>
                </c:pt>
                <c:pt idx="175">
                  <c:v>0.47361477572559363</c:v>
                </c:pt>
                <c:pt idx="176">
                  <c:v>0.4762532981530343</c:v>
                </c:pt>
                <c:pt idx="177">
                  <c:v>0.47361477572559363</c:v>
                </c:pt>
                <c:pt idx="178">
                  <c:v>0.47229551451187335</c:v>
                </c:pt>
                <c:pt idx="179">
                  <c:v>0.46569920844327173</c:v>
                </c:pt>
                <c:pt idx="180">
                  <c:v>0.46569920844327173</c:v>
                </c:pt>
                <c:pt idx="181">
                  <c:v>0.47493403693931396</c:v>
                </c:pt>
                <c:pt idx="182">
                  <c:v>0.4762532981530343</c:v>
                </c:pt>
                <c:pt idx="183">
                  <c:v>0.4762532981530343</c:v>
                </c:pt>
                <c:pt idx="184">
                  <c:v>0.47757255936675463</c:v>
                </c:pt>
                <c:pt idx="185">
                  <c:v>0.46569920844327173</c:v>
                </c:pt>
                <c:pt idx="186">
                  <c:v>0.4604221635883905</c:v>
                </c:pt>
                <c:pt idx="187">
                  <c:v>0.46306068601583111</c:v>
                </c:pt>
                <c:pt idx="188">
                  <c:v>0.46306068601583111</c:v>
                </c:pt>
                <c:pt idx="189">
                  <c:v>0.45778364116094988</c:v>
                </c:pt>
                <c:pt idx="190">
                  <c:v>0.4445910290237467</c:v>
                </c:pt>
                <c:pt idx="191">
                  <c:v>0.42480211081794195</c:v>
                </c:pt>
                <c:pt idx="192">
                  <c:v>0.42348284960422161</c:v>
                </c:pt>
                <c:pt idx="193">
                  <c:v>0.41160949868073882</c:v>
                </c:pt>
                <c:pt idx="194">
                  <c:v>0.39182058047493407</c:v>
                </c:pt>
                <c:pt idx="195">
                  <c:v>0.37071240105540898</c:v>
                </c:pt>
                <c:pt idx="196">
                  <c:v>0.34168865435356199</c:v>
                </c:pt>
                <c:pt idx="197">
                  <c:v>0.34960422163588389</c:v>
                </c:pt>
                <c:pt idx="198">
                  <c:v>0.33245382585751981</c:v>
                </c:pt>
                <c:pt idx="199">
                  <c:v>0.36411609498680736</c:v>
                </c:pt>
                <c:pt idx="200">
                  <c:v>0.3614775725593668</c:v>
                </c:pt>
                <c:pt idx="201">
                  <c:v>0.36939313984168864</c:v>
                </c:pt>
                <c:pt idx="202">
                  <c:v>0.36807387862796836</c:v>
                </c:pt>
                <c:pt idx="203">
                  <c:v>0.35224274406332451</c:v>
                </c:pt>
                <c:pt idx="204">
                  <c:v>0.35488126649076518</c:v>
                </c:pt>
                <c:pt idx="205">
                  <c:v>0.34432717678100261</c:v>
                </c:pt>
                <c:pt idx="206">
                  <c:v>0.34960422163588389</c:v>
                </c:pt>
                <c:pt idx="207">
                  <c:v>0.35751978891820579</c:v>
                </c:pt>
                <c:pt idx="208">
                  <c:v>0.35751978891820579</c:v>
                </c:pt>
                <c:pt idx="209">
                  <c:v>0.36675461741424797</c:v>
                </c:pt>
                <c:pt idx="210">
                  <c:v>0.36279683377308708</c:v>
                </c:pt>
                <c:pt idx="211">
                  <c:v>0.3614775725593668</c:v>
                </c:pt>
                <c:pt idx="212">
                  <c:v>0.37335092348284959</c:v>
                </c:pt>
                <c:pt idx="213">
                  <c:v>0.36939313984168864</c:v>
                </c:pt>
                <c:pt idx="214">
                  <c:v>0.37467018469656987</c:v>
                </c:pt>
                <c:pt idx="215">
                  <c:v>0.37598944591029027</c:v>
                </c:pt>
                <c:pt idx="216">
                  <c:v>0.37203166226912926</c:v>
                </c:pt>
                <c:pt idx="217">
                  <c:v>0.36807387862796836</c:v>
                </c:pt>
                <c:pt idx="218">
                  <c:v>0.37862796833773088</c:v>
                </c:pt>
                <c:pt idx="219">
                  <c:v>0.39973614775725591</c:v>
                </c:pt>
                <c:pt idx="220">
                  <c:v>0.39445910290237468</c:v>
                </c:pt>
                <c:pt idx="221">
                  <c:v>0.39313984168865435</c:v>
                </c:pt>
                <c:pt idx="222">
                  <c:v>0.39050131926121373</c:v>
                </c:pt>
                <c:pt idx="223">
                  <c:v>0.38786279683377306</c:v>
                </c:pt>
                <c:pt idx="224">
                  <c:v>0.40369393139841692</c:v>
                </c:pt>
                <c:pt idx="225">
                  <c:v>0.40633245382585753</c:v>
                </c:pt>
                <c:pt idx="226">
                  <c:v>0.40765171503957781</c:v>
                </c:pt>
                <c:pt idx="227">
                  <c:v>0.39973614775725591</c:v>
                </c:pt>
                <c:pt idx="228">
                  <c:v>0.40237467018469653</c:v>
                </c:pt>
                <c:pt idx="229">
                  <c:v>0.40765171503957781</c:v>
                </c:pt>
                <c:pt idx="230">
                  <c:v>0.4050131926121372</c:v>
                </c:pt>
                <c:pt idx="231">
                  <c:v>0.40105540897097625</c:v>
                </c:pt>
                <c:pt idx="232">
                  <c:v>0.40237467018469653</c:v>
                </c:pt>
                <c:pt idx="233">
                  <c:v>0.38786279683377306</c:v>
                </c:pt>
                <c:pt idx="234">
                  <c:v>0.38918205804749345</c:v>
                </c:pt>
                <c:pt idx="235">
                  <c:v>0.39841688654353563</c:v>
                </c:pt>
                <c:pt idx="236">
                  <c:v>0.39841688654353563</c:v>
                </c:pt>
                <c:pt idx="237">
                  <c:v>0.39841688654353563</c:v>
                </c:pt>
                <c:pt idx="238">
                  <c:v>0.40105540897097625</c:v>
                </c:pt>
                <c:pt idx="239">
                  <c:v>0.40369393139841692</c:v>
                </c:pt>
                <c:pt idx="240">
                  <c:v>0.3970976253298153</c:v>
                </c:pt>
                <c:pt idx="241">
                  <c:v>0.38786279683377306</c:v>
                </c:pt>
                <c:pt idx="242">
                  <c:v>0.39577836411609496</c:v>
                </c:pt>
                <c:pt idx="243">
                  <c:v>0.39841688654353563</c:v>
                </c:pt>
                <c:pt idx="244">
                  <c:v>0.39313984168865435</c:v>
                </c:pt>
                <c:pt idx="245">
                  <c:v>0.38258575197889183</c:v>
                </c:pt>
                <c:pt idx="246">
                  <c:v>0.37994722955145116</c:v>
                </c:pt>
                <c:pt idx="247">
                  <c:v>0.37598944591029027</c:v>
                </c:pt>
                <c:pt idx="248">
                  <c:v>0.38522427440633245</c:v>
                </c:pt>
                <c:pt idx="249">
                  <c:v>0.37467018469656987</c:v>
                </c:pt>
                <c:pt idx="250">
                  <c:v>0.38258575197889183</c:v>
                </c:pt>
                <c:pt idx="251">
                  <c:v>0.38786279683377306</c:v>
                </c:pt>
                <c:pt idx="252">
                  <c:v>0.38390501319261217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CF-46E0-BCB5-BF0BE2A4E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1211348608"/>
        <c:axId val="1211348128"/>
      </c:barChart>
      <c:lineChart>
        <c:grouping val="standard"/>
        <c:varyColors val="0"/>
        <c:ser>
          <c:idx val="0"/>
          <c:order val="0"/>
          <c:tx>
            <c:strRef>
              <c:f>PE!$B$1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PE!$A$2:$A$254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PE!$B$2:$B$254</c:f>
              <c:numCache>
                <c:formatCode>"$"#,##0.00</c:formatCode>
                <c:ptCount val="253"/>
                <c:pt idx="0">
                  <c:v>3.71</c:v>
                </c:pt>
                <c:pt idx="1">
                  <c:v>3.73</c:v>
                </c:pt>
                <c:pt idx="2">
                  <c:v>3.78</c:v>
                </c:pt>
                <c:pt idx="3">
                  <c:v>3.85</c:v>
                </c:pt>
                <c:pt idx="4">
                  <c:v>3.82</c:v>
                </c:pt>
                <c:pt idx="5">
                  <c:v>3.7</c:v>
                </c:pt>
                <c:pt idx="6">
                  <c:v>3.72</c:v>
                </c:pt>
                <c:pt idx="7">
                  <c:v>3.64</c:v>
                </c:pt>
                <c:pt idx="8">
                  <c:v>3.62</c:v>
                </c:pt>
                <c:pt idx="9">
                  <c:v>3.62</c:v>
                </c:pt>
                <c:pt idx="10">
                  <c:v>3.62</c:v>
                </c:pt>
                <c:pt idx="11">
                  <c:v>3.57</c:v>
                </c:pt>
                <c:pt idx="12">
                  <c:v>3.55</c:v>
                </c:pt>
                <c:pt idx="13">
                  <c:v>3.49</c:v>
                </c:pt>
                <c:pt idx="14">
                  <c:v>3.42</c:v>
                </c:pt>
                <c:pt idx="15">
                  <c:v>2.99</c:v>
                </c:pt>
                <c:pt idx="16">
                  <c:v>2.98</c:v>
                </c:pt>
                <c:pt idx="17">
                  <c:v>2.96</c:v>
                </c:pt>
                <c:pt idx="18">
                  <c:v>2.91</c:v>
                </c:pt>
                <c:pt idx="19">
                  <c:v>2.98</c:v>
                </c:pt>
                <c:pt idx="20">
                  <c:v>3.02</c:v>
                </c:pt>
                <c:pt idx="21">
                  <c:v>3.01</c:v>
                </c:pt>
                <c:pt idx="22">
                  <c:v>3.07</c:v>
                </c:pt>
                <c:pt idx="23">
                  <c:v>3.14</c:v>
                </c:pt>
                <c:pt idx="24">
                  <c:v>3.02</c:v>
                </c:pt>
                <c:pt idx="25">
                  <c:v>2.84</c:v>
                </c:pt>
                <c:pt idx="26">
                  <c:v>2.86</c:v>
                </c:pt>
                <c:pt idx="27">
                  <c:v>2.88</c:v>
                </c:pt>
                <c:pt idx="28">
                  <c:v>2.83</c:v>
                </c:pt>
                <c:pt idx="29">
                  <c:v>2.94</c:v>
                </c:pt>
                <c:pt idx="30">
                  <c:v>2.93</c:v>
                </c:pt>
                <c:pt idx="31">
                  <c:v>2.96</c:v>
                </c:pt>
                <c:pt idx="32">
                  <c:v>2.91</c:v>
                </c:pt>
                <c:pt idx="33">
                  <c:v>2.92</c:v>
                </c:pt>
                <c:pt idx="34">
                  <c:v>2.98</c:v>
                </c:pt>
                <c:pt idx="35">
                  <c:v>2.96</c:v>
                </c:pt>
                <c:pt idx="36">
                  <c:v>3.01</c:v>
                </c:pt>
                <c:pt idx="37">
                  <c:v>3.01</c:v>
                </c:pt>
                <c:pt idx="38">
                  <c:v>3.04</c:v>
                </c:pt>
                <c:pt idx="39">
                  <c:v>3.03</c:v>
                </c:pt>
                <c:pt idx="40">
                  <c:v>3.09</c:v>
                </c:pt>
                <c:pt idx="41">
                  <c:v>3.1</c:v>
                </c:pt>
                <c:pt idx="42">
                  <c:v>3.08</c:v>
                </c:pt>
                <c:pt idx="43">
                  <c:v>3.1</c:v>
                </c:pt>
                <c:pt idx="44">
                  <c:v>3.14</c:v>
                </c:pt>
                <c:pt idx="45">
                  <c:v>3.1</c:v>
                </c:pt>
                <c:pt idx="46">
                  <c:v>3.1</c:v>
                </c:pt>
                <c:pt idx="47">
                  <c:v>3</c:v>
                </c:pt>
                <c:pt idx="48">
                  <c:v>3.04</c:v>
                </c:pt>
                <c:pt idx="49">
                  <c:v>2.98</c:v>
                </c:pt>
                <c:pt idx="50">
                  <c:v>2.97</c:v>
                </c:pt>
                <c:pt idx="51">
                  <c:v>2.99</c:v>
                </c:pt>
                <c:pt idx="52">
                  <c:v>3.01</c:v>
                </c:pt>
                <c:pt idx="53">
                  <c:v>3.08</c:v>
                </c:pt>
                <c:pt idx="54">
                  <c:v>3.19</c:v>
                </c:pt>
                <c:pt idx="55">
                  <c:v>3.17</c:v>
                </c:pt>
                <c:pt idx="56">
                  <c:v>3.23</c:v>
                </c:pt>
                <c:pt idx="57">
                  <c:v>3.2</c:v>
                </c:pt>
                <c:pt idx="58">
                  <c:v>3.2</c:v>
                </c:pt>
                <c:pt idx="59">
                  <c:v>3.2</c:v>
                </c:pt>
                <c:pt idx="60">
                  <c:v>3.2</c:v>
                </c:pt>
                <c:pt idx="61">
                  <c:v>3.33</c:v>
                </c:pt>
                <c:pt idx="62">
                  <c:v>3.43</c:v>
                </c:pt>
                <c:pt idx="63">
                  <c:v>3.53</c:v>
                </c:pt>
                <c:pt idx="64">
                  <c:v>3.7</c:v>
                </c:pt>
                <c:pt idx="65">
                  <c:v>3.77</c:v>
                </c:pt>
                <c:pt idx="66">
                  <c:v>3.67</c:v>
                </c:pt>
                <c:pt idx="67">
                  <c:v>3.73</c:v>
                </c:pt>
                <c:pt idx="68">
                  <c:v>3.74</c:v>
                </c:pt>
                <c:pt idx="69">
                  <c:v>3.68</c:v>
                </c:pt>
                <c:pt idx="70">
                  <c:v>3.7</c:v>
                </c:pt>
                <c:pt idx="71">
                  <c:v>3.6</c:v>
                </c:pt>
                <c:pt idx="72">
                  <c:v>3.53</c:v>
                </c:pt>
                <c:pt idx="73">
                  <c:v>3.61</c:v>
                </c:pt>
                <c:pt idx="74">
                  <c:v>3.6</c:v>
                </c:pt>
                <c:pt idx="75">
                  <c:v>3.73</c:v>
                </c:pt>
                <c:pt idx="76">
                  <c:v>3.7</c:v>
                </c:pt>
                <c:pt idx="77">
                  <c:v>3.67</c:v>
                </c:pt>
                <c:pt idx="78">
                  <c:v>3.77</c:v>
                </c:pt>
                <c:pt idx="79">
                  <c:v>3.7</c:v>
                </c:pt>
                <c:pt idx="80">
                  <c:v>3.69</c:v>
                </c:pt>
                <c:pt idx="81">
                  <c:v>3.62</c:v>
                </c:pt>
                <c:pt idx="82">
                  <c:v>3.65</c:v>
                </c:pt>
                <c:pt idx="83">
                  <c:v>3.69</c:v>
                </c:pt>
                <c:pt idx="84">
                  <c:v>3.71</c:v>
                </c:pt>
                <c:pt idx="85">
                  <c:v>3.73</c:v>
                </c:pt>
                <c:pt idx="86">
                  <c:v>3.72</c:v>
                </c:pt>
                <c:pt idx="87">
                  <c:v>3.67</c:v>
                </c:pt>
                <c:pt idx="88">
                  <c:v>3.68</c:v>
                </c:pt>
                <c:pt idx="89">
                  <c:v>3.72</c:v>
                </c:pt>
                <c:pt idx="90">
                  <c:v>3.73</c:v>
                </c:pt>
                <c:pt idx="91">
                  <c:v>3.75</c:v>
                </c:pt>
                <c:pt idx="92">
                  <c:v>3.76</c:v>
                </c:pt>
                <c:pt idx="93">
                  <c:v>3.83</c:v>
                </c:pt>
                <c:pt idx="94">
                  <c:v>3.8</c:v>
                </c:pt>
                <c:pt idx="95">
                  <c:v>3.7</c:v>
                </c:pt>
                <c:pt idx="96">
                  <c:v>3.61</c:v>
                </c:pt>
                <c:pt idx="97">
                  <c:v>3.54</c:v>
                </c:pt>
                <c:pt idx="98">
                  <c:v>3.49</c:v>
                </c:pt>
                <c:pt idx="99">
                  <c:v>3.55</c:v>
                </c:pt>
                <c:pt idx="100">
                  <c:v>3.77</c:v>
                </c:pt>
                <c:pt idx="101">
                  <c:v>3.67</c:v>
                </c:pt>
                <c:pt idx="102">
                  <c:v>3.7</c:v>
                </c:pt>
                <c:pt idx="103">
                  <c:v>3.73</c:v>
                </c:pt>
                <c:pt idx="104">
                  <c:v>3.83</c:v>
                </c:pt>
                <c:pt idx="105">
                  <c:v>3.74</c:v>
                </c:pt>
                <c:pt idx="106">
                  <c:v>3.78</c:v>
                </c:pt>
                <c:pt idx="107">
                  <c:v>3.77</c:v>
                </c:pt>
                <c:pt idx="108">
                  <c:v>3.74</c:v>
                </c:pt>
                <c:pt idx="109">
                  <c:v>3.72</c:v>
                </c:pt>
                <c:pt idx="110">
                  <c:v>3.68</c:v>
                </c:pt>
                <c:pt idx="111">
                  <c:v>3.62</c:v>
                </c:pt>
                <c:pt idx="112">
                  <c:v>3.6</c:v>
                </c:pt>
                <c:pt idx="113">
                  <c:v>3.7</c:v>
                </c:pt>
                <c:pt idx="114">
                  <c:v>3.63</c:v>
                </c:pt>
                <c:pt idx="115">
                  <c:v>3.6</c:v>
                </c:pt>
                <c:pt idx="116">
                  <c:v>3.68</c:v>
                </c:pt>
                <c:pt idx="117">
                  <c:v>3.52</c:v>
                </c:pt>
                <c:pt idx="118">
                  <c:v>3.44</c:v>
                </c:pt>
                <c:pt idx="119">
                  <c:v>3.4</c:v>
                </c:pt>
                <c:pt idx="120">
                  <c:v>3.37</c:v>
                </c:pt>
                <c:pt idx="121">
                  <c:v>3.4</c:v>
                </c:pt>
                <c:pt idx="122">
                  <c:v>3.38</c:v>
                </c:pt>
                <c:pt idx="123">
                  <c:v>3.36</c:v>
                </c:pt>
                <c:pt idx="124">
                  <c:v>3.34</c:v>
                </c:pt>
                <c:pt idx="125">
                  <c:v>3.41</c:v>
                </c:pt>
                <c:pt idx="126">
                  <c:v>3.41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3.46</c:v>
                </c:pt>
                <c:pt idx="131">
                  <c:v>3.46</c:v>
                </c:pt>
                <c:pt idx="132">
                  <c:v>3.4</c:v>
                </c:pt>
                <c:pt idx="133">
                  <c:v>3.4</c:v>
                </c:pt>
                <c:pt idx="134">
                  <c:v>3.41</c:v>
                </c:pt>
                <c:pt idx="135">
                  <c:v>3.38</c:v>
                </c:pt>
                <c:pt idx="136">
                  <c:v>3.4</c:v>
                </c:pt>
                <c:pt idx="137">
                  <c:v>3.37</c:v>
                </c:pt>
                <c:pt idx="138">
                  <c:v>3.42</c:v>
                </c:pt>
                <c:pt idx="139">
                  <c:v>3.42</c:v>
                </c:pt>
                <c:pt idx="140">
                  <c:v>3.49</c:v>
                </c:pt>
                <c:pt idx="141">
                  <c:v>3.48</c:v>
                </c:pt>
                <c:pt idx="142">
                  <c:v>3.51</c:v>
                </c:pt>
                <c:pt idx="143">
                  <c:v>3.58</c:v>
                </c:pt>
                <c:pt idx="144">
                  <c:v>3.56</c:v>
                </c:pt>
                <c:pt idx="145">
                  <c:v>3.53</c:v>
                </c:pt>
                <c:pt idx="146">
                  <c:v>3.54</c:v>
                </c:pt>
                <c:pt idx="147">
                  <c:v>3.37</c:v>
                </c:pt>
                <c:pt idx="148">
                  <c:v>3.29</c:v>
                </c:pt>
                <c:pt idx="149">
                  <c:v>3.36</c:v>
                </c:pt>
                <c:pt idx="150">
                  <c:v>3.36</c:v>
                </c:pt>
                <c:pt idx="151">
                  <c:v>3.31</c:v>
                </c:pt>
                <c:pt idx="152">
                  <c:v>3.38</c:v>
                </c:pt>
                <c:pt idx="153">
                  <c:v>3.45</c:v>
                </c:pt>
                <c:pt idx="154">
                  <c:v>3.47</c:v>
                </c:pt>
                <c:pt idx="155">
                  <c:v>3.5</c:v>
                </c:pt>
                <c:pt idx="156">
                  <c:v>3.44</c:v>
                </c:pt>
                <c:pt idx="157">
                  <c:v>3.43</c:v>
                </c:pt>
                <c:pt idx="158">
                  <c:v>3.43</c:v>
                </c:pt>
                <c:pt idx="159">
                  <c:v>3.57</c:v>
                </c:pt>
                <c:pt idx="160">
                  <c:v>3.65</c:v>
                </c:pt>
                <c:pt idx="161">
                  <c:v>3.69</c:v>
                </c:pt>
                <c:pt idx="162">
                  <c:v>3.67</c:v>
                </c:pt>
                <c:pt idx="163">
                  <c:v>3.66</c:v>
                </c:pt>
                <c:pt idx="164">
                  <c:v>3.71</c:v>
                </c:pt>
                <c:pt idx="165">
                  <c:v>3.74</c:v>
                </c:pt>
                <c:pt idx="166">
                  <c:v>3.67</c:v>
                </c:pt>
                <c:pt idx="167">
                  <c:v>3.65</c:v>
                </c:pt>
                <c:pt idx="168">
                  <c:v>3.61</c:v>
                </c:pt>
                <c:pt idx="169">
                  <c:v>3.64</c:v>
                </c:pt>
                <c:pt idx="170">
                  <c:v>3.52</c:v>
                </c:pt>
                <c:pt idx="171">
                  <c:v>3.63</c:v>
                </c:pt>
                <c:pt idx="172">
                  <c:v>3.52</c:v>
                </c:pt>
                <c:pt idx="173">
                  <c:v>3.51</c:v>
                </c:pt>
                <c:pt idx="174">
                  <c:v>3.64</c:v>
                </c:pt>
                <c:pt idx="175">
                  <c:v>3.59</c:v>
                </c:pt>
                <c:pt idx="176">
                  <c:v>3.61</c:v>
                </c:pt>
                <c:pt idx="177">
                  <c:v>3.59</c:v>
                </c:pt>
                <c:pt idx="178">
                  <c:v>3.58</c:v>
                </c:pt>
                <c:pt idx="179">
                  <c:v>3.53</c:v>
                </c:pt>
                <c:pt idx="180">
                  <c:v>3.53</c:v>
                </c:pt>
                <c:pt idx="181">
                  <c:v>3.6</c:v>
                </c:pt>
                <c:pt idx="182">
                  <c:v>3.61</c:v>
                </c:pt>
                <c:pt idx="183">
                  <c:v>3.61</c:v>
                </c:pt>
                <c:pt idx="184">
                  <c:v>3.62</c:v>
                </c:pt>
                <c:pt idx="185">
                  <c:v>3.53</c:v>
                </c:pt>
                <c:pt idx="186">
                  <c:v>3.49</c:v>
                </c:pt>
                <c:pt idx="187">
                  <c:v>3.51</c:v>
                </c:pt>
                <c:pt idx="188">
                  <c:v>3.51</c:v>
                </c:pt>
                <c:pt idx="189">
                  <c:v>3.47</c:v>
                </c:pt>
                <c:pt idx="190">
                  <c:v>3.37</c:v>
                </c:pt>
                <c:pt idx="191">
                  <c:v>3.22</c:v>
                </c:pt>
                <c:pt idx="192">
                  <c:v>3.21</c:v>
                </c:pt>
                <c:pt idx="193">
                  <c:v>3.12</c:v>
                </c:pt>
                <c:pt idx="194">
                  <c:v>2.97</c:v>
                </c:pt>
                <c:pt idx="195">
                  <c:v>2.81</c:v>
                </c:pt>
                <c:pt idx="196">
                  <c:v>2.59</c:v>
                </c:pt>
                <c:pt idx="197">
                  <c:v>2.65</c:v>
                </c:pt>
                <c:pt idx="198">
                  <c:v>2.52</c:v>
                </c:pt>
                <c:pt idx="199">
                  <c:v>2.76</c:v>
                </c:pt>
                <c:pt idx="200">
                  <c:v>2.74</c:v>
                </c:pt>
                <c:pt idx="201">
                  <c:v>2.8</c:v>
                </c:pt>
                <c:pt idx="202">
                  <c:v>2.79</c:v>
                </c:pt>
                <c:pt idx="203">
                  <c:v>2.67</c:v>
                </c:pt>
                <c:pt idx="204">
                  <c:v>2.69</c:v>
                </c:pt>
                <c:pt idx="205">
                  <c:v>2.61</c:v>
                </c:pt>
                <c:pt idx="206">
                  <c:v>2.65</c:v>
                </c:pt>
                <c:pt idx="207">
                  <c:v>2.71</c:v>
                </c:pt>
                <c:pt idx="208">
                  <c:v>2.71</c:v>
                </c:pt>
                <c:pt idx="209">
                  <c:v>2.78</c:v>
                </c:pt>
                <c:pt idx="210">
                  <c:v>2.75</c:v>
                </c:pt>
                <c:pt idx="211">
                  <c:v>2.74</c:v>
                </c:pt>
                <c:pt idx="212">
                  <c:v>2.83</c:v>
                </c:pt>
                <c:pt idx="213">
                  <c:v>2.8</c:v>
                </c:pt>
                <c:pt idx="214">
                  <c:v>2.84</c:v>
                </c:pt>
                <c:pt idx="215">
                  <c:v>2.85</c:v>
                </c:pt>
                <c:pt idx="216">
                  <c:v>2.82</c:v>
                </c:pt>
                <c:pt idx="217">
                  <c:v>2.79</c:v>
                </c:pt>
                <c:pt idx="218">
                  <c:v>2.87</c:v>
                </c:pt>
                <c:pt idx="219">
                  <c:v>3.03</c:v>
                </c:pt>
                <c:pt idx="220">
                  <c:v>2.99</c:v>
                </c:pt>
                <c:pt idx="221">
                  <c:v>2.98</c:v>
                </c:pt>
                <c:pt idx="222">
                  <c:v>2.96</c:v>
                </c:pt>
                <c:pt idx="223">
                  <c:v>2.94</c:v>
                </c:pt>
                <c:pt idx="224">
                  <c:v>3.06</c:v>
                </c:pt>
                <c:pt idx="225">
                  <c:v>3.08</c:v>
                </c:pt>
                <c:pt idx="226">
                  <c:v>3.09</c:v>
                </c:pt>
                <c:pt idx="227">
                  <c:v>3.03</c:v>
                </c:pt>
                <c:pt idx="228">
                  <c:v>3.05</c:v>
                </c:pt>
                <c:pt idx="229">
                  <c:v>3.09</c:v>
                </c:pt>
                <c:pt idx="230">
                  <c:v>3.07</c:v>
                </c:pt>
                <c:pt idx="231">
                  <c:v>3.04</c:v>
                </c:pt>
                <c:pt idx="232">
                  <c:v>3.05</c:v>
                </c:pt>
                <c:pt idx="233">
                  <c:v>2.94</c:v>
                </c:pt>
                <c:pt idx="234">
                  <c:v>2.95</c:v>
                </c:pt>
                <c:pt idx="235">
                  <c:v>3.02</c:v>
                </c:pt>
                <c:pt idx="236">
                  <c:v>3.02</c:v>
                </c:pt>
                <c:pt idx="237">
                  <c:v>3.02</c:v>
                </c:pt>
                <c:pt idx="238">
                  <c:v>3.04</c:v>
                </c:pt>
                <c:pt idx="239">
                  <c:v>3.06</c:v>
                </c:pt>
                <c:pt idx="240">
                  <c:v>3.01</c:v>
                </c:pt>
                <c:pt idx="241">
                  <c:v>2.94</c:v>
                </c:pt>
                <c:pt idx="242">
                  <c:v>3</c:v>
                </c:pt>
                <c:pt idx="243">
                  <c:v>3.02</c:v>
                </c:pt>
                <c:pt idx="244">
                  <c:v>2.98</c:v>
                </c:pt>
                <c:pt idx="245">
                  <c:v>2.9</c:v>
                </c:pt>
                <c:pt idx="246">
                  <c:v>2.88</c:v>
                </c:pt>
                <c:pt idx="247">
                  <c:v>2.85</c:v>
                </c:pt>
                <c:pt idx="248">
                  <c:v>2.92</c:v>
                </c:pt>
                <c:pt idx="249">
                  <c:v>2.84</c:v>
                </c:pt>
                <c:pt idx="250">
                  <c:v>2.9</c:v>
                </c:pt>
                <c:pt idx="251">
                  <c:v>2.94</c:v>
                </c:pt>
                <c:pt idx="252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F-46E0-BCB5-BF0BE2A4E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594080"/>
        <c:axId val="1108593600"/>
      </c:lineChart>
      <c:catAx>
        <c:axId val="1108594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593600"/>
        <c:crosses val="autoZero"/>
        <c:auto val="1"/>
        <c:lblAlgn val="ctr"/>
        <c:lblOffset val="100"/>
        <c:noMultiLvlLbl val="0"/>
      </c:catAx>
      <c:valAx>
        <c:axId val="1108593600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Stock Price (AUD)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594080"/>
        <c:crosses val="autoZero"/>
        <c:crossBetween val="between"/>
      </c:valAx>
      <c:valAx>
        <c:axId val="1211348128"/>
        <c:scaling>
          <c:orientation val="minMax"/>
          <c:min val="0.3000000000000000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PE</a:t>
                </a:r>
                <a:r>
                  <a:rPr lang="en-AU" baseline="0"/>
                  <a:t> Ratio (x multiple)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348608"/>
        <c:crosses val="max"/>
        <c:crossBetween val="between"/>
      </c:valAx>
      <c:catAx>
        <c:axId val="1211348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1348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$1000 Buy-and-Hold Portfolio Performance (South32, 2024/2025)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'Yearly Portfolio'!$E$1</c:f>
              <c:strCache>
                <c:ptCount val="1"/>
                <c:pt idx="0">
                  <c:v>Market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'Yearly Portfolio'!$A$2:$A$256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'Yearly Portfolio'!$E$2:$E$256</c:f>
              <c:numCache>
                <c:formatCode>"$"#,##0.00</c:formatCode>
                <c:ptCount val="255"/>
                <c:pt idx="0">
                  <c:v>997.99</c:v>
                </c:pt>
                <c:pt idx="1">
                  <c:v>1003.37</c:v>
                </c:pt>
                <c:pt idx="2">
                  <c:v>1016.8199999999999</c:v>
                </c:pt>
                <c:pt idx="3">
                  <c:v>1035.6500000000001</c:v>
                </c:pt>
                <c:pt idx="4">
                  <c:v>1027.58</c:v>
                </c:pt>
                <c:pt idx="5">
                  <c:v>995.30000000000007</c:v>
                </c:pt>
                <c:pt idx="6">
                  <c:v>1000.6800000000001</c:v>
                </c:pt>
                <c:pt idx="7">
                  <c:v>979.16000000000008</c:v>
                </c:pt>
                <c:pt idx="8">
                  <c:v>973.78</c:v>
                </c:pt>
                <c:pt idx="9">
                  <c:v>973.78</c:v>
                </c:pt>
                <c:pt idx="10">
                  <c:v>973.78</c:v>
                </c:pt>
                <c:pt idx="11">
                  <c:v>960.32999999999993</c:v>
                </c:pt>
                <c:pt idx="12">
                  <c:v>954.94999999999993</c:v>
                </c:pt>
                <c:pt idx="13">
                  <c:v>938.81000000000006</c:v>
                </c:pt>
                <c:pt idx="14">
                  <c:v>919.98</c:v>
                </c:pt>
                <c:pt idx="15">
                  <c:v>804.31000000000006</c:v>
                </c:pt>
                <c:pt idx="16">
                  <c:v>801.62</c:v>
                </c:pt>
                <c:pt idx="17">
                  <c:v>796.24</c:v>
                </c:pt>
                <c:pt idx="18">
                  <c:v>782.79000000000008</c:v>
                </c:pt>
                <c:pt idx="19">
                  <c:v>801.62</c:v>
                </c:pt>
                <c:pt idx="20">
                  <c:v>812.38</c:v>
                </c:pt>
                <c:pt idx="21">
                  <c:v>809.68999999999994</c:v>
                </c:pt>
                <c:pt idx="22">
                  <c:v>825.82999999999993</c:v>
                </c:pt>
                <c:pt idx="23">
                  <c:v>844.66000000000008</c:v>
                </c:pt>
                <c:pt idx="24">
                  <c:v>812.38</c:v>
                </c:pt>
                <c:pt idx="25">
                  <c:v>763.95999999999992</c:v>
                </c:pt>
                <c:pt idx="26">
                  <c:v>769.33999999999992</c:v>
                </c:pt>
                <c:pt idx="27">
                  <c:v>774.72</c:v>
                </c:pt>
                <c:pt idx="28">
                  <c:v>761.27</c:v>
                </c:pt>
                <c:pt idx="29">
                  <c:v>790.86</c:v>
                </c:pt>
                <c:pt idx="30">
                  <c:v>788.17000000000007</c:v>
                </c:pt>
                <c:pt idx="31">
                  <c:v>796.24</c:v>
                </c:pt>
                <c:pt idx="32">
                  <c:v>782.79000000000008</c:v>
                </c:pt>
                <c:pt idx="33">
                  <c:v>785.48</c:v>
                </c:pt>
                <c:pt idx="34">
                  <c:v>801.62</c:v>
                </c:pt>
                <c:pt idx="35">
                  <c:v>796.24</c:v>
                </c:pt>
                <c:pt idx="36">
                  <c:v>809.68999999999994</c:v>
                </c:pt>
                <c:pt idx="37">
                  <c:v>809.68999999999994</c:v>
                </c:pt>
                <c:pt idx="38">
                  <c:v>817.76</c:v>
                </c:pt>
                <c:pt idx="39">
                  <c:v>815.06999999999994</c:v>
                </c:pt>
                <c:pt idx="40">
                  <c:v>831.20999999999992</c:v>
                </c:pt>
                <c:pt idx="41">
                  <c:v>833.9</c:v>
                </c:pt>
                <c:pt idx="42">
                  <c:v>828.52</c:v>
                </c:pt>
                <c:pt idx="43">
                  <c:v>833.9</c:v>
                </c:pt>
                <c:pt idx="44">
                  <c:v>844.66000000000008</c:v>
                </c:pt>
                <c:pt idx="45">
                  <c:v>833.9</c:v>
                </c:pt>
                <c:pt idx="46">
                  <c:v>833.9</c:v>
                </c:pt>
                <c:pt idx="47">
                  <c:v>807</c:v>
                </c:pt>
                <c:pt idx="48">
                  <c:v>817.76</c:v>
                </c:pt>
                <c:pt idx="49">
                  <c:v>801.62</c:v>
                </c:pt>
                <c:pt idx="50">
                  <c:v>798.93000000000006</c:v>
                </c:pt>
                <c:pt idx="51">
                  <c:v>804.31000000000006</c:v>
                </c:pt>
                <c:pt idx="52">
                  <c:v>809.68999999999994</c:v>
                </c:pt>
                <c:pt idx="53">
                  <c:v>828.52</c:v>
                </c:pt>
                <c:pt idx="54">
                  <c:v>858.11</c:v>
                </c:pt>
                <c:pt idx="55">
                  <c:v>852.73</c:v>
                </c:pt>
                <c:pt idx="56">
                  <c:v>868.87</c:v>
                </c:pt>
                <c:pt idx="57">
                  <c:v>860.80000000000007</c:v>
                </c:pt>
                <c:pt idx="58">
                  <c:v>860.80000000000007</c:v>
                </c:pt>
                <c:pt idx="59">
                  <c:v>860.80000000000007</c:v>
                </c:pt>
                <c:pt idx="60">
                  <c:v>860.80000000000007</c:v>
                </c:pt>
                <c:pt idx="61">
                  <c:v>895.77</c:v>
                </c:pt>
                <c:pt idx="62">
                  <c:v>922.67000000000007</c:v>
                </c:pt>
                <c:pt idx="63">
                  <c:v>949.56999999999994</c:v>
                </c:pt>
                <c:pt idx="64">
                  <c:v>995.30000000000007</c:v>
                </c:pt>
                <c:pt idx="65">
                  <c:v>1014.13</c:v>
                </c:pt>
                <c:pt idx="66">
                  <c:v>987.23</c:v>
                </c:pt>
                <c:pt idx="67">
                  <c:v>1003.37</c:v>
                </c:pt>
                <c:pt idx="68">
                  <c:v>1006.0600000000001</c:v>
                </c:pt>
                <c:pt idx="69">
                  <c:v>989.92000000000007</c:v>
                </c:pt>
                <c:pt idx="70">
                  <c:v>995.30000000000007</c:v>
                </c:pt>
                <c:pt idx="71">
                  <c:v>968.4</c:v>
                </c:pt>
                <c:pt idx="72">
                  <c:v>949.56999999999994</c:v>
                </c:pt>
                <c:pt idx="73">
                  <c:v>971.08999999999992</c:v>
                </c:pt>
                <c:pt idx="74">
                  <c:v>968.4</c:v>
                </c:pt>
                <c:pt idx="75">
                  <c:v>1003.37</c:v>
                </c:pt>
                <c:pt idx="76">
                  <c:v>995.30000000000007</c:v>
                </c:pt>
                <c:pt idx="77">
                  <c:v>987.23</c:v>
                </c:pt>
                <c:pt idx="78">
                  <c:v>1014.13</c:v>
                </c:pt>
                <c:pt idx="79">
                  <c:v>995.30000000000007</c:v>
                </c:pt>
                <c:pt idx="80">
                  <c:v>992.61</c:v>
                </c:pt>
                <c:pt idx="81">
                  <c:v>973.78</c:v>
                </c:pt>
                <c:pt idx="82">
                  <c:v>981.85</c:v>
                </c:pt>
                <c:pt idx="83">
                  <c:v>992.61</c:v>
                </c:pt>
                <c:pt idx="84">
                  <c:v>997.99</c:v>
                </c:pt>
                <c:pt idx="85">
                  <c:v>1003.37</c:v>
                </c:pt>
                <c:pt idx="86">
                  <c:v>1000.6800000000001</c:v>
                </c:pt>
                <c:pt idx="87">
                  <c:v>987.23</c:v>
                </c:pt>
                <c:pt idx="88">
                  <c:v>989.92000000000007</c:v>
                </c:pt>
                <c:pt idx="89">
                  <c:v>1000.6800000000001</c:v>
                </c:pt>
                <c:pt idx="90">
                  <c:v>1003.37</c:v>
                </c:pt>
                <c:pt idx="91">
                  <c:v>1008.75</c:v>
                </c:pt>
                <c:pt idx="92">
                  <c:v>1011.4399999999999</c:v>
                </c:pt>
                <c:pt idx="93">
                  <c:v>1030.27</c:v>
                </c:pt>
                <c:pt idx="94">
                  <c:v>1022.1999999999999</c:v>
                </c:pt>
                <c:pt idx="95">
                  <c:v>995.30000000000007</c:v>
                </c:pt>
                <c:pt idx="96">
                  <c:v>971.08999999999992</c:v>
                </c:pt>
                <c:pt idx="97">
                  <c:v>952.26</c:v>
                </c:pt>
                <c:pt idx="98">
                  <c:v>938.81000000000006</c:v>
                </c:pt>
                <c:pt idx="99">
                  <c:v>954.94999999999993</c:v>
                </c:pt>
                <c:pt idx="100">
                  <c:v>1014.13</c:v>
                </c:pt>
                <c:pt idx="101">
                  <c:v>987.23</c:v>
                </c:pt>
                <c:pt idx="102">
                  <c:v>995.30000000000007</c:v>
                </c:pt>
                <c:pt idx="103">
                  <c:v>1003.37</c:v>
                </c:pt>
                <c:pt idx="104">
                  <c:v>1030.27</c:v>
                </c:pt>
                <c:pt idx="105">
                  <c:v>1006.0600000000001</c:v>
                </c:pt>
                <c:pt idx="106">
                  <c:v>1016.8199999999999</c:v>
                </c:pt>
                <c:pt idx="107">
                  <c:v>1014.13</c:v>
                </c:pt>
                <c:pt idx="108">
                  <c:v>1006.0600000000001</c:v>
                </c:pt>
                <c:pt idx="109">
                  <c:v>1000.6800000000001</c:v>
                </c:pt>
                <c:pt idx="110">
                  <c:v>989.92000000000007</c:v>
                </c:pt>
                <c:pt idx="111">
                  <c:v>973.78</c:v>
                </c:pt>
                <c:pt idx="112">
                  <c:v>968.4</c:v>
                </c:pt>
                <c:pt idx="113">
                  <c:v>995.30000000000007</c:v>
                </c:pt>
                <c:pt idx="114">
                  <c:v>976.47</c:v>
                </c:pt>
                <c:pt idx="115">
                  <c:v>968.4</c:v>
                </c:pt>
                <c:pt idx="116">
                  <c:v>989.92000000000007</c:v>
                </c:pt>
                <c:pt idx="117">
                  <c:v>946.88</c:v>
                </c:pt>
                <c:pt idx="118">
                  <c:v>925.36</c:v>
                </c:pt>
                <c:pt idx="119">
                  <c:v>914.6</c:v>
                </c:pt>
                <c:pt idx="120">
                  <c:v>906.53</c:v>
                </c:pt>
                <c:pt idx="121">
                  <c:v>914.6</c:v>
                </c:pt>
                <c:pt idx="122">
                  <c:v>909.22</c:v>
                </c:pt>
                <c:pt idx="123">
                  <c:v>903.83999999999992</c:v>
                </c:pt>
                <c:pt idx="124">
                  <c:v>898.45999999999992</c:v>
                </c:pt>
                <c:pt idx="125">
                  <c:v>917.29000000000008</c:v>
                </c:pt>
                <c:pt idx="126">
                  <c:v>917.29000000000008</c:v>
                </c:pt>
                <c:pt idx="127">
                  <c:v>914.6</c:v>
                </c:pt>
                <c:pt idx="128">
                  <c:v>914.6</c:v>
                </c:pt>
                <c:pt idx="129">
                  <c:v>914.6</c:v>
                </c:pt>
                <c:pt idx="130">
                  <c:v>930.74</c:v>
                </c:pt>
                <c:pt idx="131">
                  <c:v>930.74</c:v>
                </c:pt>
                <c:pt idx="132">
                  <c:v>914.6</c:v>
                </c:pt>
                <c:pt idx="133">
                  <c:v>914.6</c:v>
                </c:pt>
                <c:pt idx="134">
                  <c:v>917.29000000000008</c:v>
                </c:pt>
                <c:pt idx="135">
                  <c:v>909.22</c:v>
                </c:pt>
                <c:pt idx="136">
                  <c:v>914.6</c:v>
                </c:pt>
                <c:pt idx="137">
                  <c:v>906.53</c:v>
                </c:pt>
                <c:pt idx="138">
                  <c:v>919.98</c:v>
                </c:pt>
                <c:pt idx="139">
                  <c:v>919.98</c:v>
                </c:pt>
                <c:pt idx="140">
                  <c:v>938.81000000000006</c:v>
                </c:pt>
                <c:pt idx="141">
                  <c:v>936.12</c:v>
                </c:pt>
                <c:pt idx="142">
                  <c:v>944.18999999999994</c:v>
                </c:pt>
                <c:pt idx="143">
                  <c:v>963.02</c:v>
                </c:pt>
                <c:pt idx="144">
                  <c:v>957.64</c:v>
                </c:pt>
                <c:pt idx="145">
                  <c:v>949.56999999999994</c:v>
                </c:pt>
                <c:pt idx="146">
                  <c:v>952.26</c:v>
                </c:pt>
                <c:pt idx="147">
                  <c:v>906.53</c:v>
                </c:pt>
                <c:pt idx="148">
                  <c:v>885.01</c:v>
                </c:pt>
                <c:pt idx="149">
                  <c:v>903.83999999999992</c:v>
                </c:pt>
                <c:pt idx="150">
                  <c:v>903.83999999999992</c:v>
                </c:pt>
                <c:pt idx="151">
                  <c:v>890.39</c:v>
                </c:pt>
                <c:pt idx="152">
                  <c:v>909.22</c:v>
                </c:pt>
                <c:pt idx="153">
                  <c:v>928.05000000000007</c:v>
                </c:pt>
                <c:pt idx="154">
                  <c:v>933.43000000000006</c:v>
                </c:pt>
                <c:pt idx="155">
                  <c:v>941.5</c:v>
                </c:pt>
                <c:pt idx="156">
                  <c:v>925.36</c:v>
                </c:pt>
                <c:pt idx="157">
                  <c:v>922.67000000000007</c:v>
                </c:pt>
                <c:pt idx="158">
                  <c:v>922.67000000000007</c:v>
                </c:pt>
                <c:pt idx="159">
                  <c:v>960.32999999999993</c:v>
                </c:pt>
                <c:pt idx="160">
                  <c:v>981.85</c:v>
                </c:pt>
                <c:pt idx="161">
                  <c:v>992.61</c:v>
                </c:pt>
                <c:pt idx="162">
                  <c:v>987.23</c:v>
                </c:pt>
                <c:pt idx="163">
                  <c:v>984.54000000000008</c:v>
                </c:pt>
                <c:pt idx="164">
                  <c:v>997.99</c:v>
                </c:pt>
                <c:pt idx="165">
                  <c:v>1006.0600000000001</c:v>
                </c:pt>
                <c:pt idx="166">
                  <c:v>987.23</c:v>
                </c:pt>
                <c:pt idx="167">
                  <c:v>981.85</c:v>
                </c:pt>
                <c:pt idx="168">
                  <c:v>971.08999999999992</c:v>
                </c:pt>
                <c:pt idx="169">
                  <c:v>979.16000000000008</c:v>
                </c:pt>
                <c:pt idx="170">
                  <c:v>946.88</c:v>
                </c:pt>
                <c:pt idx="171">
                  <c:v>976.47</c:v>
                </c:pt>
                <c:pt idx="172">
                  <c:v>946.88</c:v>
                </c:pt>
                <c:pt idx="173">
                  <c:v>944.18999999999994</c:v>
                </c:pt>
                <c:pt idx="174">
                  <c:v>979.16000000000008</c:v>
                </c:pt>
                <c:pt idx="175">
                  <c:v>965.70999999999992</c:v>
                </c:pt>
                <c:pt idx="176">
                  <c:v>971.08999999999992</c:v>
                </c:pt>
                <c:pt idx="177">
                  <c:v>965.70999999999992</c:v>
                </c:pt>
                <c:pt idx="178">
                  <c:v>963.02</c:v>
                </c:pt>
                <c:pt idx="179">
                  <c:v>949.56999999999994</c:v>
                </c:pt>
                <c:pt idx="180">
                  <c:v>949.56999999999994</c:v>
                </c:pt>
                <c:pt idx="181">
                  <c:v>968.4</c:v>
                </c:pt>
                <c:pt idx="182">
                  <c:v>971.08999999999992</c:v>
                </c:pt>
                <c:pt idx="183">
                  <c:v>971.08999999999992</c:v>
                </c:pt>
                <c:pt idx="184">
                  <c:v>973.78</c:v>
                </c:pt>
                <c:pt idx="185">
                  <c:v>949.56999999999994</c:v>
                </c:pt>
                <c:pt idx="186">
                  <c:v>938.81000000000006</c:v>
                </c:pt>
                <c:pt idx="187">
                  <c:v>944.18999999999994</c:v>
                </c:pt>
                <c:pt idx="188">
                  <c:v>944.18999999999994</c:v>
                </c:pt>
                <c:pt idx="189">
                  <c:v>933.43000000000006</c:v>
                </c:pt>
                <c:pt idx="190">
                  <c:v>906.53</c:v>
                </c:pt>
                <c:pt idx="191">
                  <c:v>866.18000000000006</c:v>
                </c:pt>
                <c:pt idx="192">
                  <c:v>863.49</c:v>
                </c:pt>
                <c:pt idx="193">
                  <c:v>839.28</c:v>
                </c:pt>
                <c:pt idx="194">
                  <c:v>798.93000000000006</c:v>
                </c:pt>
                <c:pt idx="195">
                  <c:v>755.89</c:v>
                </c:pt>
                <c:pt idx="196">
                  <c:v>696.70999999999992</c:v>
                </c:pt>
                <c:pt idx="197">
                  <c:v>712.85</c:v>
                </c:pt>
                <c:pt idx="198">
                  <c:v>677.88</c:v>
                </c:pt>
                <c:pt idx="199">
                  <c:v>742.43999999999994</c:v>
                </c:pt>
                <c:pt idx="200">
                  <c:v>737.06000000000006</c:v>
                </c:pt>
                <c:pt idx="201">
                  <c:v>753.19999999999993</c:v>
                </c:pt>
                <c:pt idx="202">
                  <c:v>750.51</c:v>
                </c:pt>
                <c:pt idx="203">
                  <c:v>718.23</c:v>
                </c:pt>
                <c:pt idx="204">
                  <c:v>723.61</c:v>
                </c:pt>
                <c:pt idx="205">
                  <c:v>702.08999999999992</c:v>
                </c:pt>
                <c:pt idx="206">
                  <c:v>712.85</c:v>
                </c:pt>
                <c:pt idx="207">
                  <c:v>728.99</c:v>
                </c:pt>
                <c:pt idx="208">
                  <c:v>728.99</c:v>
                </c:pt>
                <c:pt idx="209">
                  <c:v>747.81999999999994</c:v>
                </c:pt>
                <c:pt idx="210">
                  <c:v>739.75</c:v>
                </c:pt>
                <c:pt idx="211">
                  <c:v>737.06000000000006</c:v>
                </c:pt>
                <c:pt idx="212">
                  <c:v>761.27</c:v>
                </c:pt>
                <c:pt idx="213">
                  <c:v>753.19999999999993</c:v>
                </c:pt>
                <c:pt idx="214">
                  <c:v>763.95999999999992</c:v>
                </c:pt>
                <c:pt idx="215">
                  <c:v>766.65</c:v>
                </c:pt>
                <c:pt idx="216">
                  <c:v>758.57999999999993</c:v>
                </c:pt>
                <c:pt idx="217">
                  <c:v>750.51</c:v>
                </c:pt>
                <c:pt idx="218">
                  <c:v>772.03</c:v>
                </c:pt>
                <c:pt idx="219">
                  <c:v>815.06999999999994</c:v>
                </c:pt>
                <c:pt idx="220">
                  <c:v>804.31000000000006</c:v>
                </c:pt>
                <c:pt idx="221">
                  <c:v>801.62</c:v>
                </c:pt>
                <c:pt idx="222">
                  <c:v>796.24</c:v>
                </c:pt>
                <c:pt idx="223">
                  <c:v>790.86</c:v>
                </c:pt>
                <c:pt idx="224">
                  <c:v>823.14</c:v>
                </c:pt>
                <c:pt idx="225">
                  <c:v>828.52</c:v>
                </c:pt>
                <c:pt idx="226">
                  <c:v>831.20999999999992</c:v>
                </c:pt>
                <c:pt idx="227">
                  <c:v>815.06999999999994</c:v>
                </c:pt>
                <c:pt idx="228">
                  <c:v>820.44999999999993</c:v>
                </c:pt>
                <c:pt idx="229">
                  <c:v>831.20999999999992</c:v>
                </c:pt>
                <c:pt idx="230">
                  <c:v>825.82999999999993</c:v>
                </c:pt>
                <c:pt idx="231">
                  <c:v>817.76</c:v>
                </c:pt>
                <c:pt idx="232">
                  <c:v>820.44999999999993</c:v>
                </c:pt>
                <c:pt idx="233">
                  <c:v>790.86</c:v>
                </c:pt>
                <c:pt idx="234">
                  <c:v>793.55000000000007</c:v>
                </c:pt>
                <c:pt idx="235">
                  <c:v>812.38</c:v>
                </c:pt>
                <c:pt idx="236">
                  <c:v>812.38</c:v>
                </c:pt>
                <c:pt idx="237">
                  <c:v>812.38</c:v>
                </c:pt>
                <c:pt idx="238">
                  <c:v>817.76</c:v>
                </c:pt>
                <c:pt idx="239">
                  <c:v>823.14</c:v>
                </c:pt>
                <c:pt idx="240">
                  <c:v>809.68999999999994</c:v>
                </c:pt>
                <c:pt idx="241">
                  <c:v>790.86</c:v>
                </c:pt>
                <c:pt idx="242">
                  <c:v>807</c:v>
                </c:pt>
                <c:pt idx="243">
                  <c:v>812.38</c:v>
                </c:pt>
                <c:pt idx="244">
                  <c:v>801.62</c:v>
                </c:pt>
                <c:pt idx="245">
                  <c:v>780.1</c:v>
                </c:pt>
                <c:pt idx="246">
                  <c:v>774.72</c:v>
                </c:pt>
                <c:pt idx="247">
                  <c:v>766.65</c:v>
                </c:pt>
                <c:pt idx="248">
                  <c:v>785.48</c:v>
                </c:pt>
                <c:pt idx="249">
                  <c:v>763.95999999999992</c:v>
                </c:pt>
                <c:pt idx="250">
                  <c:v>780.1</c:v>
                </c:pt>
                <c:pt idx="251">
                  <c:v>790.86</c:v>
                </c:pt>
                <c:pt idx="252">
                  <c:v>782.79000000000008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5-4EB2-9985-18EE3036F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188976"/>
        <c:axId val="945278464"/>
      </c:lineChart>
      <c:catAx>
        <c:axId val="842188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278464"/>
        <c:crosses val="autoZero"/>
        <c:auto val="1"/>
        <c:lblAlgn val="ctr"/>
        <c:lblOffset val="100"/>
        <c:noMultiLvlLbl val="0"/>
      </c:catAx>
      <c:valAx>
        <c:axId val="945278464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Portfolio</a:t>
                </a:r>
                <a:r>
                  <a:rPr lang="en-AU" baseline="0"/>
                  <a:t> Value</a:t>
                </a:r>
                <a:r>
                  <a:rPr lang="en-AU"/>
                  <a:t> (AUD)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18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Close Price vs Volume – Single Trade Highlight (South32, 2024/2025)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>
        <c:manualLayout>
          <c:layoutTarget val="inner"/>
          <c:xMode val="edge"/>
          <c:yMode val="edge"/>
          <c:x val="7.6909834640484412E-2"/>
          <c:y val="0.12774858187119062"/>
          <c:w val="0.80009623953925491"/>
          <c:h val="0.6169607677437755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'1xTrade'!$F$1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32"/>
              <c:layout>
                <c:manualLayout>
                  <c:x val="3.2101047244007135E-2"/>
                  <c:y val="-7.6514044243191789E-2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rgbClr val="92D050"/>
                        </a:solidFill>
                      </a:rPr>
                      <a:t>Volume Spike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D4A-4E6A-8554-18DCDD86B2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5875" cap="flat" cmpd="sng" algn="ctr">
                      <a:solidFill>
                        <a:schemeClr val="accent6"/>
                      </a:solidFill>
                      <a:round/>
                      <a:headEnd type="stealth" w="lg" len="sm"/>
                    </a:ln>
                    <a:effectLst/>
                  </c:spPr>
                </c15:leaderLines>
              </c:ext>
            </c:extLst>
          </c:dLbls>
          <c:cat>
            <c:strRef>
              <c:f>'1xTrade'!$A$2:$A$255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'1xTrade'!$F$2:$F$255</c:f>
              <c:numCache>
                <c:formatCode>#,##0.00##</c:formatCode>
                <c:ptCount val="254"/>
                <c:pt idx="0">
                  <c:v>9106807</c:v>
                </c:pt>
                <c:pt idx="1">
                  <c:v>12394093</c:v>
                </c:pt>
                <c:pt idx="2">
                  <c:v>13794144</c:v>
                </c:pt>
                <c:pt idx="3">
                  <c:v>20956236</c:v>
                </c:pt>
                <c:pt idx="4">
                  <c:v>9689371</c:v>
                </c:pt>
                <c:pt idx="5">
                  <c:v>12881063</c:v>
                </c:pt>
                <c:pt idx="6">
                  <c:v>13428251</c:v>
                </c:pt>
                <c:pt idx="7">
                  <c:v>10158463</c:v>
                </c:pt>
                <c:pt idx="8">
                  <c:v>26396401</c:v>
                </c:pt>
                <c:pt idx="9">
                  <c:v>13100483</c:v>
                </c:pt>
                <c:pt idx="10">
                  <c:v>12435172</c:v>
                </c:pt>
                <c:pt idx="11">
                  <c:v>12406333</c:v>
                </c:pt>
                <c:pt idx="12">
                  <c:v>11173908</c:v>
                </c:pt>
                <c:pt idx="13">
                  <c:v>10817106</c:v>
                </c:pt>
                <c:pt idx="14">
                  <c:v>16152362</c:v>
                </c:pt>
                <c:pt idx="15">
                  <c:v>54812357</c:v>
                </c:pt>
                <c:pt idx="16">
                  <c:v>23134988</c:v>
                </c:pt>
                <c:pt idx="17">
                  <c:v>18835336</c:v>
                </c:pt>
                <c:pt idx="18">
                  <c:v>20154737</c:v>
                </c:pt>
                <c:pt idx="19">
                  <c:v>16115189</c:v>
                </c:pt>
                <c:pt idx="20">
                  <c:v>14373894</c:v>
                </c:pt>
                <c:pt idx="21">
                  <c:v>14273745</c:v>
                </c:pt>
                <c:pt idx="22">
                  <c:v>21660548</c:v>
                </c:pt>
                <c:pt idx="23">
                  <c:v>18882555</c:v>
                </c:pt>
                <c:pt idx="24">
                  <c:v>19896907</c:v>
                </c:pt>
                <c:pt idx="25">
                  <c:v>20345335</c:v>
                </c:pt>
                <c:pt idx="26">
                  <c:v>17012868</c:v>
                </c:pt>
                <c:pt idx="27">
                  <c:v>23768976</c:v>
                </c:pt>
                <c:pt idx="28">
                  <c:v>13810471</c:v>
                </c:pt>
                <c:pt idx="29">
                  <c:v>23253359</c:v>
                </c:pt>
                <c:pt idx="30">
                  <c:v>8648846</c:v>
                </c:pt>
                <c:pt idx="31">
                  <c:v>10662640</c:v>
                </c:pt>
                <c:pt idx="32">
                  <c:v>14400303</c:v>
                </c:pt>
                <c:pt idx="33">
                  <c:v>13069010</c:v>
                </c:pt>
                <c:pt idx="34">
                  <c:v>20523485</c:v>
                </c:pt>
                <c:pt idx="35">
                  <c:v>9279929</c:v>
                </c:pt>
                <c:pt idx="36">
                  <c:v>15788370</c:v>
                </c:pt>
                <c:pt idx="37">
                  <c:v>15016450</c:v>
                </c:pt>
                <c:pt idx="38">
                  <c:v>8807000</c:v>
                </c:pt>
                <c:pt idx="39">
                  <c:v>35694427</c:v>
                </c:pt>
                <c:pt idx="40">
                  <c:v>11068964</c:v>
                </c:pt>
                <c:pt idx="41">
                  <c:v>6127008</c:v>
                </c:pt>
                <c:pt idx="42">
                  <c:v>8290015</c:v>
                </c:pt>
                <c:pt idx="43">
                  <c:v>14884764</c:v>
                </c:pt>
                <c:pt idx="44">
                  <c:v>27310472</c:v>
                </c:pt>
                <c:pt idx="45">
                  <c:v>11343885</c:v>
                </c:pt>
                <c:pt idx="46">
                  <c:v>15429700</c:v>
                </c:pt>
                <c:pt idx="47">
                  <c:v>19186593</c:v>
                </c:pt>
                <c:pt idx="48">
                  <c:v>15023048</c:v>
                </c:pt>
                <c:pt idx="49">
                  <c:v>17896336</c:v>
                </c:pt>
                <c:pt idx="50">
                  <c:v>14175175</c:v>
                </c:pt>
                <c:pt idx="51">
                  <c:v>15928234</c:v>
                </c:pt>
                <c:pt idx="52">
                  <c:v>18691723</c:v>
                </c:pt>
                <c:pt idx="53">
                  <c:v>21797512</c:v>
                </c:pt>
                <c:pt idx="54">
                  <c:v>18380139</c:v>
                </c:pt>
                <c:pt idx="55">
                  <c:v>13693766</c:v>
                </c:pt>
                <c:pt idx="56">
                  <c:v>14476326</c:v>
                </c:pt>
                <c:pt idx="57">
                  <c:v>11530975</c:v>
                </c:pt>
                <c:pt idx="58">
                  <c:v>15823474</c:v>
                </c:pt>
                <c:pt idx="59">
                  <c:v>23310385</c:v>
                </c:pt>
                <c:pt idx="60">
                  <c:v>9780018</c:v>
                </c:pt>
                <c:pt idx="61">
                  <c:v>17248126</c:v>
                </c:pt>
                <c:pt idx="62">
                  <c:v>22390742</c:v>
                </c:pt>
                <c:pt idx="63">
                  <c:v>19880943</c:v>
                </c:pt>
                <c:pt idx="64">
                  <c:v>27845325</c:v>
                </c:pt>
                <c:pt idx="65">
                  <c:v>24777393</c:v>
                </c:pt>
                <c:pt idx="66">
                  <c:v>15941549</c:v>
                </c:pt>
                <c:pt idx="67">
                  <c:v>12086688</c:v>
                </c:pt>
                <c:pt idx="68">
                  <c:v>11816762</c:v>
                </c:pt>
                <c:pt idx="69">
                  <c:v>12653259</c:v>
                </c:pt>
                <c:pt idx="70">
                  <c:v>7659865</c:v>
                </c:pt>
                <c:pt idx="71">
                  <c:v>21852477</c:v>
                </c:pt>
                <c:pt idx="72">
                  <c:v>15112302</c:v>
                </c:pt>
                <c:pt idx="73">
                  <c:v>11678922</c:v>
                </c:pt>
                <c:pt idx="74">
                  <c:v>8008597</c:v>
                </c:pt>
                <c:pt idx="75">
                  <c:v>17833265</c:v>
                </c:pt>
                <c:pt idx="76">
                  <c:v>22222009</c:v>
                </c:pt>
                <c:pt idx="77">
                  <c:v>19870978</c:v>
                </c:pt>
                <c:pt idx="78">
                  <c:v>22446900</c:v>
                </c:pt>
                <c:pt idx="79">
                  <c:v>16193067</c:v>
                </c:pt>
                <c:pt idx="80">
                  <c:v>17438041</c:v>
                </c:pt>
                <c:pt idx="81">
                  <c:v>14369754</c:v>
                </c:pt>
                <c:pt idx="82">
                  <c:v>8203001</c:v>
                </c:pt>
                <c:pt idx="83">
                  <c:v>25670378</c:v>
                </c:pt>
                <c:pt idx="84">
                  <c:v>7370135</c:v>
                </c:pt>
                <c:pt idx="85">
                  <c:v>9312484</c:v>
                </c:pt>
                <c:pt idx="86">
                  <c:v>15617684</c:v>
                </c:pt>
                <c:pt idx="87">
                  <c:v>18969067</c:v>
                </c:pt>
                <c:pt idx="88">
                  <c:v>21765111</c:v>
                </c:pt>
                <c:pt idx="89">
                  <c:v>10174277</c:v>
                </c:pt>
                <c:pt idx="90">
                  <c:v>7434666</c:v>
                </c:pt>
                <c:pt idx="91">
                  <c:v>8992653</c:v>
                </c:pt>
                <c:pt idx="92">
                  <c:v>8805425</c:v>
                </c:pt>
                <c:pt idx="93">
                  <c:v>19216538</c:v>
                </c:pt>
                <c:pt idx="94">
                  <c:v>16653512</c:v>
                </c:pt>
                <c:pt idx="95">
                  <c:v>8933764</c:v>
                </c:pt>
                <c:pt idx="96">
                  <c:v>15232242</c:v>
                </c:pt>
                <c:pt idx="97">
                  <c:v>12657462</c:v>
                </c:pt>
                <c:pt idx="98">
                  <c:v>11885766</c:v>
                </c:pt>
                <c:pt idx="99">
                  <c:v>13539572</c:v>
                </c:pt>
                <c:pt idx="100">
                  <c:v>19069477</c:v>
                </c:pt>
                <c:pt idx="101">
                  <c:v>15335167</c:v>
                </c:pt>
                <c:pt idx="102">
                  <c:v>9212631</c:v>
                </c:pt>
                <c:pt idx="103">
                  <c:v>5670061</c:v>
                </c:pt>
                <c:pt idx="104">
                  <c:v>16409301</c:v>
                </c:pt>
                <c:pt idx="105">
                  <c:v>21656658</c:v>
                </c:pt>
                <c:pt idx="106">
                  <c:v>14817697</c:v>
                </c:pt>
                <c:pt idx="107">
                  <c:v>8918967</c:v>
                </c:pt>
                <c:pt idx="108">
                  <c:v>9530381</c:v>
                </c:pt>
                <c:pt idx="109">
                  <c:v>9776782</c:v>
                </c:pt>
                <c:pt idx="110">
                  <c:v>11756164</c:v>
                </c:pt>
                <c:pt idx="111">
                  <c:v>11874302</c:v>
                </c:pt>
                <c:pt idx="112">
                  <c:v>11015093</c:v>
                </c:pt>
                <c:pt idx="113">
                  <c:v>18213893</c:v>
                </c:pt>
                <c:pt idx="114">
                  <c:v>11559696</c:v>
                </c:pt>
                <c:pt idx="115">
                  <c:v>9267145</c:v>
                </c:pt>
                <c:pt idx="116">
                  <c:v>20329702</c:v>
                </c:pt>
                <c:pt idx="117">
                  <c:v>18801335</c:v>
                </c:pt>
                <c:pt idx="118">
                  <c:v>18727881</c:v>
                </c:pt>
                <c:pt idx="119">
                  <c:v>16059188</c:v>
                </c:pt>
                <c:pt idx="120">
                  <c:v>14294709</c:v>
                </c:pt>
                <c:pt idx="121">
                  <c:v>9236298</c:v>
                </c:pt>
                <c:pt idx="122">
                  <c:v>10017449</c:v>
                </c:pt>
                <c:pt idx="123">
                  <c:v>10930697</c:v>
                </c:pt>
                <c:pt idx="124">
                  <c:v>19155741</c:v>
                </c:pt>
                <c:pt idx="125">
                  <c:v>8755188</c:v>
                </c:pt>
                <c:pt idx="126">
                  <c:v>2536365</c:v>
                </c:pt>
                <c:pt idx="127">
                  <c:v>5446015</c:v>
                </c:pt>
                <c:pt idx="128">
                  <c:v>5831404</c:v>
                </c:pt>
                <c:pt idx="129">
                  <c:v>5074019</c:v>
                </c:pt>
                <c:pt idx="130">
                  <c:v>7244080</c:v>
                </c:pt>
                <c:pt idx="131">
                  <c:v>5814788</c:v>
                </c:pt>
                <c:pt idx="132">
                  <c:v>9706223</c:v>
                </c:pt>
                <c:pt idx="133">
                  <c:v>7193757</c:v>
                </c:pt>
                <c:pt idx="134">
                  <c:v>9258282</c:v>
                </c:pt>
                <c:pt idx="135">
                  <c:v>6468485</c:v>
                </c:pt>
                <c:pt idx="136">
                  <c:v>7527935</c:v>
                </c:pt>
                <c:pt idx="137">
                  <c:v>9978893</c:v>
                </c:pt>
                <c:pt idx="138">
                  <c:v>13344994</c:v>
                </c:pt>
                <c:pt idx="139">
                  <c:v>8447917</c:v>
                </c:pt>
                <c:pt idx="140">
                  <c:v>12309818</c:v>
                </c:pt>
                <c:pt idx="141">
                  <c:v>9864598</c:v>
                </c:pt>
                <c:pt idx="142">
                  <c:v>9755462</c:v>
                </c:pt>
                <c:pt idx="143">
                  <c:v>11967577</c:v>
                </c:pt>
                <c:pt idx="144">
                  <c:v>11161671</c:v>
                </c:pt>
                <c:pt idx="145">
                  <c:v>11839465</c:v>
                </c:pt>
                <c:pt idx="146">
                  <c:v>13899912</c:v>
                </c:pt>
                <c:pt idx="147">
                  <c:v>20124646</c:v>
                </c:pt>
                <c:pt idx="148">
                  <c:v>21131826</c:v>
                </c:pt>
                <c:pt idx="149">
                  <c:v>18129204</c:v>
                </c:pt>
                <c:pt idx="150">
                  <c:v>12898472</c:v>
                </c:pt>
                <c:pt idx="151">
                  <c:v>14484501</c:v>
                </c:pt>
                <c:pt idx="152">
                  <c:v>11500191</c:v>
                </c:pt>
                <c:pt idx="153">
                  <c:v>16395461</c:v>
                </c:pt>
                <c:pt idx="154">
                  <c:v>9923403</c:v>
                </c:pt>
                <c:pt idx="155">
                  <c:v>10527075</c:v>
                </c:pt>
                <c:pt idx="156">
                  <c:v>12788311</c:v>
                </c:pt>
                <c:pt idx="157">
                  <c:v>33825484</c:v>
                </c:pt>
                <c:pt idx="158">
                  <c:v>11055250</c:v>
                </c:pt>
                <c:pt idx="159">
                  <c:v>18191090</c:v>
                </c:pt>
                <c:pt idx="160">
                  <c:v>18126481</c:v>
                </c:pt>
                <c:pt idx="161">
                  <c:v>19081373</c:v>
                </c:pt>
                <c:pt idx="162">
                  <c:v>9230697</c:v>
                </c:pt>
                <c:pt idx="163">
                  <c:v>12160795</c:v>
                </c:pt>
                <c:pt idx="164">
                  <c:v>19688965</c:v>
                </c:pt>
                <c:pt idx="165">
                  <c:v>15321683</c:v>
                </c:pt>
                <c:pt idx="166">
                  <c:v>14359888</c:v>
                </c:pt>
                <c:pt idx="167">
                  <c:v>11475830</c:v>
                </c:pt>
                <c:pt idx="168">
                  <c:v>11638892</c:v>
                </c:pt>
                <c:pt idx="169">
                  <c:v>19503590</c:v>
                </c:pt>
                <c:pt idx="170">
                  <c:v>36980677</c:v>
                </c:pt>
                <c:pt idx="171">
                  <c:v>13507674</c:v>
                </c:pt>
                <c:pt idx="172">
                  <c:v>16175787</c:v>
                </c:pt>
                <c:pt idx="173">
                  <c:v>16983946</c:v>
                </c:pt>
                <c:pt idx="174">
                  <c:v>22995626</c:v>
                </c:pt>
                <c:pt idx="175">
                  <c:v>12230875</c:v>
                </c:pt>
                <c:pt idx="176">
                  <c:v>10692645</c:v>
                </c:pt>
                <c:pt idx="177">
                  <c:v>15971582</c:v>
                </c:pt>
                <c:pt idx="178">
                  <c:v>19477598</c:v>
                </c:pt>
                <c:pt idx="179">
                  <c:v>13534139</c:v>
                </c:pt>
                <c:pt idx="180">
                  <c:v>13694812</c:v>
                </c:pt>
                <c:pt idx="181">
                  <c:v>13261618</c:v>
                </c:pt>
                <c:pt idx="182">
                  <c:v>14388440</c:v>
                </c:pt>
                <c:pt idx="183">
                  <c:v>14997940</c:v>
                </c:pt>
                <c:pt idx="184">
                  <c:v>20786709</c:v>
                </c:pt>
                <c:pt idx="185">
                  <c:v>33529200</c:v>
                </c:pt>
                <c:pt idx="186">
                  <c:v>15115360</c:v>
                </c:pt>
                <c:pt idx="187">
                  <c:v>10970809</c:v>
                </c:pt>
                <c:pt idx="188">
                  <c:v>12634356</c:v>
                </c:pt>
                <c:pt idx="189">
                  <c:v>15381960</c:v>
                </c:pt>
                <c:pt idx="190">
                  <c:v>18889063</c:v>
                </c:pt>
                <c:pt idx="191">
                  <c:v>26542282</c:v>
                </c:pt>
                <c:pt idx="192">
                  <c:v>18427391</c:v>
                </c:pt>
                <c:pt idx="193">
                  <c:v>17869751</c:v>
                </c:pt>
                <c:pt idx="194">
                  <c:v>24714515</c:v>
                </c:pt>
                <c:pt idx="195">
                  <c:v>31014585</c:v>
                </c:pt>
                <c:pt idx="196">
                  <c:v>34589129</c:v>
                </c:pt>
                <c:pt idx="197">
                  <c:v>31824160</c:v>
                </c:pt>
                <c:pt idx="198">
                  <c:v>31916718</c:v>
                </c:pt>
                <c:pt idx="199">
                  <c:v>31986385</c:v>
                </c:pt>
                <c:pt idx="200">
                  <c:v>25673127</c:v>
                </c:pt>
                <c:pt idx="201">
                  <c:v>14433571</c:v>
                </c:pt>
                <c:pt idx="202">
                  <c:v>13860687</c:v>
                </c:pt>
                <c:pt idx="203">
                  <c:v>14401088</c:v>
                </c:pt>
                <c:pt idx="204">
                  <c:v>18798336</c:v>
                </c:pt>
                <c:pt idx="205">
                  <c:v>26367398</c:v>
                </c:pt>
                <c:pt idx="206">
                  <c:v>41030881</c:v>
                </c:pt>
                <c:pt idx="207">
                  <c:v>26901835</c:v>
                </c:pt>
                <c:pt idx="208">
                  <c:v>24848748</c:v>
                </c:pt>
                <c:pt idx="209">
                  <c:v>20819830</c:v>
                </c:pt>
                <c:pt idx="210">
                  <c:v>24306396</c:v>
                </c:pt>
                <c:pt idx="211">
                  <c:v>18455202</c:v>
                </c:pt>
                <c:pt idx="212">
                  <c:v>22496587</c:v>
                </c:pt>
                <c:pt idx="213">
                  <c:v>14942316</c:v>
                </c:pt>
                <c:pt idx="214">
                  <c:v>12190978</c:v>
                </c:pt>
                <c:pt idx="215">
                  <c:v>19324690</c:v>
                </c:pt>
                <c:pt idx="216">
                  <c:v>18959762</c:v>
                </c:pt>
                <c:pt idx="217">
                  <c:v>14545805</c:v>
                </c:pt>
                <c:pt idx="218">
                  <c:v>17068184</c:v>
                </c:pt>
                <c:pt idx="219">
                  <c:v>24722308</c:v>
                </c:pt>
                <c:pt idx="220">
                  <c:v>23298076</c:v>
                </c:pt>
                <c:pt idx="221">
                  <c:v>15686418</c:v>
                </c:pt>
                <c:pt idx="222">
                  <c:v>18821734</c:v>
                </c:pt>
                <c:pt idx="223">
                  <c:v>15059447</c:v>
                </c:pt>
                <c:pt idx="224">
                  <c:v>27135468</c:v>
                </c:pt>
                <c:pt idx="225">
                  <c:v>24714335</c:v>
                </c:pt>
                <c:pt idx="226">
                  <c:v>15803555</c:v>
                </c:pt>
                <c:pt idx="227">
                  <c:v>11877854</c:v>
                </c:pt>
                <c:pt idx="228">
                  <c:v>9879576</c:v>
                </c:pt>
                <c:pt idx="229">
                  <c:v>16719868</c:v>
                </c:pt>
                <c:pt idx="230">
                  <c:v>10117800</c:v>
                </c:pt>
                <c:pt idx="231">
                  <c:v>22897184</c:v>
                </c:pt>
                <c:pt idx="232">
                  <c:v>42713779</c:v>
                </c:pt>
                <c:pt idx="233">
                  <c:v>14944262</c:v>
                </c:pt>
                <c:pt idx="234">
                  <c:v>24625256</c:v>
                </c:pt>
                <c:pt idx="235">
                  <c:v>18210151</c:v>
                </c:pt>
                <c:pt idx="236">
                  <c:v>18891005</c:v>
                </c:pt>
                <c:pt idx="237">
                  <c:v>20009112</c:v>
                </c:pt>
                <c:pt idx="238">
                  <c:v>16051979</c:v>
                </c:pt>
                <c:pt idx="239">
                  <c:v>15607002</c:v>
                </c:pt>
                <c:pt idx="240">
                  <c:v>16823690</c:v>
                </c:pt>
                <c:pt idx="241">
                  <c:v>12378428</c:v>
                </c:pt>
                <c:pt idx="242">
                  <c:v>17660981</c:v>
                </c:pt>
                <c:pt idx="243">
                  <c:v>14170059</c:v>
                </c:pt>
                <c:pt idx="244">
                  <c:v>12910516</c:v>
                </c:pt>
                <c:pt idx="245">
                  <c:v>12337762</c:v>
                </c:pt>
                <c:pt idx="246">
                  <c:v>26354856</c:v>
                </c:pt>
                <c:pt idx="247">
                  <c:v>9761579</c:v>
                </c:pt>
                <c:pt idx="248">
                  <c:v>11070533</c:v>
                </c:pt>
                <c:pt idx="249">
                  <c:v>18246117</c:v>
                </c:pt>
                <c:pt idx="250">
                  <c:v>20132431</c:v>
                </c:pt>
                <c:pt idx="251">
                  <c:v>26553801</c:v>
                </c:pt>
                <c:pt idx="252">
                  <c:v>19839505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CD-4876-A2F3-02CF2364D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53869232"/>
        <c:axId val="1211483504"/>
      </c:barChart>
      <c:lineChart>
        <c:grouping val="standard"/>
        <c:varyColors val="0"/>
        <c:ser>
          <c:idx val="0"/>
          <c:order val="0"/>
          <c:tx>
            <c:strRef>
              <c:f>'1xTrade'!$E$1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98"/>
              <c:layout>
                <c:manualLayout>
                  <c:x val="-7.7322800744755532E-2"/>
                  <c:y val="-0.44911309980684722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accent6"/>
                        </a:solidFill>
                      </a:rPr>
                      <a:t>BUY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ECD-4876-A2F3-02CF2364D9F3}"/>
                </c:ext>
              </c:extLst>
            </c:dLbl>
            <c:dLbl>
              <c:idx val="224"/>
              <c:layout>
                <c:manualLayout>
                  <c:x val="-6.4924719112326126E-2"/>
                  <c:y val="-0.24170654032410629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rgbClr val="FF0000"/>
                        </a:solidFill>
                      </a:rPr>
                      <a:t>SELL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ECD-4876-A2F3-02CF2364D9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400" cap="flat" cmpd="sng" algn="ctr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round/>
                      <a:headEnd type="triangle"/>
                      <a:tailEnd w="lg" len="lg"/>
                    </a:ln>
                    <a:effectLst>
                      <a:softEdge rad="0"/>
                    </a:effectLst>
                  </c:spPr>
                </c15:leaderLines>
              </c:ext>
            </c:extLst>
          </c:dLbls>
          <c:cat>
            <c:strRef>
              <c:f>'1xTrade'!$A$2:$A$255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'1xTrade'!$E$2:$E$255</c:f>
              <c:numCache>
                <c:formatCode>"$"#,##0.00</c:formatCode>
                <c:ptCount val="254"/>
                <c:pt idx="0">
                  <c:v>3.71</c:v>
                </c:pt>
                <c:pt idx="1">
                  <c:v>3.73</c:v>
                </c:pt>
                <c:pt idx="2">
                  <c:v>3.78</c:v>
                </c:pt>
                <c:pt idx="3">
                  <c:v>3.85</c:v>
                </c:pt>
                <c:pt idx="4">
                  <c:v>3.82</c:v>
                </c:pt>
                <c:pt idx="5">
                  <c:v>3.7</c:v>
                </c:pt>
                <c:pt idx="6">
                  <c:v>3.72</c:v>
                </c:pt>
                <c:pt idx="7">
                  <c:v>3.64</c:v>
                </c:pt>
                <c:pt idx="8">
                  <c:v>3.62</c:v>
                </c:pt>
                <c:pt idx="9">
                  <c:v>3.62</c:v>
                </c:pt>
                <c:pt idx="10">
                  <c:v>3.62</c:v>
                </c:pt>
                <c:pt idx="11">
                  <c:v>3.57</c:v>
                </c:pt>
                <c:pt idx="12">
                  <c:v>3.55</c:v>
                </c:pt>
                <c:pt idx="13">
                  <c:v>3.49</c:v>
                </c:pt>
                <c:pt idx="14">
                  <c:v>3.42</c:v>
                </c:pt>
                <c:pt idx="15">
                  <c:v>2.99</c:v>
                </c:pt>
                <c:pt idx="16">
                  <c:v>2.98</c:v>
                </c:pt>
                <c:pt idx="17">
                  <c:v>2.96</c:v>
                </c:pt>
                <c:pt idx="18">
                  <c:v>2.91</c:v>
                </c:pt>
                <c:pt idx="19">
                  <c:v>2.98</c:v>
                </c:pt>
                <c:pt idx="20">
                  <c:v>3.02</c:v>
                </c:pt>
                <c:pt idx="21">
                  <c:v>3.01</c:v>
                </c:pt>
                <c:pt idx="22">
                  <c:v>3.07</c:v>
                </c:pt>
                <c:pt idx="23">
                  <c:v>3.14</c:v>
                </c:pt>
                <c:pt idx="24">
                  <c:v>3.02</c:v>
                </c:pt>
                <c:pt idx="25">
                  <c:v>2.84</c:v>
                </c:pt>
                <c:pt idx="26">
                  <c:v>2.86</c:v>
                </c:pt>
                <c:pt idx="27">
                  <c:v>2.88</c:v>
                </c:pt>
                <c:pt idx="28">
                  <c:v>2.83</c:v>
                </c:pt>
                <c:pt idx="29">
                  <c:v>2.94</c:v>
                </c:pt>
                <c:pt idx="30">
                  <c:v>2.93</c:v>
                </c:pt>
                <c:pt idx="31">
                  <c:v>2.96</c:v>
                </c:pt>
                <c:pt idx="32">
                  <c:v>2.91</c:v>
                </c:pt>
                <c:pt idx="33">
                  <c:v>2.92</c:v>
                </c:pt>
                <c:pt idx="34">
                  <c:v>2.98</c:v>
                </c:pt>
                <c:pt idx="35">
                  <c:v>2.96</c:v>
                </c:pt>
                <c:pt idx="36">
                  <c:v>3.01</c:v>
                </c:pt>
                <c:pt idx="37">
                  <c:v>3.01</c:v>
                </c:pt>
                <c:pt idx="38">
                  <c:v>3.04</c:v>
                </c:pt>
                <c:pt idx="39">
                  <c:v>3.03</c:v>
                </c:pt>
                <c:pt idx="40">
                  <c:v>3.09</c:v>
                </c:pt>
                <c:pt idx="41">
                  <c:v>3.1</c:v>
                </c:pt>
                <c:pt idx="42">
                  <c:v>3.08</c:v>
                </c:pt>
                <c:pt idx="43">
                  <c:v>3.1</c:v>
                </c:pt>
                <c:pt idx="44">
                  <c:v>3.14</c:v>
                </c:pt>
                <c:pt idx="45">
                  <c:v>3.1</c:v>
                </c:pt>
                <c:pt idx="46">
                  <c:v>3.1</c:v>
                </c:pt>
                <c:pt idx="47">
                  <c:v>3</c:v>
                </c:pt>
                <c:pt idx="48">
                  <c:v>3.04</c:v>
                </c:pt>
                <c:pt idx="49">
                  <c:v>2.98</c:v>
                </c:pt>
                <c:pt idx="50">
                  <c:v>2.97</c:v>
                </c:pt>
                <c:pt idx="51">
                  <c:v>2.99</c:v>
                </c:pt>
                <c:pt idx="52">
                  <c:v>3.01</c:v>
                </c:pt>
                <c:pt idx="53">
                  <c:v>3.08</c:v>
                </c:pt>
                <c:pt idx="54">
                  <c:v>3.19</c:v>
                </c:pt>
                <c:pt idx="55">
                  <c:v>3.17</c:v>
                </c:pt>
                <c:pt idx="56">
                  <c:v>3.23</c:v>
                </c:pt>
                <c:pt idx="57">
                  <c:v>3.2</c:v>
                </c:pt>
                <c:pt idx="58">
                  <c:v>3.2</c:v>
                </c:pt>
                <c:pt idx="59">
                  <c:v>3.2</c:v>
                </c:pt>
                <c:pt idx="60">
                  <c:v>3.2</c:v>
                </c:pt>
                <c:pt idx="61">
                  <c:v>3.33</c:v>
                </c:pt>
                <c:pt idx="62">
                  <c:v>3.43</c:v>
                </c:pt>
                <c:pt idx="63">
                  <c:v>3.53</c:v>
                </c:pt>
                <c:pt idx="64">
                  <c:v>3.7</c:v>
                </c:pt>
                <c:pt idx="65">
                  <c:v>3.77</c:v>
                </c:pt>
                <c:pt idx="66">
                  <c:v>3.67</c:v>
                </c:pt>
                <c:pt idx="67">
                  <c:v>3.73</c:v>
                </c:pt>
                <c:pt idx="68">
                  <c:v>3.74</c:v>
                </c:pt>
                <c:pt idx="69">
                  <c:v>3.68</c:v>
                </c:pt>
                <c:pt idx="70">
                  <c:v>3.7</c:v>
                </c:pt>
                <c:pt idx="71">
                  <c:v>3.6</c:v>
                </c:pt>
                <c:pt idx="72">
                  <c:v>3.53</c:v>
                </c:pt>
                <c:pt idx="73">
                  <c:v>3.61</c:v>
                </c:pt>
                <c:pt idx="74">
                  <c:v>3.6</c:v>
                </c:pt>
                <c:pt idx="75">
                  <c:v>3.73</c:v>
                </c:pt>
                <c:pt idx="76">
                  <c:v>3.7</c:v>
                </c:pt>
                <c:pt idx="77">
                  <c:v>3.67</c:v>
                </c:pt>
                <c:pt idx="78">
                  <c:v>3.77</c:v>
                </c:pt>
                <c:pt idx="79">
                  <c:v>3.7</c:v>
                </c:pt>
                <c:pt idx="80">
                  <c:v>3.69</c:v>
                </c:pt>
                <c:pt idx="81">
                  <c:v>3.62</c:v>
                </c:pt>
                <c:pt idx="82">
                  <c:v>3.65</c:v>
                </c:pt>
                <c:pt idx="83">
                  <c:v>3.69</c:v>
                </c:pt>
                <c:pt idx="84">
                  <c:v>3.71</c:v>
                </c:pt>
                <c:pt idx="85">
                  <c:v>3.73</c:v>
                </c:pt>
                <c:pt idx="86">
                  <c:v>3.72</c:v>
                </c:pt>
                <c:pt idx="87">
                  <c:v>3.67</c:v>
                </c:pt>
                <c:pt idx="88">
                  <c:v>3.68</c:v>
                </c:pt>
                <c:pt idx="89">
                  <c:v>3.72</c:v>
                </c:pt>
                <c:pt idx="90">
                  <c:v>3.73</c:v>
                </c:pt>
                <c:pt idx="91">
                  <c:v>3.75</c:v>
                </c:pt>
                <c:pt idx="92">
                  <c:v>3.76</c:v>
                </c:pt>
                <c:pt idx="93">
                  <c:v>3.83</c:v>
                </c:pt>
                <c:pt idx="94">
                  <c:v>3.8</c:v>
                </c:pt>
                <c:pt idx="95">
                  <c:v>3.7</c:v>
                </c:pt>
                <c:pt idx="96">
                  <c:v>3.61</c:v>
                </c:pt>
                <c:pt idx="97">
                  <c:v>3.54</c:v>
                </c:pt>
                <c:pt idx="98">
                  <c:v>3.49</c:v>
                </c:pt>
                <c:pt idx="99">
                  <c:v>3.55</c:v>
                </c:pt>
                <c:pt idx="100">
                  <c:v>3.77</c:v>
                </c:pt>
                <c:pt idx="101">
                  <c:v>3.67</c:v>
                </c:pt>
                <c:pt idx="102">
                  <c:v>3.7</c:v>
                </c:pt>
                <c:pt idx="103">
                  <c:v>3.73</c:v>
                </c:pt>
                <c:pt idx="104">
                  <c:v>3.83</c:v>
                </c:pt>
                <c:pt idx="105">
                  <c:v>3.74</c:v>
                </c:pt>
                <c:pt idx="106">
                  <c:v>3.78</c:v>
                </c:pt>
                <c:pt idx="107">
                  <c:v>3.77</c:v>
                </c:pt>
                <c:pt idx="108">
                  <c:v>3.74</c:v>
                </c:pt>
                <c:pt idx="109">
                  <c:v>3.72</c:v>
                </c:pt>
                <c:pt idx="110">
                  <c:v>3.68</c:v>
                </c:pt>
                <c:pt idx="111">
                  <c:v>3.62</c:v>
                </c:pt>
                <c:pt idx="112">
                  <c:v>3.6</c:v>
                </c:pt>
                <c:pt idx="113">
                  <c:v>3.7</c:v>
                </c:pt>
                <c:pt idx="114">
                  <c:v>3.63</c:v>
                </c:pt>
                <c:pt idx="115">
                  <c:v>3.6</c:v>
                </c:pt>
                <c:pt idx="116">
                  <c:v>3.68</c:v>
                </c:pt>
                <c:pt idx="117">
                  <c:v>3.52</c:v>
                </c:pt>
                <c:pt idx="118">
                  <c:v>3.44</c:v>
                </c:pt>
                <c:pt idx="119">
                  <c:v>3.4</c:v>
                </c:pt>
                <c:pt idx="120">
                  <c:v>3.37</c:v>
                </c:pt>
                <c:pt idx="121">
                  <c:v>3.4</c:v>
                </c:pt>
                <c:pt idx="122">
                  <c:v>3.38</c:v>
                </c:pt>
                <c:pt idx="123">
                  <c:v>3.36</c:v>
                </c:pt>
                <c:pt idx="124">
                  <c:v>3.34</c:v>
                </c:pt>
                <c:pt idx="125">
                  <c:v>3.41</c:v>
                </c:pt>
                <c:pt idx="126">
                  <c:v>3.41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3.46</c:v>
                </c:pt>
                <c:pt idx="131">
                  <c:v>3.46</c:v>
                </c:pt>
                <c:pt idx="132">
                  <c:v>3.4</c:v>
                </c:pt>
                <c:pt idx="133">
                  <c:v>3.4</c:v>
                </c:pt>
                <c:pt idx="134">
                  <c:v>3.41</c:v>
                </c:pt>
                <c:pt idx="135">
                  <c:v>3.38</c:v>
                </c:pt>
                <c:pt idx="136">
                  <c:v>3.4</c:v>
                </c:pt>
                <c:pt idx="137">
                  <c:v>3.37</c:v>
                </c:pt>
                <c:pt idx="138">
                  <c:v>3.42</c:v>
                </c:pt>
                <c:pt idx="139">
                  <c:v>3.42</c:v>
                </c:pt>
                <c:pt idx="140">
                  <c:v>3.49</c:v>
                </c:pt>
                <c:pt idx="141">
                  <c:v>3.48</c:v>
                </c:pt>
                <c:pt idx="142">
                  <c:v>3.51</c:v>
                </c:pt>
                <c:pt idx="143">
                  <c:v>3.58</c:v>
                </c:pt>
                <c:pt idx="144">
                  <c:v>3.56</c:v>
                </c:pt>
                <c:pt idx="145">
                  <c:v>3.53</c:v>
                </c:pt>
                <c:pt idx="146">
                  <c:v>3.54</c:v>
                </c:pt>
                <c:pt idx="147">
                  <c:v>3.37</c:v>
                </c:pt>
                <c:pt idx="148">
                  <c:v>3.29</c:v>
                </c:pt>
                <c:pt idx="149">
                  <c:v>3.36</c:v>
                </c:pt>
                <c:pt idx="150">
                  <c:v>3.36</c:v>
                </c:pt>
                <c:pt idx="151">
                  <c:v>3.31</c:v>
                </c:pt>
                <c:pt idx="152">
                  <c:v>3.38</c:v>
                </c:pt>
                <c:pt idx="153">
                  <c:v>3.45</c:v>
                </c:pt>
                <c:pt idx="154">
                  <c:v>3.47</c:v>
                </c:pt>
                <c:pt idx="155">
                  <c:v>3.5</c:v>
                </c:pt>
                <c:pt idx="156">
                  <c:v>3.44</c:v>
                </c:pt>
                <c:pt idx="157">
                  <c:v>3.43</c:v>
                </c:pt>
                <c:pt idx="158">
                  <c:v>3.43</c:v>
                </c:pt>
                <c:pt idx="159">
                  <c:v>3.57</c:v>
                </c:pt>
                <c:pt idx="160">
                  <c:v>3.65</c:v>
                </c:pt>
                <c:pt idx="161">
                  <c:v>3.69</c:v>
                </c:pt>
                <c:pt idx="162">
                  <c:v>3.67</c:v>
                </c:pt>
                <c:pt idx="163">
                  <c:v>3.66</c:v>
                </c:pt>
                <c:pt idx="164">
                  <c:v>3.71</c:v>
                </c:pt>
                <c:pt idx="165">
                  <c:v>3.74</c:v>
                </c:pt>
                <c:pt idx="166">
                  <c:v>3.67</c:v>
                </c:pt>
                <c:pt idx="167">
                  <c:v>3.65</c:v>
                </c:pt>
                <c:pt idx="168">
                  <c:v>3.61</c:v>
                </c:pt>
                <c:pt idx="169">
                  <c:v>3.64</c:v>
                </c:pt>
                <c:pt idx="170">
                  <c:v>3.52</c:v>
                </c:pt>
                <c:pt idx="171">
                  <c:v>3.63</c:v>
                </c:pt>
                <c:pt idx="172">
                  <c:v>3.52</c:v>
                </c:pt>
                <c:pt idx="173">
                  <c:v>3.51</c:v>
                </c:pt>
                <c:pt idx="174">
                  <c:v>3.64</c:v>
                </c:pt>
                <c:pt idx="175">
                  <c:v>3.59</c:v>
                </c:pt>
                <c:pt idx="176">
                  <c:v>3.61</c:v>
                </c:pt>
                <c:pt idx="177">
                  <c:v>3.59</c:v>
                </c:pt>
                <c:pt idx="178">
                  <c:v>3.58</c:v>
                </c:pt>
                <c:pt idx="179">
                  <c:v>3.53</c:v>
                </c:pt>
                <c:pt idx="180">
                  <c:v>3.53</c:v>
                </c:pt>
                <c:pt idx="181">
                  <c:v>3.6</c:v>
                </c:pt>
                <c:pt idx="182">
                  <c:v>3.61</c:v>
                </c:pt>
                <c:pt idx="183">
                  <c:v>3.61</c:v>
                </c:pt>
                <c:pt idx="184">
                  <c:v>3.62</c:v>
                </c:pt>
                <c:pt idx="185">
                  <c:v>3.53</c:v>
                </c:pt>
                <c:pt idx="186">
                  <c:v>3.49</c:v>
                </c:pt>
                <c:pt idx="187">
                  <c:v>3.51</c:v>
                </c:pt>
                <c:pt idx="188">
                  <c:v>3.51</c:v>
                </c:pt>
                <c:pt idx="189">
                  <c:v>3.47</c:v>
                </c:pt>
                <c:pt idx="190">
                  <c:v>3.37</c:v>
                </c:pt>
                <c:pt idx="191">
                  <c:v>3.22</c:v>
                </c:pt>
                <c:pt idx="192">
                  <c:v>3.21</c:v>
                </c:pt>
                <c:pt idx="193">
                  <c:v>3.12</c:v>
                </c:pt>
                <c:pt idx="194">
                  <c:v>2.97</c:v>
                </c:pt>
                <c:pt idx="195">
                  <c:v>2.81</c:v>
                </c:pt>
                <c:pt idx="196">
                  <c:v>2.59</c:v>
                </c:pt>
                <c:pt idx="197">
                  <c:v>2.65</c:v>
                </c:pt>
                <c:pt idx="198">
                  <c:v>2.52</c:v>
                </c:pt>
                <c:pt idx="199">
                  <c:v>2.76</c:v>
                </c:pt>
                <c:pt idx="200">
                  <c:v>2.74</c:v>
                </c:pt>
                <c:pt idx="201">
                  <c:v>2.8</c:v>
                </c:pt>
                <c:pt idx="202">
                  <c:v>2.79</c:v>
                </c:pt>
                <c:pt idx="203">
                  <c:v>2.67</c:v>
                </c:pt>
                <c:pt idx="204">
                  <c:v>2.69</c:v>
                </c:pt>
                <c:pt idx="205">
                  <c:v>2.61</c:v>
                </c:pt>
                <c:pt idx="206">
                  <c:v>2.65</c:v>
                </c:pt>
                <c:pt idx="207">
                  <c:v>2.71</c:v>
                </c:pt>
                <c:pt idx="208">
                  <c:v>2.71</c:v>
                </c:pt>
                <c:pt idx="209">
                  <c:v>2.78</c:v>
                </c:pt>
                <c:pt idx="210">
                  <c:v>2.75</c:v>
                </c:pt>
                <c:pt idx="211">
                  <c:v>2.74</c:v>
                </c:pt>
                <c:pt idx="212">
                  <c:v>2.83</c:v>
                </c:pt>
                <c:pt idx="213">
                  <c:v>2.8</c:v>
                </c:pt>
                <c:pt idx="214">
                  <c:v>2.84</c:v>
                </c:pt>
                <c:pt idx="215">
                  <c:v>2.85</c:v>
                </c:pt>
                <c:pt idx="216">
                  <c:v>2.82</c:v>
                </c:pt>
                <c:pt idx="217">
                  <c:v>2.79</c:v>
                </c:pt>
                <c:pt idx="218">
                  <c:v>2.87</c:v>
                </c:pt>
                <c:pt idx="219">
                  <c:v>3.03</c:v>
                </c:pt>
                <c:pt idx="220">
                  <c:v>2.99</c:v>
                </c:pt>
                <c:pt idx="221">
                  <c:v>2.98</c:v>
                </c:pt>
                <c:pt idx="222">
                  <c:v>2.96</c:v>
                </c:pt>
                <c:pt idx="223">
                  <c:v>2.94</c:v>
                </c:pt>
                <c:pt idx="224">
                  <c:v>3.06</c:v>
                </c:pt>
                <c:pt idx="225">
                  <c:v>3.08</c:v>
                </c:pt>
                <c:pt idx="226">
                  <c:v>3.09</c:v>
                </c:pt>
                <c:pt idx="227">
                  <c:v>3.03</c:v>
                </c:pt>
                <c:pt idx="228">
                  <c:v>3.05</c:v>
                </c:pt>
                <c:pt idx="229">
                  <c:v>3.09</c:v>
                </c:pt>
                <c:pt idx="230">
                  <c:v>3.07</c:v>
                </c:pt>
                <c:pt idx="231">
                  <c:v>3.04</c:v>
                </c:pt>
                <c:pt idx="232">
                  <c:v>3.05</c:v>
                </c:pt>
                <c:pt idx="233">
                  <c:v>2.94</c:v>
                </c:pt>
                <c:pt idx="234">
                  <c:v>2.95</c:v>
                </c:pt>
                <c:pt idx="235">
                  <c:v>3.02</c:v>
                </c:pt>
                <c:pt idx="236">
                  <c:v>3.02</c:v>
                </c:pt>
                <c:pt idx="237">
                  <c:v>3.02</c:v>
                </c:pt>
                <c:pt idx="238">
                  <c:v>3.04</c:v>
                </c:pt>
                <c:pt idx="239">
                  <c:v>3.06</c:v>
                </c:pt>
                <c:pt idx="240">
                  <c:v>3.01</c:v>
                </c:pt>
                <c:pt idx="241">
                  <c:v>2.94</c:v>
                </c:pt>
                <c:pt idx="242">
                  <c:v>3</c:v>
                </c:pt>
                <c:pt idx="243">
                  <c:v>3.02</c:v>
                </c:pt>
                <c:pt idx="244">
                  <c:v>2.98</c:v>
                </c:pt>
                <c:pt idx="245">
                  <c:v>2.9</c:v>
                </c:pt>
                <c:pt idx="246">
                  <c:v>2.88</c:v>
                </c:pt>
                <c:pt idx="247">
                  <c:v>2.85</c:v>
                </c:pt>
                <c:pt idx="248">
                  <c:v>2.92</c:v>
                </c:pt>
                <c:pt idx="249">
                  <c:v>2.84</c:v>
                </c:pt>
                <c:pt idx="250">
                  <c:v>2.9</c:v>
                </c:pt>
                <c:pt idx="251">
                  <c:v>2.94</c:v>
                </c:pt>
                <c:pt idx="252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D-4876-A2F3-02CF2364D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1092352"/>
        <c:axId val="938937280"/>
      </c:lineChart>
      <c:catAx>
        <c:axId val="117109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37280"/>
        <c:crosses val="autoZero"/>
        <c:auto val="1"/>
        <c:lblAlgn val="ctr"/>
        <c:lblOffset val="100"/>
        <c:noMultiLvlLbl val="0"/>
      </c:catAx>
      <c:valAx>
        <c:axId val="938937280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Close Price (AUD)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092352"/>
        <c:crosses val="autoZero"/>
        <c:crossBetween val="between"/>
      </c:valAx>
      <c:valAx>
        <c:axId val="12114835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Volume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##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69232"/>
        <c:crosses val="max"/>
        <c:crossBetween val="between"/>
        <c:dispUnits>
          <c:builtInUnit val="millions"/>
        </c:dispUnits>
      </c:valAx>
      <c:catAx>
        <c:axId val="653869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1483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Close Price vs PE Ratio – Single Trade Highlight (South32, 2024/2025)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'1xTrade'!$H$1</c:f>
              <c:strCache>
                <c:ptCount val="1"/>
                <c:pt idx="0">
                  <c:v>PE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'1xTrade'!$A$2:$A$255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'1xTrade'!$H$2:$H$255</c:f>
              <c:numCache>
                <c:formatCode>General</c:formatCode>
                <c:ptCount val="254"/>
                <c:pt idx="0">
                  <c:v>0.48944591029023748</c:v>
                </c:pt>
                <c:pt idx="1">
                  <c:v>0.4920844327176781</c:v>
                </c:pt>
                <c:pt idx="2">
                  <c:v>0.49868073878627966</c:v>
                </c:pt>
                <c:pt idx="3">
                  <c:v>0.5079155672823219</c:v>
                </c:pt>
                <c:pt idx="4">
                  <c:v>0.50395778364116095</c:v>
                </c:pt>
                <c:pt idx="5">
                  <c:v>0.48812664907651715</c:v>
                </c:pt>
                <c:pt idx="6">
                  <c:v>0.49076517150395782</c:v>
                </c:pt>
                <c:pt idx="7">
                  <c:v>0.48021108179419525</c:v>
                </c:pt>
                <c:pt idx="8">
                  <c:v>0.47757255936675463</c:v>
                </c:pt>
                <c:pt idx="9">
                  <c:v>0.47757255936675463</c:v>
                </c:pt>
                <c:pt idx="10">
                  <c:v>0.47757255936675463</c:v>
                </c:pt>
                <c:pt idx="11">
                  <c:v>0.47097625329815301</c:v>
                </c:pt>
                <c:pt idx="12">
                  <c:v>0.4683377308707124</c:v>
                </c:pt>
                <c:pt idx="13">
                  <c:v>0.4604221635883905</c:v>
                </c:pt>
                <c:pt idx="14">
                  <c:v>0.45118733509234826</c:v>
                </c:pt>
                <c:pt idx="15">
                  <c:v>0.39445910290237468</c:v>
                </c:pt>
                <c:pt idx="16">
                  <c:v>0.39313984168865435</c:v>
                </c:pt>
                <c:pt idx="17">
                  <c:v>0.39050131926121373</c:v>
                </c:pt>
                <c:pt idx="18">
                  <c:v>0.38390501319261217</c:v>
                </c:pt>
                <c:pt idx="19">
                  <c:v>0.39313984168865435</c:v>
                </c:pt>
                <c:pt idx="20">
                  <c:v>0.39841688654353563</c:v>
                </c:pt>
                <c:pt idx="21">
                  <c:v>0.3970976253298153</c:v>
                </c:pt>
                <c:pt idx="22">
                  <c:v>0.4050131926121372</c:v>
                </c:pt>
                <c:pt idx="23">
                  <c:v>0.41424802110817943</c:v>
                </c:pt>
                <c:pt idx="24">
                  <c:v>0.39841688654353563</c:v>
                </c:pt>
                <c:pt idx="25">
                  <c:v>0.37467018469656987</c:v>
                </c:pt>
                <c:pt idx="26">
                  <c:v>0.37730870712401055</c:v>
                </c:pt>
                <c:pt idx="27">
                  <c:v>0.37994722955145116</c:v>
                </c:pt>
                <c:pt idx="28">
                  <c:v>0.37335092348284959</c:v>
                </c:pt>
                <c:pt idx="29">
                  <c:v>0.38786279683377306</c:v>
                </c:pt>
                <c:pt idx="30">
                  <c:v>0.38654353562005278</c:v>
                </c:pt>
                <c:pt idx="31">
                  <c:v>0.39050131926121373</c:v>
                </c:pt>
                <c:pt idx="32">
                  <c:v>0.38390501319261217</c:v>
                </c:pt>
                <c:pt idx="33">
                  <c:v>0.38522427440633245</c:v>
                </c:pt>
                <c:pt idx="34">
                  <c:v>0.39313984168865435</c:v>
                </c:pt>
                <c:pt idx="35">
                  <c:v>0.39050131926121373</c:v>
                </c:pt>
                <c:pt idx="36">
                  <c:v>0.3970976253298153</c:v>
                </c:pt>
                <c:pt idx="37">
                  <c:v>0.3970976253298153</c:v>
                </c:pt>
                <c:pt idx="38">
                  <c:v>0.40105540897097625</c:v>
                </c:pt>
                <c:pt idx="39">
                  <c:v>0.39973614775725591</c:v>
                </c:pt>
                <c:pt idx="40">
                  <c:v>0.40765171503957781</c:v>
                </c:pt>
                <c:pt idx="41">
                  <c:v>0.40897097625329815</c:v>
                </c:pt>
                <c:pt idx="42">
                  <c:v>0.40633245382585753</c:v>
                </c:pt>
                <c:pt idx="43">
                  <c:v>0.40897097625329815</c:v>
                </c:pt>
                <c:pt idx="44">
                  <c:v>0.41424802110817943</c:v>
                </c:pt>
                <c:pt idx="45">
                  <c:v>0.40897097625329815</c:v>
                </c:pt>
                <c:pt idx="46">
                  <c:v>0.40897097625329815</c:v>
                </c:pt>
                <c:pt idx="47">
                  <c:v>0.39577836411609496</c:v>
                </c:pt>
                <c:pt idx="48">
                  <c:v>0.40105540897097625</c:v>
                </c:pt>
                <c:pt idx="49">
                  <c:v>0.39313984168865435</c:v>
                </c:pt>
                <c:pt idx="50">
                  <c:v>0.39182058047493407</c:v>
                </c:pt>
                <c:pt idx="51">
                  <c:v>0.39445910290237468</c:v>
                </c:pt>
                <c:pt idx="52">
                  <c:v>0.3970976253298153</c:v>
                </c:pt>
                <c:pt idx="53">
                  <c:v>0.40633245382585753</c:v>
                </c:pt>
                <c:pt idx="54">
                  <c:v>0.420844327176781</c:v>
                </c:pt>
                <c:pt idx="55">
                  <c:v>0.41820580474934038</c:v>
                </c:pt>
                <c:pt idx="56">
                  <c:v>0.42612137203166228</c:v>
                </c:pt>
                <c:pt idx="57">
                  <c:v>0.42216358839050133</c:v>
                </c:pt>
                <c:pt idx="58">
                  <c:v>0.42216358839050133</c:v>
                </c:pt>
                <c:pt idx="59">
                  <c:v>0.42216358839050133</c:v>
                </c:pt>
                <c:pt idx="60">
                  <c:v>0.42216358839050133</c:v>
                </c:pt>
                <c:pt idx="61">
                  <c:v>0.43931398416886547</c:v>
                </c:pt>
                <c:pt idx="62">
                  <c:v>0.4525065963060686</c:v>
                </c:pt>
                <c:pt idx="63">
                  <c:v>0.46569920844327173</c:v>
                </c:pt>
                <c:pt idx="64">
                  <c:v>0.48812664907651715</c:v>
                </c:pt>
                <c:pt idx="65">
                  <c:v>0.49736147757255939</c:v>
                </c:pt>
                <c:pt idx="66">
                  <c:v>0.4841688654353562</c:v>
                </c:pt>
                <c:pt idx="67">
                  <c:v>0.4920844327176781</c:v>
                </c:pt>
                <c:pt idx="68">
                  <c:v>0.49340369393139843</c:v>
                </c:pt>
                <c:pt idx="69">
                  <c:v>0.48548812664907653</c:v>
                </c:pt>
                <c:pt idx="70">
                  <c:v>0.48812664907651715</c:v>
                </c:pt>
                <c:pt idx="71">
                  <c:v>0.47493403693931396</c:v>
                </c:pt>
                <c:pt idx="72">
                  <c:v>0.46569920844327173</c:v>
                </c:pt>
                <c:pt idx="73">
                  <c:v>0.4762532981530343</c:v>
                </c:pt>
                <c:pt idx="74">
                  <c:v>0.47493403693931396</c:v>
                </c:pt>
                <c:pt idx="75">
                  <c:v>0.4920844327176781</c:v>
                </c:pt>
                <c:pt idx="76">
                  <c:v>0.48812664907651715</c:v>
                </c:pt>
                <c:pt idx="77">
                  <c:v>0.4841688654353562</c:v>
                </c:pt>
                <c:pt idx="78">
                  <c:v>0.49736147757255939</c:v>
                </c:pt>
                <c:pt idx="79">
                  <c:v>0.48812664907651715</c:v>
                </c:pt>
                <c:pt idx="80">
                  <c:v>0.48680738786279681</c:v>
                </c:pt>
                <c:pt idx="81">
                  <c:v>0.47757255936675463</c:v>
                </c:pt>
                <c:pt idx="82">
                  <c:v>0.48153034300791553</c:v>
                </c:pt>
                <c:pt idx="83">
                  <c:v>0.48680738786279681</c:v>
                </c:pt>
                <c:pt idx="84">
                  <c:v>0.48944591029023748</c:v>
                </c:pt>
                <c:pt idx="85">
                  <c:v>0.4920844327176781</c:v>
                </c:pt>
                <c:pt idx="86">
                  <c:v>0.49076517150395782</c:v>
                </c:pt>
                <c:pt idx="87">
                  <c:v>0.4841688654353562</c:v>
                </c:pt>
                <c:pt idx="88">
                  <c:v>0.48548812664907653</c:v>
                </c:pt>
                <c:pt idx="89">
                  <c:v>0.49076517150395782</c:v>
                </c:pt>
                <c:pt idx="90">
                  <c:v>0.4920844327176781</c:v>
                </c:pt>
                <c:pt idx="91">
                  <c:v>0.49472295514511871</c:v>
                </c:pt>
                <c:pt idx="92">
                  <c:v>0.49604221635883899</c:v>
                </c:pt>
                <c:pt idx="93">
                  <c:v>0.50527704485488123</c:v>
                </c:pt>
                <c:pt idx="94">
                  <c:v>0.50131926121372028</c:v>
                </c:pt>
                <c:pt idx="95">
                  <c:v>0.48812664907651715</c:v>
                </c:pt>
                <c:pt idx="96">
                  <c:v>0.4762532981530343</c:v>
                </c:pt>
                <c:pt idx="97">
                  <c:v>0.46701846965699206</c:v>
                </c:pt>
                <c:pt idx="98">
                  <c:v>0.4604221635883905</c:v>
                </c:pt>
                <c:pt idx="99">
                  <c:v>0.4683377308707124</c:v>
                </c:pt>
                <c:pt idx="100">
                  <c:v>0.49736147757255939</c:v>
                </c:pt>
                <c:pt idx="101">
                  <c:v>0.4841688654353562</c:v>
                </c:pt>
                <c:pt idx="102">
                  <c:v>0.48812664907651715</c:v>
                </c:pt>
                <c:pt idx="103">
                  <c:v>0.4920844327176781</c:v>
                </c:pt>
                <c:pt idx="104">
                  <c:v>0.50527704485488123</c:v>
                </c:pt>
                <c:pt idx="105">
                  <c:v>0.49340369393139843</c:v>
                </c:pt>
                <c:pt idx="106">
                  <c:v>0.49868073878627966</c:v>
                </c:pt>
                <c:pt idx="107">
                  <c:v>0.49736147757255939</c:v>
                </c:pt>
                <c:pt idx="108">
                  <c:v>0.49340369393139843</c:v>
                </c:pt>
                <c:pt idx="109">
                  <c:v>0.49076517150395782</c:v>
                </c:pt>
                <c:pt idx="110">
                  <c:v>0.48548812664907653</c:v>
                </c:pt>
                <c:pt idx="111">
                  <c:v>0.47757255936675463</c:v>
                </c:pt>
                <c:pt idx="112">
                  <c:v>0.47493403693931396</c:v>
                </c:pt>
                <c:pt idx="113">
                  <c:v>0.48812664907651715</c:v>
                </c:pt>
                <c:pt idx="114">
                  <c:v>0.47889182058047491</c:v>
                </c:pt>
                <c:pt idx="115">
                  <c:v>0.47493403693931396</c:v>
                </c:pt>
                <c:pt idx="116">
                  <c:v>0.48548812664907653</c:v>
                </c:pt>
                <c:pt idx="117">
                  <c:v>0.46437994722955145</c:v>
                </c:pt>
                <c:pt idx="118">
                  <c:v>0.45382585751978893</c:v>
                </c:pt>
                <c:pt idx="119">
                  <c:v>0.44854881266490765</c:v>
                </c:pt>
                <c:pt idx="120">
                  <c:v>0.4445910290237467</c:v>
                </c:pt>
                <c:pt idx="121">
                  <c:v>0.44854881266490765</c:v>
                </c:pt>
                <c:pt idx="122">
                  <c:v>0.44591029023746698</c:v>
                </c:pt>
                <c:pt idx="123">
                  <c:v>0.44327176781002636</c:v>
                </c:pt>
                <c:pt idx="124">
                  <c:v>0.44063324538258575</c:v>
                </c:pt>
                <c:pt idx="125">
                  <c:v>0.44986807387862798</c:v>
                </c:pt>
                <c:pt idx="126">
                  <c:v>0.44986807387862798</c:v>
                </c:pt>
                <c:pt idx="127">
                  <c:v>0.44854881266490765</c:v>
                </c:pt>
                <c:pt idx="128">
                  <c:v>0.44854881266490765</c:v>
                </c:pt>
                <c:pt idx="129">
                  <c:v>0.44854881266490765</c:v>
                </c:pt>
                <c:pt idx="130">
                  <c:v>0.45646437994722955</c:v>
                </c:pt>
                <c:pt idx="131">
                  <c:v>0.45646437994722955</c:v>
                </c:pt>
                <c:pt idx="132">
                  <c:v>0.44854881266490765</c:v>
                </c:pt>
                <c:pt idx="133">
                  <c:v>0.44854881266490765</c:v>
                </c:pt>
                <c:pt idx="134">
                  <c:v>0.44986807387862798</c:v>
                </c:pt>
                <c:pt idx="135">
                  <c:v>0.44591029023746698</c:v>
                </c:pt>
                <c:pt idx="136">
                  <c:v>0.44854881266490765</c:v>
                </c:pt>
                <c:pt idx="137">
                  <c:v>0.4445910290237467</c:v>
                </c:pt>
                <c:pt idx="138">
                  <c:v>0.45118733509234826</c:v>
                </c:pt>
                <c:pt idx="139">
                  <c:v>0.45118733509234826</c:v>
                </c:pt>
                <c:pt idx="140">
                  <c:v>0.4604221635883905</c:v>
                </c:pt>
                <c:pt idx="141">
                  <c:v>0.45910290237467016</c:v>
                </c:pt>
                <c:pt idx="142">
                  <c:v>0.46306068601583111</c:v>
                </c:pt>
                <c:pt idx="143">
                  <c:v>0.47229551451187335</c:v>
                </c:pt>
                <c:pt idx="144">
                  <c:v>0.46965699208443273</c:v>
                </c:pt>
                <c:pt idx="145">
                  <c:v>0.46569920844327173</c:v>
                </c:pt>
                <c:pt idx="146">
                  <c:v>0.46701846965699206</c:v>
                </c:pt>
                <c:pt idx="147">
                  <c:v>0.4445910290237467</c:v>
                </c:pt>
                <c:pt idx="148">
                  <c:v>0.43403693931398418</c:v>
                </c:pt>
                <c:pt idx="149">
                  <c:v>0.44327176781002636</c:v>
                </c:pt>
                <c:pt idx="150">
                  <c:v>0.44327176781002636</c:v>
                </c:pt>
                <c:pt idx="151">
                  <c:v>0.4366754617414248</c:v>
                </c:pt>
                <c:pt idx="152">
                  <c:v>0.44591029023746698</c:v>
                </c:pt>
                <c:pt idx="153">
                  <c:v>0.45514511873350927</c:v>
                </c:pt>
                <c:pt idx="154">
                  <c:v>0.45778364116094988</c:v>
                </c:pt>
                <c:pt idx="155">
                  <c:v>0.46174142480211083</c:v>
                </c:pt>
                <c:pt idx="156">
                  <c:v>0.45382585751978893</c:v>
                </c:pt>
                <c:pt idx="157">
                  <c:v>0.4525065963060686</c:v>
                </c:pt>
                <c:pt idx="158">
                  <c:v>0.4525065963060686</c:v>
                </c:pt>
                <c:pt idx="159">
                  <c:v>0.47097625329815301</c:v>
                </c:pt>
                <c:pt idx="160">
                  <c:v>0.48153034300791553</c:v>
                </c:pt>
                <c:pt idx="161">
                  <c:v>0.48680738786279681</c:v>
                </c:pt>
                <c:pt idx="162">
                  <c:v>0.4841688654353562</c:v>
                </c:pt>
                <c:pt idx="163">
                  <c:v>0.48284960422163592</c:v>
                </c:pt>
                <c:pt idx="164">
                  <c:v>0.48944591029023748</c:v>
                </c:pt>
                <c:pt idx="165">
                  <c:v>0.49340369393139843</c:v>
                </c:pt>
                <c:pt idx="166">
                  <c:v>0.4841688654353562</c:v>
                </c:pt>
                <c:pt idx="167">
                  <c:v>0.48153034300791553</c:v>
                </c:pt>
                <c:pt idx="168">
                  <c:v>0.4762532981530343</c:v>
                </c:pt>
                <c:pt idx="169">
                  <c:v>0.48021108179419525</c:v>
                </c:pt>
                <c:pt idx="170">
                  <c:v>0.46437994722955145</c:v>
                </c:pt>
                <c:pt idx="171">
                  <c:v>0.47889182058047491</c:v>
                </c:pt>
                <c:pt idx="172">
                  <c:v>0.46437994722955145</c:v>
                </c:pt>
                <c:pt idx="173">
                  <c:v>0.46306068601583111</c:v>
                </c:pt>
                <c:pt idx="174">
                  <c:v>0.48021108179419525</c:v>
                </c:pt>
                <c:pt idx="175">
                  <c:v>0.47361477572559363</c:v>
                </c:pt>
                <c:pt idx="176">
                  <c:v>0.4762532981530343</c:v>
                </c:pt>
                <c:pt idx="177">
                  <c:v>0.47361477572559363</c:v>
                </c:pt>
                <c:pt idx="178">
                  <c:v>0.47229551451187335</c:v>
                </c:pt>
                <c:pt idx="179">
                  <c:v>0.46569920844327173</c:v>
                </c:pt>
                <c:pt idx="180">
                  <c:v>0.46569920844327173</c:v>
                </c:pt>
                <c:pt idx="181">
                  <c:v>0.47493403693931396</c:v>
                </c:pt>
                <c:pt idx="182">
                  <c:v>0.4762532981530343</c:v>
                </c:pt>
                <c:pt idx="183">
                  <c:v>0.4762532981530343</c:v>
                </c:pt>
                <c:pt idx="184">
                  <c:v>0.47757255936675463</c:v>
                </c:pt>
                <c:pt idx="185">
                  <c:v>0.46569920844327173</c:v>
                </c:pt>
                <c:pt idx="186">
                  <c:v>0.4604221635883905</c:v>
                </c:pt>
                <c:pt idx="187">
                  <c:v>0.46306068601583111</c:v>
                </c:pt>
                <c:pt idx="188">
                  <c:v>0.46306068601583111</c:v>
                </c:pt>
                <c:pt idx="189">
                  <c:v>0.45778364116094988</c:v>
                </c:pt>
                <c:pt idx="190">
                  <c:v>0.4445910290237467</c:v>
                </c:pt>
                <c:pt idx="191">
                  <c:v>0.42480211081794195</c:v>
                </c:pt>
                <c:pt idx="192">
                  <c:v>0.42348284960422161</c:v>
                </c:pt>
                <c:pt idx="193">
                  <c:v>0.41160949868073882</c:v>
                </c:pt>
                <c:pt idx="194">
                  <c:v>0.39182058047493407</c:v>
                </c:pt>
                <c:pt idx="195">
                  <c:v>0.37071240105540898</c:v>
                </c:pt>
                <c:pt idx="196">
                  <c:v>0.34168865435356199</c:v>
                </c:pt>
                <c:pt idx="197">
                  <c:v>0.34960422163588389</c:v>
                </c:pt>
                <c:pt idx="198">
                  <c:v>0.33245382585751981</c:v>
                </c:pt>
                <c:pt idx="199">
                  <c:v>0.36411609498680736</c:v>
                </c:pt>
                <c:pt idx="200">
                  <c:v>0.3614775725593668</c:v>
                </c:pt>
                <c:pt idx="201">
                  <c:v>0.36939313984168864</c:v>
                </c:pt>
                <c:pt idx="202">
                  <c:v>0.36807387862796836</c:v>
                </c:pt>
                <c:pt idx="203">
                  <c:v>0.35224274406332451</c:v>
                </c:pt>
                <c:pt idx="204">
                  <c:v>0.35488126649076518</c:v>
                </c:pt>
                <c:pt idx="205">
                  <c:v>0.34432717678100261</c:v>
                </c:pt>
                <c:pt idx="206">
                  <c:v>0.34960422163588389</c:v>
                </c:pt>
                <c:pt idx="207">
                  <c:v>0.35751978891820579</c:v>
                </c:pt>
                <c:pt idx="208">
                  <c:v>0.35751978891820579</c:v>
                </c:pt>
                <c:pt idx="209">
                  <c:v>0.36675461741424797</c:v>
                </c:pt>
                <c:pt idx="210">
                  <c:v>0.36279683377308708</c:v>
                </c:pt>
                <c:pt idx="211">
                  <c:v>0.3614775725593668</c:v>
                </c:pt>
                <c:pt idx="212">
                  <c:v>0.37335092348284959</c:v>
                </c:pt>
                <c:pt idx="213">
                  <c:v>0.36939313984168864</c:v>
                </c:pt>
                <c:pt idx="214">
                  <c:v>0.37467018469656987</c:v>
                </c:pt>
                <c:pt idx="215">
                  <c:v>0.37598944591029027</c:v>
                </c:pt>
                <c:pt idx="216">
                  <c:v>0.37203166226912926</c:v>
                </c:pt>
                <c:pt idx="217">
                  <c:v>0.36807387862796836</c:v>
                </c:pt>
                <c:pt idx="218">
                  <c:v>0.37862796833773088</c:v>
                </c:pt>
                <c:pt idx="219">
                  <c:v>0.39973614775725591</c:v>
                </c:pt>
                <c:pt idx="220">
                  <c:v>0.39445910290237468</c:v>
                </c:pt>
                <c:pt idx="221">
                  <c:v>0.39313984168865435</c:v>
                </c:pt>
                <c:pt idx="222">
                  <c:v>0.39050131926121373</c:v>
                </c:pt>
                <c:pt idx="223">
                  <c:v>0.38786279683377306</c:v>
                </c:pt>
                <c:pt idx="224">
                  <c:v>0.40369393139841692</c:v>
                </c:pt>
                <c:pt idx="225">
                  <c:v>0.40633245382585753</c:v>
                </c:pt>
                <c:pt idx="226">
                  <c:v>0.40765171503957781</c:v>
                </c:pt>
                <c:pt idx="227">
                  <c:v>0.39973614775725591</c:v>
                </c:pt>
                <c:pt idx="228">
                  <c:v>0.40237467018469653</c:v>
                </c:pt>
                <c:pt idx="229">
                  <c:v>0.40765171503957781</c:v>
                </c:pt>
                <c:pt idx="230">
                  <c:v>0.4050131926121372</c:v>
                </c:pt>
                <c:pt idx="231">
                  <c:v>0.40105540897097625</c:v>
                </c:pt>
                <c:pt idx="232">
                  <c:v>0.40237467018469653</c:v>
                </c:pt>
                <c:pt idx="233">
                  <c:v>0.38786279683377306</c:v>
                </c:pt>
                <c:pt idx="234">
                  <c:v>0.38918205804749345</c:v>
                </c:pt>
                <c:pt idx="235">
                  <c:v>0.39841688654353563</c:v>
                </c:pt>
                <c:pt idx="236">
                  <c:v>0.39841688654353563</c:v>
                </c:pt>
                <c:pt idx="237">
                  <c:v>0.39841688654353563</c:v>
                </c:pt>
                <c:pt idx="238">
                  <c:v>0.40105540897097625</c:v>
                </c:pt>
                <c:pt idx="239">
                  <c:v>0.40369393139841692</c:v>
                </c:pt>
                <c:pt idx="240">
                  <c:v>0.3970976253298153</c:v>
                </c:pt>
                <c:pt idx="241">
                  <c:v>0.38786279683377306</c:v>
                </c:pt>
                <c:pt idx="242">
                  <c:v>0.39577836411609496</c:v>
                </c:pt>
                <c:pt idx="243">
                  <c:v>0.39841688654353563</c:v>
                </c:pt>
                <c:pt idx="244">
                  <c:v>0.39313984168865435</c:v>
                </c:pt>
                <c:pt idx="245">
                  <c:v>0.38258575197889183</c:v>
                </c:pt>
                <c:pt idx="246">
                  <c:v>0.37994722955145116</c:v>
                </c:pt>
                <c:pt idx="247">
                  <c:v>0.37598944591029027</c:v>
                </c:pt>
                <c:pt idx="248">
                  <c:v>0.38522427440633245</c:v>
                </c:pt>
                <c:pt idx="249">
                  <c:v>0.37467018469656987</c:v>
                </c:pt>
                <c:pt idx="250">
                  <c:v>0.38258575197889183</c:v>
                </c:pt>
                <c:pt idx="251">
                  <c:v>0.38786279683377306</c:v>
                </c:pt>
                <c:pt idx="252">
                  <c:v>0.38390501319261217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BA-41F5-B49E-DE499123C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19971264"/>
        <c:axId val="1204787952"/>
      </c:barChart>
      <c:lineChart>
        <c:grouping val="standard"/>
        <c:varyColors val="0"/>
        <c:ser>
          <c:idx val="0"/>
          <c:order val="0"/>
          <c:tx>
            <c:strRef>
              <c:f>'1xTrade'!$E$1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98"/>
              <c:layout>
                <c:manualLayout>
                  <c:x val="-1.4356899231948283E-2"/>
                  <c:y val="-0.27099497652799415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accent6"/>
                        </a:solidFill>
                      </a:rPr>
                      <a:t>BUY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3BA-41F5-B49E-DE499123C610}"/>
                </c:ext>
              </c:extLst>
            </c:dLbl>
            <c:dLbl>
              <c:idx val="226"/>
              <c:layout>
                <c:manualLayout>
                  <c:x val="-3.5892248079870707E-3"/>
                  <c:y val="-0.11753998981937096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rgbClr val="FF0000"/>
                        </a:solidFill>
                      </a:rPr>
                      <a:t>SELL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3BA-41F5-B49E-DE499123C6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400" cap="flat" cmpd="sng" algn="ctr">
                      <a:solidFill>
                        <a:schemeClr val="accent6"/>
                      </a:solidFill>
                      <a:round/>
                      <a:headEnd type="stealth"/>
                      <a:tailEnd type="none"/>
                    </a:ln>
                    <a:effectLst/>
                  </c:spPr>
                </c15:leaderLines>
              </c:ext>
            </c:extLst>
          </c:dLbls>
          <c:cat>
            <c:strRef>
              <c:f>'1xTrade'!$A$2:$A$255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'1xTrade'!$E$2:$E$255</c:f>
              <c:numCache>
                <c:formatCode>"$"#,##0.00</c:formatCode>
                <c:ptCount val="254"/>
                <c:pt idx="0">
                  <c:v>3.71</c:v>
                </c:pt>
                <c:pt idx="1">
                  <c:v>3.73</c:v>
                </c:pt>
                <c:pt idx="2">
                  <c:v>3.78</c:v>
                </c:pt>
                <c:pt idx="3">
                  <c:v>3.85</c:v>
                </c:pt>
                <c:pt idx="4">
                  <c:v>3.82</c:v>
                </c:pt>
                <c:pt idx="5">
                  <c:v>3.7</c:v>
                </c:pt>
                <c:pt idx="6">
                  <c:v>3.72</c:v>
                </c:pt>
                <c:pt idx="7">
                  <c:v>3.64</c:v>
                </c:pt>
                <c:pt idx="8">
                  <c:v>3.62</c:v>
                </c:pt>
                <c:pt idx="9">
                  <c:v>3.62</c:v>
                </c:pt>
                <c:pt idx="10">
                  <c:v>3.62</c:v>
                </c:pt>
                <c:pt idx="11">
                  <c:v>3.57</c:v>
                </c:pt>
                <c:pt idx="12">
                  <c:v>3.55</c:v>
                </c:pt>
                <c:pt idx="13">
                  <c:v>3.49</c:v>
                </c:pt>
                <c:pt idx="14">
                  <c:v>3.42</c:v>
                </c:pt>
                <c:pt idx="15">
                  <c:v>2.99</c:v>
                </c:pt>
                <c:pt idx="16">
                  <c:v>2.98</c:v>
                </c:pt>
                <c:pt idx="17">
                  <c:v>2.96</c:v>
                </c:pt>
                <c:pt idx="18">
                  <c:v>2.91</c:v>
                </c:pt>
                <c:pt idx="19">
                  <c:v>2.98</c:v>
                </c:pt>
                <c:pt idx="20">
                  <c:v>3.02</c:v>
                </c:pt>
                <c:pt idx="21">
                  <c:v>3.01</c:v>
                </c:pt>
                <c:pt idx="22">
                  <c:v>3.07</c:v>
                </c:pt>
                <c:pt idx="23">
                  <c:v>3.14</c:v>
                </c:pt>
                <c:pt idx="24">
                  <c:v>3.02</c:v>
                </c:pt>
                <c:pt idx="25">
                  <c:v>2.84</c:v>
                </c:pt>
                <c:pt idx="26">
                  <c:v>2.86</c:v>
                </c:pt>
                <c:pt idx="27">
                  <c:v>2.88</c:v>
                </c:pt>
                <c:pt idx="28">
                  <c:v>2.83</c:v>
                </c:pt>
                <c:pt idx="29">
                  <c:v>2.94</c:v>
                </c:pt>
                <c:pt idx="30">
                  <c:v>2.93</c:v>
                </c:pt>
                <c:pt idx="31">
                  <c:v>2.96</c:v>
                </c:pt>
                <c:pt idx="32">
                  <c:v>2.91</c:v>
                </c:pt>
                <c:pt idx="33">
                  <c:v>2.92</c:v>
                </c:pt>
                <c:pt idx="34">
                  <c:v>2.98</c:v>
                </c:pt>
                <c:pt idx="35">
                  <c:v>2.96</c:v>
                </c:pt>
                <c:pt idx="36">
                  <c:v>3.01</c:v>
                </c:pt>
                <c:pt idx="37">
                  <c:v>3.01</c:v>
                </c:pt>
                <c:pt idx="38">
                  <c:v>3.04</c:v>
                </c:pt>
                <c:pt idx="39">
                  <c:v>3.03</c:v>
                </c:pt>
                <c:pt idx="40">
                  <c:v>3.09</c:v>
                </c:pt>
                <c:pt idx="41">
                  <c:v>3.1</c:v>
                </c:pt>
                <c:pt idx="42">
                  <c:v>3.08</c:v>
                </c:pt>
                <c:pt idx="43">
                  <c:v>3.1</c:v>
                </c:pt>
                <c:pt idx="44">
                  <c:v>3.14</c:v>
                </c:pt>
                <c:pt idx="45">
                  <c:v>3.1</c:v>
                </c:pt>
                <c:pt idx="46">
                  <c:v>3.1</c:v>
                </c:pt>
                <c:pt idx="47">
                  <c:v>3</c:v>
                </c:pt>
                <c:pt idx="48">
                  <c:v>3.04</c:v>
                </c:pt>
                <c:pt idx="49">
                  <c:v>2.98</c:v>
                </c:pt>
                <c:pt idx="50">
                  <c:v>2.97</c:v>
                </c:pt>
                <c:pt idx="51">
                  <c:v>2.99</c:v>
                </c:pt>
                <c:pt idx="52">
                  <c:v>3.01</c:v>
                </c:pt>
                <c:pt idx="53">
                  <c:v>3.08</c:v>
                </c:pt>
                <c:pt idx="54">
                  <c:v>3.19</c:v>
                </c:pt>
                <c:pt idx="55">
                  <c:v>3.17</c:v>
                </c:pt>
                <c:pt idx="56">
                  <c:v>3.23</c:v>
                </c:pt>
                <c:pt idx="57">
                  <c:v>3.2</c:v>
                </c:pt>
                <c:pt idx="58">
                  <c:v>3.2</c:v>
                </c:pt>
                <c:pt idx="59">
                  <c:v>3.2</c:v>
                </c:pt>
                <c:pt idx="60">
                  <c:v>3.2</c:v>
                </c:pt>
                <c:pt idx="61">
                  <c:v>3.33</c:v>
                </c:pt>
                <c:pt idx="62">
                  <c:v>3.43</c:v>
                </c:pt>
                <c:pt idx="63">
                  <c:v>3.53</c:v>
                </c:pt>
                <c:pt idx="64">
                  <c:v>3.7</c:v>
                </c:pt>
                <c:pt idx="65">
                  <c:v>3.77</c:v>
                </c:pt>
                <c:pt idx="66">
                  <c:v>3.67</c:v>
                </c:pt>
                <c:pt idx="67">
                  <c:v>3.73</c:v>
                </c:pt>
                <c:pt idx="68">
                  <c:v>3.74</c:v>
                </c:pt>
                <c:pt idx="69">
                  <c:v>3.68</c:v>
                </c:pt>
                <c:pt idx="70">
                  <c:v>3.7</c:v>
                </c:pt>
                <c:pt idx="71">
                  <c:v>3.6</c:v>
                </c:pt>
                <c:pt idx="72">
                  <c:v>3.53</c:v>
                </c:pt>
                <c:pt idx="73">
                  <c:v>3.61</c:v>
                </c:pt>
                <c:pt idx="74">
                  <c:v>3.6</c:v>
                </c:pt>
                <c:pt idx="75">
                  <c:v>3.73</c:v>
                </c:pt>
                <c:pt idx="76">
                  <c:v>3.7</c:v>
                </c:pt>
                <c:pt idx="77">
                  <c:v>3.67</c:v>
                </c:pt>
                <c:pt idx="78">
                  <c:v>3.77</c:v>
                </c:pt>
                <c:pt idx="79">
                  <c:v>3.7</c:v>
                </c:pt>
                <c:pt idx="80">
                  <c:v>3.69</c:v>
                </c:pt>
                <c:pt idx="81">
                  <c:v>3.62</c:v>
                </c:pt>
                <c:pt idx="82">
                  <c:v>3.65</c:v>
                </c:pt>
                <c:pt idx="83">
                  <c:v>3.69</c:v>
                </c:pt>
                <c:pt idx="84">
                  <c:v>3.71</c:v>
                </c:pt>
                <c:pt idx="85">
                  <c:v>3.73</c:v>
                </c:pt>
                <c:pt idx="86">
                  <c:v>3.72</c:v>
                </c:pt>
                <c:pt idx="87">
                  <c:v>3.67</c:v>
                </c:pt>
                <c:pt idx="88">
                  <c:v>3.68</c:v>
                </c:pt>
                <c:pt idx="89">
                  <c:v>3.72</c:v>
                </c:pt>
                <c:pt idx="90">
                  <c:v>3.73</c:v>
                </c:pt>
                <c:pt idx="91">
                  <c:v>3.75</c:v>
                </c:pt>
                <c:pt idx="92">
                  <c:v>3.76</c:v>
                </c:pt>
                <c:pt idx="93">
                  <c:v>3.83</c:v>
                </c:pt>
                <c:pt idx="94">
                  <c:v>3.8</c:v>
                </c:pt>
                <c:pt idx="95">
                  <c:v>3.7</c:v>
                </c:pt>
                <c:pt idx="96">
                  <c:v>3.61</c:v>
                </c:pt>
                <c:pt idx="97">
                  <c:v>3.54</c:v>
                </c:pt>
                <c:pt idx="98">
                  <c:v>3.49</c:v>
                </c:pt>
                <c:pt idx="99">
                  <c:v>3.55</c:v>
                </c:pt>
                <c:pt idx="100">
                  <c:v>3.77</c:v>
                </c:pt>
                <c:pt idx="101">
                  <c:v>3.67</c:v>
                </c:pt>
                <c:pt idx="102">
                  <c:v>3.7</c:v>
                </c:pt>
                <c:pt idx="103">
                  <c:v>3.73</c:v>
                </c:pt>
                <c:pt idx="104">
                  <c:v>3.83</c:v>
                </c:pt>
                <c:pt idx="105">
                  <c:v>3.74</c:v>
                </c:pt>
                <c:pt idx="106">
                  <c:v>3.78</c:v>
                </c:pt>
                <c:pt idx="107">
                  <c:v>3.77</c:v>
                </c:pt>
                <c:pt idx="108">
                  <c:v>3.74</c:v>
                </c:pt>
                <c:pt idx="109">
                  <c:v>3.72</c:v>
                </c:pt>
                <c:pt idx="110">
                  <c:v>3.68</c:v>
                </c:pt>
                <c:pt idx="111">
                  <c:v>3.62</c:v>
                </c:pt>
                <c:pt idx="112">
                  <c:v>3.6</c:v>
                </c:pt>
                <c:pt idx="113">
                  <c:v>3.7</c:v>
                </c:pt>
                <c:pt idx="114">
                  <c:v>3.63</c:v>
                </c:pt>
                <c:pt idx="115">
                  <c:v>3.6</c:v>
                </c:pt>
                <c:pt idx="116">
                  <c:v>3.68</c:v>
                </c:pt>
                <c:pt idx="117">
                  <c:v>3.52</c:v>
                </c:pt>
                <c:pt idx="118">
                  <c:v>3.44</c:v>
                </c:pt>
                <c:pt idx="119">
                  <c:v>3.4</c:v>
                </c:pt>
                <c:pt idx="120">
                  <c:v>3.37</c:v>
                </c:pt>
                <c:pt idx="121">
                  <c:v>3.4</c:v>
                </c:pt>
                <c:pt idx="122">
                  <c:v>3.38</c:v>
                </c:pt>
                <c:pt idx="123">
                  <c:v>3.36</c:v>
                </c:pt>
                <c:pt idx="124">
                  <c:v>3.34</c:v>
                </c:pt>
                <c:pt idx="125">
                  <c:v>3.41</c:v>
                </c:pt>
                <c:pt idx="126">
                  <c:v>3.41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3.46</c:v>
                </c:pt>
                <c:pt idx="131">
                  <c:v>3.46</c:v>
                </c:pt>
                <c:pt idx="132">
                  <c:v>3.4</c:v>
                </c:pt>
                <c:pt idx="133">
                  <c:v>3.4</c:v>
                </c:pt>
                <c:pt idx="134">
                  <c:v>3.41</c:v>
                </c:pt>
                <c:pt idx="135">
                  <c:v>3.38</c:v>
                </c:pt>
                <c:pt idx="136">
                  <c:v>3.4</c:v>
                </c:pt>
                <c:pt idx="137">
                  <c:v>3.37</c:v>
                </c:pt>
                <c:pt idx="138">
                  <c:v>3.42</c:v>
                </c:pt>
                <c:pt idx="139">
                  <c:v>3.42</c:v>
                </c:pt>
                <c:pt idx="140">
                  <c:v>3.49</c:v>
                </c:pt>
                <c:pt idx="141">
                  <c:v>3.48</c:v>
                </c:pt>
                <c:pt idx="142">
                  <c:v>3.51</c:v>
                </c:pt>
                <c:pt idx="143">
                  <c:v>3.58</c:v>
                </c:pt>
                <c:pt idx="144">
                  <c:v>3.56</c:v>
                </c:pt>
                <c:pt idx="145">
                  <c:v>3.53</c:v>
                </c:pt>
                <c:pt idx="146">
                  <c:v>3.54</c:v>
                </c:pt>
                <c:pt idx="147">
                  <c:v>3.37</c:v>
                </c:pt>
                <c:pt idx="148">
                  <c:v>3.29</c:v>
                </c:pt>
                <c:pt idx="149">
                  <c:v>3.36</c:v>
                </c:pt>
                <c:pt idx="150">
                  <c:v>3.36</c:v>
                </c:pt>
                <c:pt idx="151">
                  <c:v>3.31</c:v>
                </c:pt>
                <c:pt idx="152">
                  <c:v>3.38</c:v>
                </c:pt>
                <c:pt idx="153">
                  <c:v>3.45</c:v>
                </c:pt>
                <c:pt idx="154">
                  <c:v>3.47</c:v>
                </c:pt>
                <c:pt idx="155">
                  <c:v>3.5</c:v>
                </c:pt>
                <c:pt idx="156">
                  <c:v>3.44</c:v>
                </c:pt>
                <c:pt idx="157">
                  <c:v>3.43</c:v>
                </c:pt>
                <c:pt idx="158">
                  <c:v>3.43</c:v>
                </c:pt>
                <c:pt idx="159">
                  <c:v>3.57</c:v>
                </c:pt>
                <c:pt idx="160">
                  <c:v>3.65</c:v>
                </c:pt>
                <c:pt idx="161">
                  <c:v>3.69</c:v>
                </c:pt>
                <c:pt idx="162">
                  <c:v>3.67</c:v>
                </c:pt>
                <c:pt idx="163">
                  <c:v>3.66</c:v>
                </c:pt>
                <c:pt idx="164">
                  <c:v>3.71</c:v>
                </c:pt>
                <c:pt idx="165">
                  <c:v>3.74</c:v>
                </c:pt>
                <c:pt idx="166">
                  <c:v>3.67</c:v>
                </c:pt>
                <c:pt idx="167">
                  <c:v>3.65</c:v>
                </c:pt>
                <c:pt idx="168">
                  <c:v>3.61</c:v>
                </c:pt>
                <c:pt idx="169">
                  <c:v>3.64</c:v>
                </c:pt>
                <c:pt idx="170">
                  <c:v>3.52</c:v>
                </c:pt>
                <c:pt idx="171">
                  <c:v>3.63</c:v>
                </c:pt>
                <c:pt idx="172">
                  <c:v>3.52</c:v>
                </c:pt>
                <c:pt idx="173">
                  <c:v>3.51</c:v>
                </c:pt>
                <c:pt idx="174">
                  <c:v>3.64</c:v>
                </c:pt>
                <c:pt idx="175">
                  <c:v>3.59</c:v>
                </c:pt>
                <c:pt idx="176">
                  <c:v>3.61</c:v>
                </c:pt>
                <c:pt idx="177">
                  <c:v>3.59</c:v>
                </c:pt>
                <c:pt idx="178">
                  <c:v>3.58</c:v>
                </c:pt>
                <c:pt idx="179">
                  <c:v>3.53</c:v>
                </c:pt>
                <c:pt idx="180">
                  <c:v>3.53</c:v>
                </c:pt>
                <c:pt idx="181">
                  <c:v>3.6</c:v>
                </c:pt>
                <c:pt idx="182">
                  <c:v>3.61</c:v>
                </c:pt>
                <c:pt idx="183">
                  <c:v>3.61</c:v>
                </c:pt>
                <c:pt idx="184">
                  <c:v>3.62</c:v>
                </c:pt>
                <c:pt idx="185">
                  <c:v>3.53</c:v>
                </c:pt>
                <c:pt idx="186">
                  <c:v>3.49</c:v>
                </c:pt>
                <c:pt idx="187">
                  <c:v>3.51</c:v>
                </c:pt>
                <c:pt idx="188">
                  <c:v>3.51</c:v>
                </c:pt>
                <c:pt idx="189">
                  <c:v>3.47</c:v>
                </c:pt>
                <c:pt idx="190">
                  <c:v>3.37</c:v>
                </c:pt>
                <c:pt idx="191">
                  <c:v>3.22</c:v>
                </c:pt>
                <c:pt idx="192">
                  <c:v>3.21</c:v>
                </c:pt>
                <c:pt idx="193">
                  <c:v>3.12</c:v>
                </c:pt>
                <c:pt idx="194">
                  <c:v>2.97</c:v>
                </c:pt>
                <c:pt idx="195">
                  <c:v>2.81</c:v>
                </c:pt>
                <c:pt idx="196">
                  <c:v>2.59</c:v>
                </c:pt>
                <c:pt idx="197">
                  <c:v>2.65</c:v>
                </c:pt>
                <c:pt idx="198">
                  <c:v>2.52</c:v>
                </c:pt>
                <c:pt idx="199">
                  <c:v>2.76</c:v>
                </c:pt>
                <c:pt idx="200">
                  <c:v>2.74</c:v>
                </c:pt>
                <c:pt idx="201">
                  <c:v>2.8</c:v>
                </c:pt>
                <c:pt idx="202">
                  <c:v>2.79</c:v>
                </c:pt>
                <c:pt idx="203">
                  <c:v>2.67</c:v>
                </c:pt>
                <c:pt idx="204">
                  <c:v>2.69</c:v>
                </c:pt>
                <c:pt idx="205">
                  <c:v>2.61</c:v>
                </c:pt>
                <c:pt idx="206">
                  <c:v>2.65</c:v>
                </c:pt>
                <c:pt idx="207">
                  <c:v>2.71</c:v>
                </c:pt>
                <c:pt idx="208">
                  <c:v>2.71</c:v>
                </c:pt>
                <c:pt idx="209">
                  <c:v>2.78</c:v>
                </c:pt>
                <c:pt idx="210">
                  <c:v>2.75</c:v>
                </c:pt>
                <c:pt idx="211">
                  <c:v>2.74</c:v>
                </c:pt>
                <c:pt idx="212">
                  <c:v>2.83</c:v>
                </c:pt>
                <c:pt idx="213">
                  <c:v>2.8</c:v>
                </c:pt>
                <c:pt idx="214">
                  <c:v>2.84</c:v>
                </c:pt>
                <c:pt idx="215">
                  <c:v>2.85</c:v>
                </c:pt>
                <c:pt idx="216">
                  <c:v>2.82</c:v>
                </c:pt>
                <c:pt idx="217">
                  <c:v>2.79</c:v>
                </c:pt>
                <c:pt idx="218">
                  <c:v>2.87</c:v>
                </c:pt>
                <c:pt idx="219">
                  <c:v>3.03</c:v>
                </c:pt>
                <c:pt idx="220">
                  <c:v>2.99</c:v>
                </c:pt>
                <c:pt idx="221">
                  <c:v>2.98</c:v>
                </c:pt>
                <c:pt idx="222">
                  <c:v>2.96</c:v>
                </c:pt>
                <c:pt idx="223">
                  <c:v>2.94</c:v>
                </c:pt>
                <c:pt idx="224">
                  <c:v>3.06</c:v>
                </c:pt>
                <c:pt idx="225">
                  <c:v>3.08</c:v>
                </c:pt>
                <c:pt idx="226">
                  <c:v>3.09</c:v>
                </c:pt>
                <c:pt idx="227">
                  <c:v>3.03</c:v>
                </c:pt>
                <c:pt idx="228">
                  <c:v>3.05</c:v>
                </c:pt>
                <c:pt idx="229">
                  <c:v>3.09</c:v>
                </c:pt>
                <c:pt idx="230">
                  <c:v>3.07</c:v>
                </c:pt>
                <c:pt idx="231">
                  <c:v>3.04</c:v>
                </c:pt>
                <c:pt idx="232">
                  <c:v>3.05</c:v>
                </c:pt>
                <c:pt idx="233">
                  <c:v>2.94</c:v>
                </c:pt>
                <c:pt idx="234">
                  <c:v>2.95</c:v>
                </c:pt>
                <c:pt idx="235">
                  <c:v>3.02</c:v>
                </c:pt>
                <c:pt idx="236">
                  <c:v>3.02</c:v>
                </c:pt>
                <c:pt idx="237">
                  <c:v>3.02</c:v>
                </c:pt>
                <c:pt idx="238">
                  <c:v>3.04</c:v>
                </c:pt>
                <c:pt idx="239">
                  <c:v>3.06</c:v>
                </c:pt>
                <c:pt idx="240">
                  <c:v>3.01</c:v>
                </c:pt>
                <c:pt idx="241">
                  <c:v>2.94</c:v>
                </c:pt>
                <c:pt idx="242">
                  <c:v>3</c:v>
                </c:pt>
                <c:pt idx="243">
                  <c:v>3.02</c:v>
                </c:pt>
                <c:pt idx="244">
                  <c:v>2.98</c:v>
                </c:pt>
                <c:pt idx="245">
                  <c:v>2.9</c:v>
                </c:pt>
                <c:pt idx="246">
                  <c:v>2.88</c:v>
                </c:pt>
                <c:pt idx="247">
                  <c:v>2.85</c:v>
                </c:pt>
                <c:pt idx="248">
                  <c:v>2.92</c:v>
                </c:pt>
                <c:pt idx="249">
                  <c:v>2.84</c:v>
                </c:pt>
                <c:pt idx="250">
                  <c:v>2.9</c:v>
                </c:pt>
                <c:pt idx="251">
                  <c:v>2.94</c:v>
                </c:pt>
                <c:pt idx="252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BA-41F5-B49E-DE499123C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8922288"/>
        <c:axId val="1204788912"/>
      </c:lineChart>
      <c:catAx>
        <c:axId val="90892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88912"/>
        <c:crosses val="autoZero"/>
        <c:auto val="1"/>
        <c:lblAlgn val="ctr"/>
        <c:lblOffset val="100"/>
        <c:noMultiLvlLbl val="0"/>
      </c:catAx>
      <c:valAx>
        <c:axId val="1204788912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Close Price (AUD)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922288"/>
        <c:crosses val="autoZero"/>
        <c:crossBetween val="between"/>
      </c:valAx>
      <c:valAx>
        <c:axId val="1204787952"/>
        <c:scaling>
          <c:orientation val="minMax"/>
          <c:min val="0.3000000000000000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PE</a:t>
                </a:r>
                <a:r>
                  <a:rPr lang="en-AU" baseline="0"/>
                  <a:t> Ratio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971264"/>
        <c:crosses val="max"/>
        <c:crossBetween val="between"/>
      </c:valAx>
      <c:catAx>
        <c:axId val="1219971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4787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Close Price vs Dividend Yield – Single Trade Highlight (South32, 2024/2025)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'1xTrade'!$G$1</c:f>
              <c:strCache>
                <c:ptCount val="1"/>
                <c:pt idx="0">
                  <c:v>Dividends Yield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9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0800" dist="50800" dir="5400000" sx="34000" sy="34000" algn="ctr" rotWithShape="0">
                  <a:srgbClr val="000000">
                    <a:alpha val="43137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2-03C4-4C66-A0FA-9EB041E2C5F5}"/>
              </c:ext>
            </c:extLst>
          </c:dPt>
          <c:dLbls>
            <c:dLbl>
              <c:idx val="194"/>
              <c:layout>
                <c:manualLayout>
                  <c:x val="6.4688342826710793E-2"/>
                  <c:y val="-6.9505310999325078E-3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accent6"/>
                        </a:solidFill>
                      </a:rPr>
                      <a:t>Dividned</a:t>
                    </a:r>
                    <a:r>
                      <a:rPr lang="en-US" baseline="0">
                        <a:solidFill>
                          <a:schemeClr val="accent6"/>
                        </a:solidFill>
                      </a:rPr>
                      <a:t> Payout</a:t>
                    </a:r>
                    <a:endParaRPr lang="en-US">
                      <a:solidFill>
                        <a:schemeClr val="accent6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3C4-4C66-A0FA-9EB041E2C5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2225" cap="flat" cmpd="sng" algn="ctr">
                      <a:solidFill>
                        <a:schemeClr val="accent6"/>
                      </a:solidFill>
                      <a:round/>
                      <a:headEnd type="triangle"/>
                    </a:ln>
                    <a:effectLst/>
                  </c:spPr>
                </c15:leaderLines>
              </c:ext>
            </c:extLst>
          </c:dLbls>
          <c:cat>
            <c:strRef>
              <c:f>'1xTrade'!$A$2:$A$255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'1xTrade'!$G$2:$G$255</c:f>
              <c:numCache>
                <c:formatCode>0.00%</c:formatCode>
                <c:ptCount val="2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1.220159151193634E-2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1.8181818181818181E-2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C4-4C66-A0FA-9EB041E2C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1232293232"/>
        <c:axId val="1232281712"/>
      </c:barChart>
      <c:lineChart>
        <c:grouping val="standard"/>
        <c:varyColors val="0"/>
        <c:ser>
          <c:idx val="0"/>
          <c:order val="0"/>
          <c:tx>
            <c:strRef>
              <c:f>'1xTrade'!$E$1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98"/>
              <c:layout>
                <c:manualLayout>
                  <c:x val="5.4337076069924349E-3"/>
                  <c:y val="-0.27469976578899341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accent6"/>
                        </a:solidFill>
                      </a:rPr>
                      <a:t>BUY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3C4-4C66-A0FA-9EB041E2C5F5}"/>
                </c:ext>
              </c:extLst>
            </c:dLbl>
            <c:dLbl>
              <c:idx val="226"/>
              <c:layout>
                <c:manualLayout>
                  <c:x val="-1.074456599215139E-2"/>
                  <c:y val="-0.13602305537236181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rgbClr val="FF0000"/>
                        </a:solidFill>
                      </a:rPr>
                      <a:t>SELL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3C4-4C66-A0FA-9EB041E2C5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400" cap="flat" cmpd="sng" algn="ctr">
                      <a:solidFill>
                        <a:schemeClr val="accent6"/>
                      </a:solidFill>
                      <a:round/>
                      <a:headEnd type="triangle"/>
                    </a:ln>
                    <a:effectLst/>
                  </c:spPr>
                </c15:leaderLines>
              </c:ext>
            </c:extLst>
          </c:dLbls>
          <c:cat>
            <c:strRef>
              <c:f>'1xTrade'!$A$2:$A$255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'1xTrade'!$E$2:$E$255</c:f>
              <c:numCache>
                <c:formatCode>"$"#,##0.00</c:formatCode>
                <c:ptCount val="254"/>
                <c:pt idx="0">
                  <c:v>3.71</c:v>
                </c:pt>
                <c:pt idx="1">
                  <c:v>3.73</c:v>
                </c:pt>
                <c:pt idx="2">
                  <c:v>3.78</c:v>
                </c:pt>
                <c:pt idx="3">
                  <c:v>3.85</c:v>
                </c:pt>
                <c:pt idx="4">
                  <c:v>3.82</c:v>
                </c:pt>
                <c:pt idx="5">
                  <c:v>3.7</c:v>
                </c:pt>
                <c:pt idx="6">
                  <c:v>3.72</c:v>
                </c:pt>
                <c:pt idx="7">
                  <c:v>3.64</c:v>
                </c:pt>
                <c:pt idx="8">
                  <c:v>3.62</c:v>
                </c:pt>
                <c:pt idx="9">
                  <c:v>3.62</c:v>
                </c:pt>
                <c:pt idx="10">
                  <c:v>3.62</c:v>
                </c:pt>
                <c:pt idx="11">
                  <c:v>3.57</c:v>
                </c:pt>
                <c:pt idx="12">
                  <c:v>3.55</c:v>
                </c:pt>
                <c:pt idx="13">
                  <c:v>3.49</c:v>
                </c:pt>
                <c:pt idx="14">
                  <c:v>3.42</c:v>
                </c:pt>
                <c:pt idx="15">
                  <c:v>2.99</c:v>
                </c:pt>
                <c:pt idx="16">
                  <c:v>2.98</c:v>
                </c:pt>
                <c:pt idx="17">
                  <c:v>2.96</c:v>
                </c:pt>
                <c:pt idx="18">
                  <c:v>2.91</c:v>
                </c:pt>
                <c:pt idx="19">
                  <c:v>2.98</c:v>
                </c:pt>
                <c:pt idx="20">
                  <c:v>3.02</c:v>
                </c:pt>
                <c:pt idx="21">
                  <c:v>3.01</c:v>
                </c:pt>
                <c:pt idx="22">
                  <c:v>3.07</c:v>
                </c:pt>
                <c:pt idx="23">
                  <c:v>3.14</c:v>
                </c:pt>
                <c:pt idx="24">
                  <c:v>3.02</c:v>
                </c:pt>
                <c:pt idx="25">
                  <c:v>2.84</c:v>
                </c:pt>
                <c:pt idx="26">
                  <c:v>2.86</c:v>
                </c:pt>
                <c:pt idx="27">
                  <c:v>2.88</c:v>
                </c:pt>
                <c:pt idx="28">
                  <c:v>2.83</c:v>
                </c:pt>
                <c:pt idx="29">
                  <c:v>2.94</c:v>
                </c:pt>
                <c:pt idx="30">
                  <c:v>2.93</c:v>
                </c:pt>
                <c:pt idx="31">
                  <c:v>2.96</c:v>
                </c:pt>
                <c:pt idx="32">
                  <c:v>2.91</c:v>
                </c:pt>
                <c:pt idx="33">
                  <c:v>2.92</c:v>
                </c:pt>
                <c:pt idx="34">
                  <c:v>2.98</c:v>
                </c:pt>
                <c:pt idx="35">
                  <c:v>2.96</c:v>
                </c:pt>
                <c:pt idx="36">
                  <c:v>3.01</c:v>
                </c:pt>
                <c:pt idx="37">
                  <c:v>3.01</c:v>
                </c:pt>
                <c:pt idx="38">
                  <c:v>3.04</c:v>
                </c:pt>
                <c:pt idx="39">
                  <c:v>3.03</c:v>
                </c:pt>
                <c:pt idx="40">
                  <c:v>3.09</c:v>
                </c:pt>
                <c:pt idx="41">
                  <c:v>3.1</c:v>
                </c:pt>
                <c:pt idx="42">
                  <c:v>3.08</c:v>
                </c:pt>
                <c:pt idx="43">
                  <c:v>3.1</c:v>
                </c:pt>
                <c:pt idx="44">
                  <c:v>3.14</c:v>
                </c:pt>
                <c:pt idx="45">
                  <c:v>3.1</c:v>
                </c:pt>
                <c:pt idx="46">
                  <c:v>3.1</c:v>
                </c:pt>
                <c:pt idx="47">
                  <c:v>3</c:v>
                </c:pt>
                <c:pt idx="48">
                  <c:v>3.04</c:v>
                </c:pt>
                <c:pt idx="49">
                  <c:v>2.98</c:v>
                </c:pt>
                <c:pt idx="50">
                  <c:v>2.97</c:v>
                </c:pt>
                <c:pt idx="51">
                  <c:v>2.99</c:v>
                </c:pt>
                <c:pt idx="52">
                  <c:v>3.01</c:v>
                </c:pt>
                <c:pt idx="53">
                  <c:v>3.08</c:v>
                </c:pt>
                <c:pt idx="54">
                  <c:v>3.19</c:v>
                </c:pt>
                <c:pt idx="55">
                  <c:v>3.17</c:v>
                </c:pt>
                <c:pt idx="56">
                  <c:v>3.23</c:v>
                </c:pt>
                <c:pt idx="57">
                  <c:v>3.2</c:v>
                </c:pt>
                <c:pt idx="58">
                  <c:v>3.2</c:v>
                </c:pt>
                <c:pt idx="59">
                  <c:v>3.2</c:v>
                </c:pt>
                <c:pt idx="60">
                  <c:v>3.2</c:v>
                </c:pt>
                <c:pt idx="61">
                  <c:v>3.33</c:v>
                </c:pt>
                <c:pt idx="62">
                  <c:v>3.43</c:v>
                </c:pt>
                <c:pt idx="63">
                  <c:v>3.53</c:v>
                </c:pt>
                <c:pt idx="64">
                  <c:v>3.7</c:v>
                </c:pt>
                <c:pt idx="65">
                  <c:v>3.77</c:v>
                </c:pt>
                <c:pt idx="66">
                  <c:v>3.67</c:v>
                </c:pt>
                <c:pt idx="67">
                  <c:v>3.73</c:v>
                </c:pt>
                <c:pt idx="68">
                  <c:v>3.74</c:v>
                </c:pt>
                <c:pt idx="69">
                  <c:v>3.68</c:v>
                </c:pt>
                <c:pt idx="70">
                  <c:v>3.7</c:v>
                </c:pt>
                <c:pt idx="71">
                  <c:v>3.6</c:v>
                </c:pt>
                <c:pt idx="72">
                  <c:v>3.53</c:v>
                </c:pt>
                <c:pt idx="73">
                  <c:v>3.61</c:v>
                </c:pt>
                <c:pt idx="74">
                  <c:v>3.6</c:v>
                </c:pt>
                <c:pt idx="75">
                  <c:v>3.73</c:v>
                </c:pt>
                <c:pt idx="76">
                  <c:v>3.7</c:v>
                </c:pt>
                <c:pt idx="77">
                  <c:v>3.67</c:v>
                </c:pt>
                <c:pt idx="78">
                  <c:v>3.77</c:v>
                </c:pt>
                <c:pt idx="79">
                  <c:v>3.7</c:v>
                </c:pt>
                <c:pt idx="80">
                  <c:v>3.69</c:v>
                </c:pt>
                <c:pt idx="81">
                  <c:v>3.62</c:v>
                </c:pt>
                <c:pt idx="82">
                  <c:v>3.65</c:v>
                </c:pt>
                <c:pt idx="83">
                  <c:v>3.69</c:v>
                </c:pt>
                <c:pt idx="84">
                  <c:v>3.71</c:v>
                </c:pt>
                <c:pt idx="85">
                  <c:v>3.73</c:v>
                </c:pt>
                <c:pt idx="86">
                  <c:v>3.72</c:v>
                </c:pt>
                <c:pt idx="87">
                  <c:v>3.67</c:v>
                </c:pt>
                <c:pt idx="88">
                  <c:v>3.68</c:v>
                </c:pt>
                <c:pt idx="89">
                  <c:v>3.72</c:v>
                </c:pt>
                <c:pt idx="90">
                  <c:v>3.73</c:v>
                </c:pt>
                <c:pt idx="91">
                  <c:v>3.75</c:v>
                </c:pt>
                <c:pt idx="92">
                  <c:v>3.76</c:v>
                </c:pt>
                <c:pt idx="93">
                  <c:v>3.83</c:v>
                </c:pt>
                <c:pt idx="94">
                  <c:v>3.8</c:v>
                </c:pt>
                <c:pt idx="95">
                  <c:v>3.7</c:v>
                </c:pt>
                <c:pt idx="96">
                  <c:v>3.61</c:v>
                </c:pt>
                <c:pt idx="97">
                  <c:v>3.54</c:v>
                </c:pt>
                <c:pt idx="98">
                  <c:v>3.49</c:v>
                </c:pt>
                <c:pt idx="99">
                  <c:v>3.55</c:v>
                </c:pt>
                <c:pt idx="100">
                  <c:v>3.77</c:v>
                </c:pt>
                <c:pt idx="101">
                  <c:v>3.67</c:v>
                </c:pt>
                <c:pt idx="102">
                  <c:v>3.7</c:v>
                </c:pt>
                <c:pt idx="103">
                  <c:v>3.73</c:v>
                </c:pt>
                <c:pt idx="104">
                  <c:v>3.83</c:v>
                </c:pt>
                <c:pt idx="105">
                  <c:v>3.74</c:v>
                </c:pt>
                <c:pt idx="106">
                  <c:v>3.78</c:v>
                </c:pt>
                <c:pt idx="107">
                  <c:v>3.77</c:v>
                </c:pt>
                <c:pt idx="108">
                  <c:v>3.74</c:v>
                </c:pt>
                <c:pt idx="109">
                  <c:v>3.72</c:v>
                </c:pt>
                <c:pt idx="110">
                  <c:v>3.68</c:v>
                </c:pt>
                <c:pt idx="111">
                  <c:v>3.62</c:v>
                </c:pt>
                <c:pt idx="112">
                  <c:v>3.6</c:v>
                </c:pt>
                <c:pt idx="113">
                  <c:v>3.7</c:v>
                </c:pt>
                <c:pt idx="114">
                  <c:v>3.63</c:v>
                </c:pt>
                <c:pt idx="115">
                  <c:v>3.6</c:v>
                </c:pt>
                <c:pt idx="116">
                  <c:v>3.68</c:v>
                </c:pt>
                <c:pt idx="117">
                  <c:v>3.52</c:v>
                </c:pt>
                <c:pt idx="118">
                  <c:v>3.44</c:v>
                </c:pt>
                <c:pt idx="119">
                  <c:v>3.4</c:v>
                </c:pt>
                <c:pt idx="120">
                  <c:v>3.37</c:v>
                </c:pt>
                <c:pt idx="121">
                  <c:v>3.4</c:v>
                </c:pt>
                <c:pt idx="122">
                  <c:v>3.38</c:v>
                </c:pt>
                <c:pt idx="123">
                  <c:v>3.36</c:v>
                </c:pt>
                <c:pt idx="124">
                  <c:v>3.34</c:v>
                </c:pt>
                <c:pt idx="125">
                  <c:v>3.41</c:v>
                </c:pt>
                <c:pt idx="126">
                  <c:v>3.41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3.46</c:v>
                </c:pt>
                <c:pt idx="131">
                  <c:v>3.46</c:v>
                </c:pt>
                <c:pt idx="132">
                  <c:v>3.4</c:v>
                </c:pt>
                <c:pt idx="133">
                  <c:v>3.4</c:v>
                </c:pt>
                <c:pt idx="134">
                  <c:v>3.41</c:v>
                </c:pt>
                <c:pt idx="135">
                  <c:v>3.38</c:v>
                </c:pt>
                <c:pt idx="136">
                  <c:v>3.4</c:v>
                </c:pt>
                <c:pt idx="137">
                  <c:v>3.37</c:v>
                </c:pt>
                <c:pt idx="138">
                  <c:v>3.42</c:v>
                </c:pt>
                <c:pt idx="139">
                  <c:v>3.42</c:v>
                </c:pt>
                <c:pt idx="140">
                  <c:v>3.49</c:v>
                </c:pt>
                <c:pt idx="141">
                  <c:v>3.48</c:v>
                </c:pt>
                <c:pt idx="142">
                  <c:v>3.51</c:v>
                </c:pt>
                <c:pt idx="143">
                  <c:v>3.58</c:v>
                </c:pt>
                <c:pt idx="144">
                  <c:v>3.56</c:v>
                </c:pt>
                <c:pt idx="145">
                  <c:v>3.53</c:v>
                </c:pt>
                <c:pt idx="146">
                  <c:v>3.54</c:v>
                </c:pt>
                <c:pt idx="147">
                  <c:v>3.37</c:v>
                </c:pt>
                <c:pt idx="148">
                  <c:v>3.29</c:v>
                </c:pt>
                <c:pt idx="149">
                  <c:v>3.36</c:v>
                </c:pt>
                <c:pt idx="150">
                  <c:v>3.36</c:v>
                </c:pt>
                <c:pt idx="151">
                  <c:v>3.31</c:v>
                </c:pt>
                <c:pt idx="152">
                  <c:v>3.38</c:v>
                </c:pt>
                <c:pt idx="153">
                  <c:v>3.45</c:v>
                </c:pt>
                <c:pt idx="154">
                  <c:v>3.47</c:v>
                </c:pt>
                <c:pt idx="155">
                  <c:v>3.5</c:v>
                </c:pt>
                <c:pt idx="156">
                  <c:v>3.44</c:v>
                </c:pt>
                <c:pt idx="157">
                  <c:v>3.43</c:v>
                </c:pt>
                <c:pt idx="158">
                  <c:v>3.43</c:v>
                </c:pt>
                <c:pt idx="159">
                  <c:v>3.57</c:v>
                </c:pt>
                <c:pt idx="160">
                  <c:v>3.65</c:v>
                </c:pt>
                <c:pt idx="161">
                  <c:v>3.69</c:v>
                </c:pt>
                <c:pt idx="162">
                  <c:v>3.67</c:v>
                </c:pt>
                <c:pt idx="163">
                  <c:v>3.66</c:v>
                </c:pt>
                <c:pt idx="164">
                  <c:v>3.71</c:v>
                </c:pt>
                <c:pt idx="165">
                  <c:v>3.74</c:v>
                </c:pt>
                <c:pt idx="166">
                  <c:v>3.67</c:v>
                </c:pt>
                <c:pt idx="167">
                  <c:v>3.65</c:v>
                </c:pt>
                <c:pt idx="168">
                  <c:v>3.61</c:v>
                </c:pt>
                <c:pt idx="169">
                  <c:v>3.64</c:v>
                </c:pt>
                <c:pt idx="170">
                  <c:v>3.52</c:v>
                </c:pt>
                <c:pt idx="171">
                  <c:v>3.63</c:v>
                </c:pt>
                <c:pt idx="172">
                  <c:v>3.52</c:v>
                </c:pt>
                <c:pt idx="173">
                  <c:v>3.51</c:v>
                </c:pt>
                <c:pt idx="174">
                  <c:v>3.64</c:v>
                </c:pt>
                <c:pt idx="175">
                  <c:v>3.59</c:v>
                </c:pt>
                <c:pt idx="176">
                  <c:v>3.61</c:v>
                </c:pt>
                <c:pt idx="177">
                  <c:v>3.59</c:v>
                </c:pt>
                <c:pt idx="178">
                  <c:v>3.58</c:v>
                </c:pt>
                <c:pt idx="179">
                  <c:v>3.53</c:v>
                </c:pt>
                <c:pt idx="180">
                  <c:v>3.53</c:v>
                </c:pt>
                <c:pt idx="181">
                  <c:v>3.6</c:v>
                </c:pt>
                <c:pt idx="182">
                  <c:v>3.61</c:v>
                </c:pt>
                <c:pt idx="183">
                  <c:v>3.61</c:v>
                </c:pt>
                <c:pt idx="184">
                  <c:v>3.62</c:v>
                </c:pt>
                <c:pt idx="185">
                  <c:v>3.53</c:v>
                </c:pt>
                <c:pt idx="186">
                  <c:v>3.49</c:v>
                </c:pt>
                <c:pt idx="187">
                  <c:v>3.51</c:v>
                </c:pt>
                <c:pt idx="188">
                  <c:v>3.51</c:v>
                </c:pt>
                <c:pt idx="189">
                  <c:v>3.47</c:v>
                </c:pt>
                <c:pt idx="190">
                  <c:v>3.37</c:v>
                </c:pt>
                <c:pt idx="191">
                  <c:v>3.22</c:v>
                </c:pt>
                <c:pt idx="192">
                  <c:v>3.21</c:v>
                </c:pt>
                <c:pt idx="193">
                  <c:v>3.12</c:v>
                </c:pt>
                <c:pt idx="194">
                  <c:v>2.97</c:v>
                </c:pt>
                <c:pt idx="195">
                  <c:v>2.81</c:v>
                </c:pt>
                <c:pt idx="196">
                  <c:v>2.59</c:v>
                </c:pt>
                <c:pt idx="197">
                  <c:v>2.65</c:v>
                </c:pt>
                <c:pt idx="198">
                  <c:v>2.52</c:v>
                </c:pt>
                <c:pt idx="199">
                  <c:v>2.76</c:v>
                </c:pt>
                <c:pt idx="200">
                  <c:v>2.74</c:v>
                </c:pt>
                <c:pt idx="201">
                  <c:v>2.8</c:v>
                </c:pt>
                <c:pt idx="202">
                  <c:v>2.79</c:v>
                </c:pt>
                <c:pt idx="203">
                  <c:v>2.67</c:v>
                </c:pt>
                <c:pt idx="204">
                  <c:v>2.69</c:v>
                </c:pt>
                <c:pt idx="205">
                  <c:v>2.61</c:v>
                </c:pt>
                <c:pt idx="206">
                  <c:v>2.65</c:v>
                </c:pt>
                <c:pt idx="207">
                  <c:v>2.71</c:v>
                </c:pt>
                <c:pt idx="208">
                  <c:v>2.71</c:v>
                </c:pt>
                <c:pt idx="209">
                  <c:v>2.78</c:v>
                </c:pt>
                <c:pt idx="210">
                  <c:v>2.75</c:v>
                </c:pt>
                <c:pt idx="211">
                  <c:v>2.74</c:v>
                </c:pt>
                <c:pt idx="212">
                  <c:v>2.83</c:v>
                </c:pt>
                <c:pt idx="213">
                  <c:v>2.8</c:v>
                </c:pt>
                <c:pt idx="214">
                  <c:v>2.84</c:v>
                </c:pt>
                <c:pt idx="215">
                  <c:v>2.85</c:v>
                </c:pt>
                <c:pt idx="216">
                  <c:v>2.82</c:v>
                </c:pt>
                <c:pt idx="217">
                  <c:v>2.79</c:v>
                </c:pt>
                <c:pt idx="218">
                  <c:v>2.87</c:v>
                </c:pt>
                <c:pt idx="219">
                  <c:v>3.03</c:v>
                </c:pt>
                <c:pt idx="220">
                  <c:v>2.99</c:v>
                </c:pt>
                <c:pt idx="221">
                  <c:v>2.98</c:v>
                </c:pt>
                <c:pt idx="222">
                  <c:v>2.96</c:v>
                </c:pt>
                <c:pt idx="223">
                  <c:v>2.94</c:v>
                </c:pt>
                <c:pt idx="224">
                  <c:v>3.06</c:v>
                </c:pt>
                <c:pt idx="225">
                  <c:v>3.08</c:v>
                </c:pt>
                <c:pt idx="226">
                  <c:v>3.09</c:v>
                </c:pt>
                <c:pt idx="227">
                  <c:v>3.03</c:v>
                </c:pt>
                <c:pt idx="228">
                  <c:v>3.05</c:v>
                </c:pt>
                <c:pt idx="229">
                  <c:v>3.09</c:v>
                </c:pt>
                <c:pt idx="230">
                  <c:v>3.07</c:v>
                </c:pt>
                <c:pt idx="231">
                  <c:v>3.04</c:v>
                </c:pt>
                <c:pt idx="232">
                  <c:v>3.05</c:v>
                </c:pt>
                <c:pt idx="233">
                  <c:v>2.94</c:v>
                </c:pt>
                <c:pt idx="234">
                  <c:v>2.95</c:v>
                </c:pt>
                <c:pt idx="235">
                  <c:v>3.02</c:v>
                </c:pt>
                <c:pt idx="236">
                  <c:v>3.02</c:v>
                </c:pt>
                <c:pt idx="237">
                  <c:v>3.02</c:v>
                </c:pt>
                <c:pt idx="238">
                  <c:v>3.04</c:v>
                </c:pt>
                <c:pt idx="239">
                  <c:v>3.06</c:v>
                </c:pt>
                <c:pt idx="240">
                  <c:v>3.01</c:v>
                </c:pt>
                <c:pt idx="241">
                  <c:v>2.94</c:v>
                </c:pt>
                <c:pt idx="242">
                  <c:v>3</c:v>
                </c:pt>
                <c:pt idx="243">
                  <c:v>3.02</c:v>
                </c:pt>
                <c:pt idx="244">
                  <c:v>2.98</c:v>
                </c:pt>
                <c:pt idx="245">
                  <c:v>2.9</c:v>
                </c:pt>
                <c:pt idx="246">
                  <c:v>2.88</c:v>
                </c:pt>
                <c:pt idx="247">
                  <c:v>2.85</c:v>
                </c:pt>
                <c:pt idx="248">
                  <c:v>2.92</c:v>
                </c:pt>
                <c:pt idx="249">
                  <c:v>2.84</c:v>
                </c:pt>
                <c:pt idx="250">
                  <c:v>2.9</c:v>
                </c:pt>
                <c:pt idx="251">
                  <c:v>2.94</c:v>
                </c:pt>
                <c:pt idx="252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4-4C66-A0FA-9EB041E2C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344592"/>
        <c:axId val="1232348432"/>
      </c:lineChart>
      <c:catAx>
        <c:axId val="123234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348432"/>
        <c:crosses val="autoZero"/>
        <c:auto val="1"/>
        <c:lblAlgn val="ctr"/>
        <c:lblOffset val="100"/>
        <c:noMultiLvlLbl val="0"/>
      </c:catAx>
      <c:valAx>
        <c:axId val="1232348432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Close Price (AUD)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344592"/>
        <c:crosses val="autoZero"/>
        <c:crossBetween val="between"/>
      </c:valAx>
      <c:valAx>
        <c:axId val="12322817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Dividend 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93232"/>
        <c:crosses val="max"/>
        <c:crossBetween val="between"/>
      </c:valAx>
      <c:catAx>
        <c:axId val="1232293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2281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Price Movement (South32, 2024/2025)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'Maximum-Trade'!$B$1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8"/>
              <c:layout>
                <c:manualLayout>
                  <c:x val="1.0309278350515464E-2"/>
                  <c:y val="7.092197261369426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92D05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rgbClr val="92D050"/>
                        </a:solidFill>
                      </a:rPr>
                      <a:t>BUY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92D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EC6-41C3-9A5A-AFF212C30040}"/>
                </c:ext>
              </c:extLst>
            </c:dLbl>
            <c:dLbl>
              <c:idx val="78"/>
              <c:layout>
                <c:manualLayout>
                  <c:x val="-3.608247422680412E-2"/>
                  <c:y val="-7.80141698750637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rgbClr val="FF0000"/>
                        </a:solidFill>
                      </a:rPr>
                      <a:t>SELL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EC6-41C3-9A5A-AFF212C30040}"/>
                </c:ext>
              </c:extLst>
            </c:dLbl>
            <c:dLbl>
              <c:idx val="124"/>
              <c:layout>
                <c:manualLayout>
                  <c:x val="-1.0309278350515526E-2"/>
                  <c:y val="8.5106367136433214E-2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accent6"/>
                        </a:solidFill>
                      </a:rPr>
                      <a:t>BUY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EC6-41C3-9A5A-AFF212C30040}"/>
                </c:ext>
              </c:extLst>
            </c:dLbl>
            <c:dLbl>
              <c:idx val="165"/>
              <c:layout>
                <c:manualLayout>
                  <c:x val="-5.1546391752577319E-3"/>
                  <c:y val="-6.3829775352324952E-2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rgbClr val="FF0000"/>
                        </a:solidFill>
                      </a:rPr>
                      <a:t>SELL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EC6-41C3-9A5A-AFF212C30040}"/>
                </c:ext>
              </c:extLst>
            </c:dLbl>
            <c:dLbl>
              <c:idx val="198"/>
              <c:layout>
                <c:manualLayout>
                  <c:x val="3.4364261168384879E-3"/>
                  <c:y val="6.3829775352324827E-2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accent6"/>
                        </a:solidFill>
                      </a:rPr>
                      <a:t>BUY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5EC6-41C3-9A5A-AFF212C30040}"/>
                </c:ext>
              </c:extLst>
            </c:dLbl>
            <c:dLbl>
              <c:idx val="226"/>
              <c:layout>
                <c:manualLayout>
                  <c:x val="-3.4364261168384879E-3"/>
                  <c:y val="-0.17021273427286646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rgbClr val="FF0000"/>
                        </a:solidFill>
                      </a:rPr>
                      <a:t>SELL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5EC6-41C3-9A5A-AFF212C300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400" cap="flat" cmpd="sng" algn="ctr">
                      <a:solidFill>
                        <a:schemeClr val="accent6"/>
                      </a:solidFill>
                      <a:round/>
                      <a:headEnd type="triangle" w="sm" len="sm"/>
                    </a:ln>
                    <a:effectLst/>
                  </c:spPr>
                </c15:leaderLines>
              </c:ext>
            </c:extLst>
          </c:dLbls>
          <c:cat>
            <c:strRef>
              <c:f>'Maximum-Trade'!$A$2:$A$254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'Maximum-Trade'!$B$2:$B$254</c:f>
              <c:numCache>
                <c:formatCode>"$"#,##0.00</c:formatCode>
                <c:ptCount val="253"/>
                <c:pt idx="0">
                  <c:v>3.71</c:v>
                </c:pt>
                <c:pt idx="1">
                  <c:v>3.73</c:v>
                </c:pt>
                <c:pt idx="2">
                  <c:v>3.78</c:v>
                </c:pt>
                <c:pt idx="3">
                  <c:v>3.85</c:v>
                </c:pt>
                <c:pt idx="4">
                  <c:v>3.82</c:v>
                </c:pt>
                <c:pt idx="5">
                  <c:v>3.7</c:v>
                </c:pt>
                <c:pt idx="6">
                  <c:v>3.72</c:v>
                </c:pt>
                <c:pt idx="7">
                  <c:v>3.64</c:v>
                </c:pt>
                <c:pt idx="8">
                  <c:v>3.62</c:v>
                </c:pt>
                <c:pt idx="9">
                  <c:v>3.62</c:v>
                </c:pt>
                <c:pt idx="10">
                  <c:v>3.62</c:v>
                </c:pt>
                <c:pt idx="11">
                  <c:v>3.57</c:v>
                </c:pt>
                <c:pt idx="12">
                  <c:v>3.55</c:v>
                </c:pt>
                <c:pt idx="13">
                  <c:v>3.49</c:v>
                </c:pt>
                <c:pt idx="14">
                  <c:v>3.42</c:v>
                </c:pt>
                <c:pt idx="15">
                  <c:v>2.99</c:v>
                </c:pt>
                <c:pt idx="16">
                  <c:v>2.98</c:v>
                </c:pt>
                <c:pt idx="17">
                  <c:v>2.96</c:v>
                </c:pt>
                <c:pt idx="18">
                  <c:v>2.91</c:v>
                </c:pt>
                <c:pt idx="19">
                  <c:v>2.98</c:v>
                </c:pt>
                <c:pt idx="20">
                  <c:v>3.02</c:v>
                </c:pt>
                <c:pt idx="21">
                  <c:v>3.01</c:v>
                </c:pt>
                <c:pt idx="22">
                  <c:v>3.07</c:v>
                </c:pt>
                <c:pt idx="23">
                  <c:v>3.14</c:v>
                </c:pt>
                <c:pt idx="24">
                  <c:v>3.02</c:v>
                </c:pt>
                <c:pt idx="25">
                  <c:v>2.84</c:v>
                </c:pt>
                <c:pt idx="26">
                  <c:v>2.86</c:v>
                </c:pt>
                <c:pt idx="27">
                  <c:v>2.88</c:v>
                </c:pt>
                <c:pt idx="28">
                  <c:v>2.83</c:v>
                </c:pt>
                <c:pt idx="29">
                  <c:v>2.94</c:v>
                </c:pt>
                <c:pt idx="30">
                  <c:v>2.93</c:v>
                </c:pt>
                <c:pt idx="31">
                  <c:v>2.96</c:v>
                </c:pt>
                <c:pt idx="32">
                  <c:v>2.91</c:v>
                </c:pt>
                <c:pt idx="33">
                  <c:v>2.92</c:v>
                </c:pt>
                <c:pt idx="34">
                  <c:v>2.98</c:v>
                </c:pt>
                <c:pt idx="35">
                  <c:v>2.96</c:v>
                </c:pt>
                <c:pt idx="36">
                  <c:v>3.01</c:v>
                </c:pt>
                <c:pt idx="37">
                  <c:v>3.01</c:v>
                </c:pt>
                <c:pt idx="38">
                  <c:v>3.04</c:v>
                </c:pt>
                <c:pt idx="39">
                  <c:v>3.03</c:v>
                </c:pt>
                <c:pt idx="40">
                  <c:v>3.09</c:v>
                </c:pt>
                <c:pt idx="41">
                  <c:v>3.1</c:v>
                </c:pt>
                <c:pt idx="42">
                  <c:v>3.08</c:v>
                </c:pt>
                <c:pt idx="43">
                  <c:v>3.1</c:v>
                </c:pt>
                <c:pt idx="44">
                  <c:v>3.14</c:v>
                </c:pt>
                <c:pt idx="45">
                  <c:v>3.1</c:v>
                </c:pt>
                <c:pt idx="46">
                  <c:v>3.1</c:v>
                </c:pt>
                <c:pt idx="47">
                  <c:v>3</c:v>
                </c:pt>
                <c:pt idx="48">
                  <c:v>3.04</c:v>
                </c:pt>
                <c:pt idx="49">
                  <c:v>2.98</c:v>
                </c:pt>
                <c:pt idx="50">
                  <c:v>2.97</c:v>
                </c:pt>
                <c:pt idx="51">
                  <c:v>2.99</c:v>
                </c:pt>
                <c:pt idx="52">
                  <c:v>3.01</c:v>
                </c:pt>
                <c:pt idx="53">
                  <c:v>3.08</c:v>
                </c:pt>
                <c:pt idx="54">
                  <c:v>3.19</c:v>
                </c:pt>
                <c:pt idx="55">
                  <c:v>3.17</c:v>
                </c:pt>
                <c:pt idx="56">
                  <c:v>3.23</c:v>
                </c:pt>
                <c:pt idx="57">
                  <c:v>3.2</c:v>
                </c:pt>
                <c:pt idx="58">
                  <c:v>3.2</c:v>
                </c:pt>
                <c:pt idx="59">
                  <c:v>3.2</c:v>
                </c:pt>
                <c:pt idx="60">
                  <c:v>3.2</c:v>
                </c:pt>
                <c:pt idx="61">
                  <c:v>3.33</c:v>
                </c:pt>
                <c:pt idx="62">
                  <c:v>3.43</c:v>
                </c:pt>
                <c:pt idx="63">
                  <c:v>3.53</c:v>
                </c:pt>
                <c:pt idx="64">
                  <c:v>3.7</c:v>
                </c:pt>
                <c:pt idx="65">
                  <c:v>3.77</c:v>
                </c:pt>
                <c:pt idx="66">
                  <c:v>3.67</c:v>
                </c:pt>
                <c:pt idx="67">
                  <c:v>3.73</c:v>
                </c:pt>
                <c:pt idx="68">
                  <c:v>3.74</c:v>
                </c:pt>
                <c:pt idx="69">
                  <c:v>3.68</c:v>
                </c:pt>
                <c:pt idx="70">
                  <c:v>3.7</c:v>
                </c:pt>
                <c:pt idx="71">
                  <c:v>3.6</c:v>
                </c:pt>
                <c:pt idx="72">
                  <c:v>3.53</c:v>
                </c:pt>
                <c:pt idx="73">
                  <c:v>3.61</c:v>
                </c:pt>
                <c:pt idx="74">
                  <c:v>3.6</c:v>
                </c:pt>
                <c:pt idx="75">
                  <c:v>3.73</c:v>
                </c:pt>
                <c:pt idx="76">
                  <c:v>3.7</c:v>
                </c:pt>
                <c:pt idx="77">
                  <c:v>3.67</c:v>
                </c:pt>
                <c:pt idx="78">
                  <c:v>3.77</c:v>
                </c:pt>
                <c:pt idx="79">
                  <c:v>3.7</c:v>
                </c:pt>
                <c:pt idx="80">
                  <c:v>3.69</c:v>
                </c:pt>
                <c:pt idx="81">
                  <c:v>3.62</c:v>
                </c:pt>
                <c:pt idx="82">
                  <c:v>3.65</c:v>
                </c:pt>
                <c:pt idx="83">
                  <c:v>3.69</c:v>
                </c:pt>
                <c:pt idx="84">
                  <c:v>3.71</c:v>
                </c:pt>
                <c:pt idx="85">
                  <c:v>3.73</c:v>
                </c:pt>
                <c:pt idx="86">
                  <c:v>3.72</c:v>
                </c:pt>
                <c:pt idx="87">
                  <c:v>3.67</c:v>
                </c:pt>
                <c:pt idx="88">
                  <c:v>3.68</c:v>
                </c:pt>
                <c:pt idx="89">
                  <c:v>3.72</c:v>
                </c:pt>
                <c:pt idx="90">
                  <c:v>3.73</c:v>
                </c:pt>
                <c:pt idx="91">
                  <c:v>3.75</c:v>
                </c:pt>
                <c:pt idx="92">
                  <c:v>3.76</c:v>
                </c:pt>
                <c:pt idx="93">
                  <c:v>3.83</c:v>
                </c:pt>
                <c:pt idx="94">
                  <c:v>3.8</c:v>
                </c:pt>
                <c:pt idx="95">
                  <c:v>3.7</c:v>
                </c:pt>
                <c:pt idx="96">
                  <c:v>3.61</c:v>
                </c:pt>
                <c:pt idx="97">
                  <c:v>3.54</c:v>
                </c:pt>
                <c:pt idx="98">
                  <c:v>3.49</c:v>
                </c:pt>
                <c:pt idx="99">
                  <c:v>3.55</c:v>
                </c:pt>
                <c:pt idx="100">
                  <c:v>3.77</c:v>
                </c:pt>
                <c:pt idx="101">
                  <c:v>3.67</c:v>
                </c:pt>
                <c:pt idx="102">
                  <c:v>3.7</c:v>
                </c:pt>
                <c:pt idx="103">
                  <c:v>3.73</c:v>
                </c:pt>
                <c:pt idx="104">
                  <c:v>3.83</c:v>
                </c:pt>
                <c:pt idx="105">
                  <c:v>3.74</c:v>
                </c:pt>
                <c:pt idx="106">
                  <c:v>3.78</c:v>
                </c:pt>
                <c:pt idx="107">
                  <c:v>3.77</c:v>
                </c:pt>
                <c:pt idx="108">
                  <c:v>3.74</c:v>
                </c:pt>
                <c:pt idx="109">
                  <c:v>3.72</c:v>
                </c:pt>
                <c:pt idx="110">
                  <c:v>3.68</c:v>
                </c:pt>
                <c:pt idx="111">
                  <c:v>3.62</c:v>
                </c:pt>
                <c:pt idx="112">
                  <c:v>3.6</c:v>
                </c:pt>
                <c:pt idx="113">
                  <c:v>3.7</c:v>
                </c:pt>
                <c:pt idx="114">
                  <c:v>3.63</c:v>
                </c:pt>
                <c:pt idx="115">
                  <c:v>3.6</c:v>
                </c:pt>
                <c:pt idx="116">
                  <c:v>3.68</c:v>
                </c:pt>
                <c:pt idx="117">
                  <c:v>3.52</c:v>
                </c:pt>
                <c:pt idx="118">
                  <c:v>3.44</c:v>
                </c:pt>
                <c:pt idx="119">
                  <c:v>3.4</c:v>
                </c:pt>
                <c:pt idx="120">
                  <c:v>3.37</c:v>
                </c:pt>
                <c:pt idx="121">
                  <c:v>3.4</c:v>
                </c:pt>
                <c:pt idx="122">
                  <c:v>3.38</c:v>
                </c:pt>
                <c:pt idx="123">
                  <c:v>3.36</c:v>
                </c:pt>
                <c:pt idx="124">
                  <c:v>3.34</c:v>
                </c:pt>
                <c:pt idx="125">
                  <c:v>3.41</c:v>
                </c:pt>
                <c:pt idx="126">
                  <c:v>3.41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3.46</c:v>
                </c:pt>
                <c:pt idx="131">
                  <c:v>3.46</c:v>
                </c:pt>
                <c:pt idx="132">
                  <c:v>3.4</c:v>
                </c:pt>
                <c:pt idx="133">
                  <c:v>3.4</c:v>
                </c:pt>
                <c:pt idx="134">
                  <c:v>3.41</c:v>
                </c:pt>
                <c:pt idx="135">
                  <c:v>3.38</c:v>
                </c:pt>
                <c:pt idx="136">
                  <c:v>3.4</c:v>
                </c:pt>
                <c:pt idx="137">
                  <c:v>3.37</c:v>
                </c:pt>
                <c:pt idx="138">
                  <c:v>3.42</c:v>
                </c:pt>
                <c:pt idx="139">
                  <c:v>3.42</c:v>
                </c:pt>
                <c:pt idx="140">
                  <c:v>3.49</c:v>
                </c:pt>
                <c:pt idx="141">
                  <c:v>3.48</c:v>
                </c:pt>
                <c:pt idx="142">
                  <c:v>3.51</c:v>
                </c:pt>
                <c:pt idx="143">
                  <c:v>3.58</c:v>
                </c:pt>
                <c:pt idx="144">
                  <c:v>3.56</c:v>
                </c:pt>
                <c:pt idx="145">
                  <c:v>3.53</c:v>
                </c:pt>
                <c:pt idx="146">
                  <c:v>3.54</c:v>
                </c:pt>
                <c:pt idx="147">
                  <c:v>3.37</c:v>
                </c:pt>
                <c:pt idx="148">
                  <c:v>3.29</c:v>
                </c:pt>
                <c:pt idx="149">
                  <c:v>3.36</c:v>
                </c:pt>
                <c:pt idx="150">
                  <c:v>3.36</c:v>
                </c:pt>
                <c:pt idx="151">
                  <c:v>3.31</c:v>
                </c:pt>
                <c:pt idx="152">
                  <c:v>3.38</c:v>
                </c:pt>
                <c:pt idx="153">
                  <c:v>3.45</c:v>
                </c:pt>
                <c:pt idx="154">
                  <c:v>3.47</c:v>
                </c:pt>
                <c:pt idx="155">
                  <c:v>3.5</c:v>
                </c:pt>
                <c:pt idx="156">
                  <c:v>3.44</c:v>
                </c:pt>
                <c:pt idx="157">
                  <c:v>3.43</c:v>
                </c:pt>
                <c:pt idx="158">
                  <c:v>3.43</c:v>
                </c:pt>
                <c:pt idx="159">
                  <c:v>3.57</c:v>
                </c:pt>
                <c:pt idx="160">
                  <c:v>3.65</c:v>
                </c:pt>
                <c:pt idx="161">
                  <c:v>3.69</c:v>
                </c:pt>
                <c:pt idx="162">
                  <c:v>3.67</c:v>
                </c:pt>
                <c:pt idx="163">
                  <c:v>3.66</c:v>
                </c:pt>
                <c:pt idx="164">
                  <c:v>3.71</c:v>
                </c:pt>
                <c:pt idx="165">
                  <c:v>3.74</c:v>
                </c:pt>
                <c:pt idx="166">
                  <c:v>3.67</c:v>
                </c:pt>
                <c:pt idx="167">
                  <c:v>3.65</c:v>
                </c:pt>
                <c:pt idx="168">
                  <c:v>3.61</c:v>
                </c:pt>
                <c:pt idx="169">
                  <c:v>3.64</c:v>
                </c:pt>
                <c:pt idx="170">
                  <c:v>3.52</c:v>
                </c:pt>
                <c:pt idx="171">
                  <c:v>3.63</c:v>
                </c:pt>
                <c:pt idx="172">
                  <c:v>3.52</c:v>
                </c:pt>
                <c:pt idx="173">
                  <c:v>3.51</c:v>
                </c:pt>
                <c:pt idx="174">
                  <c:v>3.64</c:v>
                </c:pt>
                <c:pt idx="175">
                  <c:v>3.59</c:v>
                </c:pt>
                <c:pt idx="176">
                  <c:v>3.61</c:v>
                </c:pt>
                <c:pt idx="177">
                  <c:v>3.59</c:v>
                </c:pt>
                <c:pt idx="178">
                  <c:v>3.58</c:v>
                </c:pt>
                <c:pt idx="179">
                  <c:v>3.53</c:v>
                </c:pt>
                <c:pt idx="180">
                  <c:v>3.53</c:v>
                </c:pt>
                <c:pt idx="181">
                  <c:v>3.6</c:v>
                </c:pt>
                <c:pt idx="182">
                  <c:v>3.61</c:v>
                </c:pt>
                <c:pt idx="183">
                  <c:v>3.61</c:v>
                </c:pt>
                <c:pt idx="184">
                  <c:v>3.62</c:v>
                </c:pt>
                <c:pt idx="185">
                  <c:v>3.53</c:v>
                </c:pt>
                <c:pt idx="186">
                  <c:v>3.49</c:v>
                </c:pt>
                <c:pt idx="187">
                  <c:v>3.51</c:v>
                </c:pt>
                <c:pt idx="188">
                  <c:v>3.51</c:v>
                </c:pt>
                <c:pt idx="189">
                  <c:v>3.47</c:v>
                </c:pt>
                <c:pt idx="190">
                  <c:v>3.37</c:v>
                </c:pt>
                <c:pt idx="191">
                  <c:v>3.22</c:v>
                </c:pt>
                <c:pt idx="192">
                  <c:v>3.21</c:v>
                </c:pt>
                <c:pt idx="193">
                  <c:v>3.12</c:v>
                </c:pt>
                <c:pt idx="194">
                  <c:v>2.97</c:v>
                </c:pt>
                <c:pt idx="195">
                  <c:v>2.81</c:v>
                </c:pt>
                <c:pt idx="196">
                  <c:v>2.59</c:v>
                </c:pt>
                <c:pt idx="197">
                  <c:v>2.65</c:v>
                </c:pt>
                <c:pt idx="198">
                  <c:v>2.52</c:v>
                </c:pt>
                <c:pt idx="199">
                  <c:v>2.76</c:v>
                </c:pt>
                <c:pt idx="200">
                  <c:v>2.74</c:v>
                </c:pt>
                <c:pt idx="201">
                  <c:v>2.8</c:v>
                </c:pt>
                <c:pt idx="202">
                  <c:v>2.79</c:v>
                </c:pt>
                <c:pt idx="203">
                  <c:v>2.67</c:v>
                </c:pt>
                <c:pt idx="204">
                  <c:v>2.69</c:v>
                </c:pt>
                <c:pt idx="205">
                  <c:v>2.61</c:v>
                </c:pt>
                <c:pt idx="206">
                  <c:v>2.65</c:v>
                </c:pt>
                <c:pt idx="207">
                  <c:v>2.71</c:v>
                </c:pt>
                <c:pt idx="208">
                  <c:v>2.71</c:v>
                </c:pt>
                <c:pt idx="209">
                  <c:v>2.78</c:v>
                </c:pt>
                <c:pt idx="210">
                  <c:v>2.75</c:v>
                </c:pt>
                <c:pt idx="211">
                  <c:v>2.74</c:v>
                </c:pt>
                <c:pt idx="212">
                  <c:v>2.83</c:v>
                </c:pt>
                <c:pt idx="213">
                  <c:v>2.8</c:v>
                </c:pt>
                <c:pt idx="214">
                  <c:v>2.84</c:v>
                </c:pt>
                <c:pt idx="215">
                  <c:v>2.85</c:v>
                </c:pt>
                <c:pt idx="216">
                  <c:v>2.82</c:v>
                </c:pt>
                <c:pt idx="217">
                  <c:v>2.79</c:v>
                </c:pt>
                <c:pt idx="218">
                  <c:v>2.87</c:v>
                </c:pt>
                <c:pt idx="219">
                  <c:v>3.03</c:v>
                </c:pt>
                <c:pt idx="220">
                  <c:v>2.99</c:v>
                </c:pt>
                <c:pt idx="221">
                  <c:v>2.98</c:v>
                </c:pt>
                <c:pt idx="222">
                  <c:v>2.96</c:v>
                </c:pt>
                <c:pt idx="223">
                  <c:v>2.94</c:v>
                </c:pt>
                <c:pt idx="224">
                  <c:v>3.06</c:v>
                </c:pt>
                <c:pt idx="225">
                  <c:v>3.08</c:v>
                </c:pt>
                <c:pt idx="226">
                  <c:v>3.09</c:v>
                </c:pt>
                <c:pt idx="227">
                  <c:v>3.03</c:v>
                </c:pt>
                <c:pt idx="228">
                  <c:v>3.05</c:v>
                </c:pt>
                <c:pt idx="229">
                  <c:v>3.09</c:v>
                </c:pt>
                <c:pt idx="230">
                  <c:v>3.07</c:v>
                </c:pt>
                <c:pt idx="231">
                  <c:v>3.04</c:v>
                </c:pt>
                <c:pt idx="232">
                  <c:v>3.05</c:v>
                </c:pt>
                <c:pt idx="233">
                  <c:v>2.94</c:v>
                </c:pt>
                <c:pt idx="234">
                  <c:v>2.95</c:v>
                </c:pt>
                <c:pt idx="235">
                  <c:v>3.02</c:v>
                </c:pt>
                <c:pt idx="236">
                  <c:v>3.02</c:v>
                </c:pt>
                <c:pt idx="237">
                  <c:v>3.02</c:v>
                </c:pt>
                <c:pt idx="238">
                  <c:v>3.04</c:v>
                </c:pt>
                <c:pt idx="239">
                  <c:v>3.06</c:v>
                </c:pt>
                <c:pt idx="240">
                  <c:v>3.01</c:v>
                </c:pt>
                <c:pt idx="241">
                  <c:v>2.94</c:v>
                </c:pt>
                <c:pt idx="242">
                  <c:v>3</c:v>
                </c:pt>
                <c:pt idx="243">
                  <c:v>3.02</c:v>
                </c:pt>
                <c:pt idx="244">
                  <c:v>2.98</c:v>
                </c:pt>
                <c:pt idx="245">
                  <c:v>2.9</c:v>
                </c:pt>
                <c:pt idx="246">
                  <c:v>2.88</c:v>
                </c:pt>
                <c:pt idx="247">
                  <c:v>2.85</c:v>
                </c:pt>
                <c:pt idx="248">
                  <c:v>2.92</c:v>
                </c:pt>
                <c:pt idx="249">
                  <c:v>2.84</c:v>
                </c:pt>
                <c:pt idx="250">
                  <c:v>2.9</c:v>
                </c:pt>
                <c:pt idx="251">
                  <c:v>2.94</c:v>
                </c:pt>
                <c:pt idx="252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C6-41C3-9A5A-AFF212C30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3584896"/>
        <c:axId val="983585376"/>
      </c:lineChart>
      <c:catAx>
        <c:axId val="98358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585376"/>
        <c:crosses val="autoZero"/>
        <c:auto val="1"/>
        <c:lblAlgn val="ctr"/>
        <c:lblOffset val="100"/>
        <c:noMultiLvlLbl val="0"/>
      </c:catAx>
      <c:valAx>
        <c:axId val="983585376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Price</a:t>
                </a:r>
                <a:r>
                  <a:rPr lang="en-AU" baseline="0"/>
                  <a:t> (AUD)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58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604835</xdr:colOff>
      <xdr:row>6</xdr:row>
      <xdr:rowOff>28574</xdr:rowOff>
    </xdr:from>
    <xdr:to>
      <xdr:col>16</xdr:col>
      <xdr:colOff>114299</xdr:colOff>
      <xdr:row>30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CDCFC5-C6AF-6227-94BB-5FD76B6B9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87132</xdr:colOff>
      <xdr:row>1</xdr:row>
      <xdr:rowOff>112985</xdr:rowOff>
    </xdr:from>
    <xdr:to>
      <xdr:col>34</xdr:col>
      <xdr:colOff>208988</xdr:colOff>
      <xdr:row>53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D519AE-D043-E4F1-0A3F-8F1E31007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184055</xdr:colOff>
      <xdr:row>1</xdr:row>
      <xdr:rowOff>20449</xdr:rowOff>
    </xdr:from>
    <xdr:to>
      <xdr:col>19</xdr:col>
      <xdr:colOff>235324</xdr:colOff>
      <xdr:row>43</xdr:row>
      <xdr:rowOff>67235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029F61-24FA-DC5E-BA84-FF7B63320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490536</xdr:colOff>
      <xdr:row>5</xdr:row>
      <xdr:rowOff>152399</xdr:rowOff>
    </xdr:from>
    <xdr:to>
      <xdr:col>17</xdr:col>
      <xdr:colOff>57149</xdr:colOff>
      <xdr:row>29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A9B6AE-38A2-1E64-30CD-F62E0EBBA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471486</xdr:colOff>
      <xdr:row>0</xdr:row>
      <xdr:rowOff>138112</xdr:rowOff>
    </xdr:from>
    <xdr:to>
      <xdr:col>18</xdr:col>
      <xdr:colOff>361950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6FF9F-B3FE-212A-0212-819707B8B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1042986</xdr:colOff>
      <xdr:row>7</xdr:row>
      <xdr:rowOff>23811</xdr:rowOff>
    </xdr:from>
    <xdr:to>
      <xdr:col>18</xdr:col>
      <xdr:colOff>142874</xdr:colOff>
      <xdr:row>26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1A6407-B684-CEF5-3C5D-E4D421B40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608135</xdr:colOff>
      <xdr:row>11</xdr:row>
      <xdr:rowOff>73268</xdr:rowOff>
    </xdr:from>
    <xdr:to>
      <xdr:col>19</xdr:col>
      <xdr:colOff>168519</xdr:colOff>
      <xdr:row>36</xdr:row>
      <xdr:rowOff>117229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D99E0F-10E0-9742-1C80-85B954139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644768</xdr:colOff>
      <xdr:row>39</xdr:row>
      <xdr:rowOff>123091</xdr:rowOff>
    </xdr:from>
    <xdr:to>
      <xdr:col>19</xdr:col>
      <xdr:colOff>175846</xdr:colOff>
      <xdr:row>63</xdr:row>
      <xdr:rowOff>109904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20DDDC-B5D2-25A9-0202-BACA0938E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644768</xdr:colOff>
      <xdr:row>66</xdr:row>
      <xdr:rowOff>79129</xdr:rowOff>
    </xdr:from>
    <xdr:to>
      <xdr:col>19</xdr:col>
      <xdr:colOff>175846</xdr:colOff>
      <xdr:row>89</xdr:row>
      <xdr:rowOff>36635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87D454-A026-709C-D39C-818E9FE26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7</xdr:row>
      <xdr:rowOff>19049</xdr:rowOff>
    </xdr:from>
    <xdr:to>
      <xdr:col>18</xdr:col>
      <xdr:colOff>419100</xdr:colOff>
      <xdr:row>40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777E13-15AC-EFBD-13C2-941D20A77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06D89-F062-4746-8AD8-2A835C2F0B06}">
  <dimension ref="A1:M254"/>
  <sheetViews>
    <sheetView workbookViewId="0">
      <pane ySplit="1" topLeftCell="A2" activePane="bottomLeft" state="frozen"/>
      <selection pane="bottomLeft" activeCell="D1" sqref="D1:F1048576"/>
    </sheetView>
  </sheetViews>
  <sheetFormatPr defaultRowHeight="15" customHeight="1"/>
  <cols>
    <col min="1" max="1" width="9.85546875" customWidth="1"/>
    <col min="2" max="2" width="20.42578125" customWidth="1"/>
    <col min="3" max="3" width="14.28515625" style="12" customWidth="1"/>
    <col min="4" max="4" width="7.140625" style="6" customWidth="1"/>
    <col min="5" max="5" width="9.85546875" style="9" customWidth="1"/>
    <col min="6" max="6" width="10.42578125" style="9" customWidth="1"/>
    <col min="7" max="7" width="10.7109375" style="9" customWidth="1"/>
    <col min="8" max="8" width="15.7109375" style="34" customWidth="1"/>
    <col min="9" max="9" width="16.85546875" style="1" customWidth="1"/>
    <col min="10" max="10" width="26.5703125" style="9" customWidth="1"/>
    <col min="11" max="11" width="19" style="1" customWidth="1"/>
    <col min="12" max="12" width="11.28515625" style="14" customWidth="1"/>
    <col min="13" max="13" width="9.140625" style="10"/>
  </cols>
  <sheetData>
    <row r="1" spans="1:13" ht="15" customHeight="1">
      <c r="A1" s="2" t="s">
        <v>0</v>
      </c>
      <c r="B1" s="2" t="s">
        <v>1</v>
      </c>
      <c r="C1" s="11" t="s">
        <v>2</v>
      </c>
      <c r="D1" s="4" t="s">
        <v>3</v>
      </c>
      <c r="E1" s="7" t="s">
        <v>4</v>
      </c>
      <c r="F1" s="7" t="s">
        <v>5</v>
      </c>
      <c r="G1" s="7" t="s">
        <v>6</v>
      </c>
      <c r="H1" s="33" t="s">
        <v>7</v>
      </c>
      <c r="I1" s="2" t="s">
        <v>8</v>
      </c>
      <c r="J1" s="7" t="s">
        <v>9</v>
      </c>
      <c r="K1" s="2" t="s">
        <v>10</v>
      </c>
      <c r="L1" s="13" t="s">
        <v>11</v>
      </c>
      <c r="M1" s="15" t="s">
        <v>12</v>
      </c>
    </row>
    <row r="2" spans="1:13" ht="15" customHeight="1">
      <c r="A2" t="s">
        <v>13</v>
      </c>
      <c r="B2" t="s">
        <v>14</v>
      </c>
      <c r="C2" s="12" t="s">
        <v>15</v>
      </c>
      <c r="D2" s="5">
        <v>3.65</v>
      </c>
      <c r="E2" s="8">
        <v>3.72</v>
      </c>
      <c r="F2" s="8">
        <v>3.64</v>
      </c>
      <c r="G2" s="8">
        <v>3.71</v>
      </c>
      <c r="H2" s="19">
        <f t="shared" ref="H2:H60" si="0">(G2-D2)/D2</f>
        <v>1.6438356164383577E-2</v>
      </c>
      <c r="I2" s="3">
        <v>9106807</v>
      </c>
      <c r="J2" s="8">
        <v>16803.55</v>
      </c>
      <c r="K2" s="3">
        <v>4529258568</v>
      </c>
      <c r="M2" s="10">
        <f>G2/7.58</f>
        <v>0.48944591029023748</v>
      </c>
    </row>
    <row r="3" spans="1:13" ht="15" customHeight="1">
      <c r="A3" t="s">
        <v>13</v>
      </c>
      <c r="B3" t="s">
        <v>14</v>
      </c>
      <c r="C3" s="12" t="s">
        <v>16</v>
      </c>
      <c r="D3" s="5">
        <v>3.75</v>
      </c>
      <c r="E3" s="8">
        <v>3.77</v>
      </c>
      <c r="F3" s="8">
        <v>3.6949999999999998</v>
      </c>
      <c r="G3" s="8">
        <v>3.73</v>
      </c>
      <c r="H3" s="19">
        <f t="shared" si="0"/>
        <v>-5.3333333333333384E-3</v>
      </c>
      <c r="I3" s="3">
        <v>12394093</v>
      </c>
      <c r="J3" s="8">
        <v>16894.13</v>
      </c>
      <c r="K3" s="3">
        <v>4529258568</v>
      </c>
      <c r="M3" s="10">
        <f>G3/7.58</f>
        <v>0.4920844327176781</v>
      </c>
    </row>
    <row r="4" spans="1:13" ht="15" customHeight="1">
      <c r="A4" t="s">
        <v>13</v>
      </c>
      <c r="B4" t="s">
        <v>14</v>
      </c>
      <c r="C4" s="12" t="s">
        <v>17</v>
      </c>
      <c r="D4" s="5">
        <v>3.79</v>
      </c>
      <c r="E4" s="8">
        <v>3.86</v>
      </c>
      <c r="F4" s="8">
        <v>3.77</v>
      </c>
      <c r="G4" s="8">
        <v>3.78</v>
      </c>
      <c r="H4" s="19">
        <f t="shared" si="0"/>
        <v>-2.6385224274406943E-3</v>
      </c>
      <c r="I4" s="3">
        <v>13794144</v>
      </c>
      <c r="J4" s="8">
        <v>17120.599999999999</v>
      </c>
      <c r="K4" s="3">
        <v>4529258568</v>
      </c>
      <c r="M4" s="10">
        <f>G4/7.58</f>
        <v>0.49868073878627966</v>
      </c>
    </row>
    <row r="5" spans="1:13" ht="15" customHeight="1">
      <c r="A5" t="s">
        <v>13</v>
      </c>
      <c r="B5" t="s">
        <v>14</v>
      </c>
      <c r="C5" s="12" t="s">
        <v>18</v>
      </c>
      <c r="D5" s="5">
        <v>3.85</v>
      </c>
      <c r="E5" s="8">
        <v>3.86</v>
      </c>
      <c r="F5" s="8">
        <v>3.79</v>
      </c>
      <c r="G5" s="8">
        <v>3.85</v>
      </c>
      <c r="H5" s="19">
        <f t="shared" si="0"/>
        <v>0</v>
      </c>
      <c r="I5" s="3">
        <v>20956236</v>
      </c>
      <c r="J5" s="8">
        <v>17437.650000000001</v>
      </c>
      <c r="K5" s="3">
        <v>4529258568</v>
      </c>
      <c r="M5" s="10">
        <f>G5/7.58</f>
        <v>0.5079155672823219</v>
      </c>
    </row>
    <row r="6" spans="1:13" ht="15" customHeight="1">
      <c r="A6" t="s">
        <v>13</v>
      </c>
      <c r="B6" t="s">
        <v>14</v>
      </c>
      <c r="C6" s="12" t="s">
        <v>19</v>
      </c>
      <c r="D6" s="5">
        <v>3.85</v>
      </c>
      <c r="E6" s="8">
        <v>3.8650000000000002</v>
      </c>
      <c r="F6" s="8">
        <v>3.7949999999999999</v>
      </c>
      <c r="G6" s="8">
        <v>3.82</v>
      </c>
      <c r="H6" s="19">
        <f t="shared" si="0"/>
        <v>-7.7922077922078564E-3</v>
      </c>
      <c r="I6" s="3">
        <v>9689371</v>
      </c>
      <c r="J6" s="8">
        <v>17301.77</v>
      </c>
      <c r="K6" s="3">
        <v>4529258568</v>
      </c>
      <c r="M6" s="10">
        <f t="shared" ref="M6:M66" si="1">G6/7.58</f>
        <v>0.50395778364116095</v>
      </c>
    </row>
    <row r="7" spans="1:13" ht="15" customHeight="1">
      <c r="A7" t="s">
        <v>13</v>
      </c>
      <c r="B7" t="s">
        <v>14</v>
      </c>
      <c r="C7" s="12" t="s">
        <v>20</v>
      </c>
      <c r="D7" s="5">
        <v>3.82</v>
      </c>
      <c r="E7" s="8">
        <v>3.83</v>
      </c>
      <c r="F7" s="8">
        <v>3.68</v>
      </c>
      <c r="G7" s="8">
        <v>3.7</v>
      </c>
      <c r="H7" s="19">
        <f t="shared" si="0"/>
        <v>-3.1413612565444941E-2</v>
      </c>
      <c r="I7" s="3">
        <v>12881063</v>
      </c>
      <c r="J7" s="8">
        <v>16758.259999999998</v>
      </c>
      <c r="K7" s="3">
        <v>4529258568</v>
      </c>
      <c r="M7" s="10">
        <f t="shared" si="1"/>
        <v>0.48812664907651715</v>
      </c>
    </row>
    <row r="8" spans="1:13" ht="15" customHeight="1">
      <c r="A8" t="s">
        <v>13</v>
      </c>
      <c r="B8" t="s">
        <v>14</v>
      </c>
      <c r="C8" s="12" t="s">
        <v>21</v>
      </c>
      <c r="D8" s="5">
        <v>3.75</v>
      </c>
      <c r="E8" s="8">
        <v>3.75</v>
      </c>
      <c r="F8" s="8">
        <v>3.67</v>
      </c>
      <c r="G8" s="8">
        <v>3.72</v>
      </c>
      <c r="H8" s="19">
        <f t="shared" si="0"/>
        <v>-7.9999999999999481E-3</v>
      </c>
      <c r="I8" s="3">
        <v>13428251</v>
      </c>
      <c r="J8" s="8">
        <v>16848.84</v>
      </c>
      <c r="K8" s="3">
        <v>4529258568</v>
      </c>
      <c r="M8" s="10">
        <f t="shared" si="1"/>
        <v>0.49076517150395782</v>
      </c>
    </row>
    <row r="9" spans="1:13" ht="15" customHeight="1">
      <c r="A9" t="s">
        <v>13</v>
      </c>
      <c r="B9" t="s">
        <v>14</v>
      </c>
      <c r="C9" s="12" t="s">
        <v>22</v>
      </c>
      <c r="D9" s="5">
        <v>3.66</v>
      </c>
      <c r="E9" s="8">
        <v>3.67</v>
      </c>
      <c r="F9" s="8">
        <v>3.625</v>
      </c>
      <c r="G9" s="8">
        <v>3.64</v>
      </c>
      <c r="H9" s="19">
        <f t="shared" si="0"/>
        <v>-5.4644808743169442E-3</v>
      </c>
      <c r="I9" s="3">
        <v>10158463</v>
      </c>
      <c r="J9" s="8">
        <v>16486.5</v>
      </c>
      <c r="K9" s="3">
        <v>4529258568</v>
      </c>
      <c r="M9" s="10">
        <f t="shared" si="1"/>
        <v>0.48021108179419525</v>
      </c>
    </row>
    <row r="10" spans="1:13" ht="15" customHeight="1">
      <c r="A10" t="s">
        <v>13</v>
      </c>
      <c r="B10" t="s">
        <v>14</v>
      </c>
      <c r="C10" s="12" t="s">
        <v>23</v>
      </c>
      <c r="D10" s="5">
        <v>3.67</v>
      </c>
      <c r="E10" s="8">
        <v>3.6749999999999998</v>
      </c>
      <c r="F10" s="8">
        <v>3.59</v>
      </c>
      <c r="G10" s="8">
        <v>3.62</v>
      </c>
      <c r="H10" s="19">
        <f t="shared" si="0"/>
        <v>-1.3623978201634829E-2</v>
      </c>
      <c r="I10" s="3">
        <v>26396401</v>
      </c>
      <c r="J10" s="8">
        <v>16395.919999999998</v>
      </c>
      <c r="K10" s="3">
        <v>4529258568</v>
      </c>
      <c r="M10" s="10">
        <f t="shared" si="1"/>
        <v>0.47757255936675463</v>
      </c>
    </row>
    <row r="11" spans="1:13" ht="15" customHeight="1">
      <c r="A11" t="s">
        <v>13</v>
      </c>
      <c r="B11" t="s">
        <v>14</v>
      </c>
      <c r="C11" s="12" t="s">
        <v>24</v>
      </c>
      <c r="D11" s="5">
        <v>3.64</v>
      </c>
      <c r="E11" s="8">
        <v>3.67</v>
      </c>
      <c r="F11" s="8">
        <v>3.61</v>
      </c>
      <c r="G11" s="8">
        <v>3.62</v>
      </c>
      <c r="H11" s="19">
        <f t="shared" si="0"/>
        <v>-5.4945054945054993E-3</v>
      </c>
      <c r="I11" s="3">
        <v>13100483</v>
      </c>
      <c r="J11" s="8">
        <v>16395.919999999998</v>
      </c>
      <c r="K11" s="3">
        <v>4529258568</v>
      </c>
      <c r="M11" s="10">
        <f t="shared" si="1"/>
        <v>0.47757255936675463</v>
      </c>
    </row>
    <row r="12" spans="1:13" ht="15" customHeight="1">
      <c r="A12" t="s">
        <v>13</v>
      </c>
      <c r="B12" t="s">
        <v>14</v>
      </c>
      <c r="C12" s="12" t="s">
        <v>25</v>
      </c>
      <c r="D12" s="5">
        <v>3.63</v>
      </c>
      <c r="E12" s="8">
        <v>3.64</v>
      </c>
      <c r="F12" s="8">
        <v>3.59</v>
      </c>
      <c r="G12" s="8">
        <v>3.62</v>
      </c>
      <c r="H12" s="19">
        <f t="shared" si="0"/>
        <v>-2.75482093663906E-3</v>
      </c>
      <c r="I12" s="3">
        <v>12435172</v>
      </c>
      <c r="J12" s="8">
        <v>16395.919999999998</v>
      </c>
      <c r="K12" s="3">
        <v>4529258568</v>
      </c>
      <c r="M12" s="10">
        <f t="shared" si="1"/>
        <v>0.47757255936675463</v>
      </c>
    </row>
    <row r="13" spans="1:13" ht="15" customHeight="1">
      <c r="A13" t="s">
        <v>13</v>
      </c>
      <c r="B13" t="s">
        <v>14</v>
      </c>
      <c r="C13" s="12" t="s">
        <v>26</v>
      </c>
      <c r="D13" s="5">
        <v>3.6</v>
      </c>
      <c r="E13" s="8">
        <v>3.605</v>
      </c>
      <c r="F13" s="8">
        <v>3.5550000000000002</v>
      </c>
      <c r="G13" s="8">
        <v>3.57</v>
      </c>
      <c r="H13" s="19">
        <f t="shared" si="0"/>
        <v>-8.3333333333334026E-3</v>
      </c>
      <c r="I13" s="3">
        <v>12406333</v>
      </c>
      <c r="J13" s="8">
        <v>16169.45</v>
      </c>
      <c r="K13" s="3">
        <v>4529258568</v>
      </c>
      <c r="M13" s="10">
        <f t="shared" si="1"/>
        <v>0.47097625329815301</v>
      </c>
    </row>
    <row r="14" spans="1:13" ht="15" customHeight="1">
      <c r="A14" t="s">
        <v>13</v>
      </c>
      <c r="B14" t="s">
        <v>14</v>
      </c>
      <c r="C14" s="12" t="s">
        <v>27</v>
      </c>
      <c r="D14" s="5">
        <v>3.59</v>
      </c>
      <c r="E14" s="8">
        <v>3.61</v>
      </c>
      <c r="F14" s="8">
        <v>3.54</v>
      </c>
      <c r="G14" s="8">
        <v>3.55</v>
      </c>
      <c r="H14" s="19">
        <f t="shared" si="0"/>
        <v>-1.1142061281337058E-2</v>
      </c>
      <c r="I14" s="3">
        <v>11173908</v>
      </c>
      <c r="J14" s="8">
        <v>16078.87</v>
      </c>
      <c r="K14" s="3">
        <v>4529258568</v>
      </c>
      <c r="M14" s="10">
        <f t="shared" si="1"/>
        <v>0.4683377308707124</v>
      </c>
    </row>
    <row r="15" spans="1:13" ht="15" customHeight="1">
      <c r="A15" t="s">
        <v>13</v>
      </c>
      <c r="B15" t="s">
        <v>14</v>
      </c>
      <c r="C15" s="12" t="s">
        <v>28</v>
      </c>
      <c r="D15" s="5">
        <v>3.54</v>
      </c>
      <c r="E15" s="8">
        <v>3.5449999999999999</v>
      </c>
      <c r="F15" s="8">
        <v>3.47</v>
      </c>
      <c r="G15" s="8">
        <v>3.49</v>
      </c>
      <c r="H15" s="19">
        <f t="shared" si="0"/>
        <v>-1.4124293785310684E-2</v>
      </c>
      <c r="I15" s="3">
        <v>10817106</v>
      </c>
      <c r="J15" s="8">
        <v>15807.11</v>
      </c>
      <c r="K15" s="3">
        <v>4529258568</v>
      </c>
      <c r="M15" s="10">
        <f t="shared" si="1"/>
        <v>0.4604221635883905</v>
      </c>
    </row>
    <row r="16" spans="1:13" ht="15" customHeight="1">
      <c r="A16" t="s">
        <v>13</v>
      </c>
      <c r="B16" t="s">
        <v>14</v>
      </c>
      <c r="C16" s="12" t="s">
        <v>29</v>
      </c>
      <c r="D16" s="5">
        <v>3.42</v>
      </c>
      <c r="E16" s="8">
        <v>3.43</v>
      </c>
      <c r="F16" s="8">
        <v>3.38</v>
      </c>
      <c r="G16" s="8">
        <v>3.42</v>
      </c>
      <c r="H16" s="19">
        <f t="shared" si="0"/>
        <v>0</v>
      </c>
      <c r="I16" s="3">
        <v>16152362</v>
      </c>
      <c r="J16" s="8">
        <v>15490.06</v>
      </c>
      <c r="K16" s="3">
        <v>4529258568</v>
      </c>
      <c r="M16" s="10">
        <f t="shared" si="1"/>
        <v>0.45118733509234826</v>
      </c>
    </row>
    <row r="17" spans="1:13" ht="15" customHeight="1">
      <c r="A17" t="s">
        <v>13</v>
      </c>
      <c r="B17" t="s">
        <v>14</v>
      </c>
      <c r="C17" s="12" t="s">
        <v>30</v>
      </c>
      <c r="D17" s="5">
        <v>3.14</v>
      </c>
      <c r="E17" s="8">
        <v>3.16</v>
      </c>
      <c r="F17" s="8">
        <v>2.9350000000000001</v>
      </c>
      <c r="G17" s="8">
        <v>2.99</v>
      </c>
      <c r="H17" s="19">
        <f t="shared" si="0"/>
        <v>-4.7770700636942644E-2</v>
      </c>
      <c r="I17" s="3">
        <v>54812357</v>
      </c>
      <c r="J17" s="8">
        <v>13542.48</v>
      </c>
      <c r="K17" s="3">
        <v>4529258568</v>
      </c>
      <c r="M17" s="10">
        <f t="shared" si="1"/>
        <v>0.39445910290237468</v>
      </c>
    </row>
    <row r="18" spans="1:13" ht="15" customHeight="1">
      <c r="A18" t="s">
        <v>13</v>
      </c>
      <c r="B18" t="s">
        <v>14</v>
      </c>
      <c r="C18" s="12" t="s">
        <v>31</v>
      </c>
      <c r="D18" s="5">
        <v>2.99</v>
      </c>
      <c r="E18" s="8">
        <v>3.05</v>
      </c>
      <c r="F18" s="8">
        <v>2.94</v>
      </c>
      <c r="G18" s="8">
        <v>2.98</v>
      </c>
      <c r="H18" s="19">
        <f t="shared" si="0"/>
        <v>-3.3444816053512477E-3</v>
      </c>
      <c r="I18" s="3">
        <v>23134988</v>
      </c>
      <c r="J18" s="8">
        <v>13497.19</v>
      </c>
      <c r="K18" s="3">
        <v>4529258568</v>
      </c>
      <c r="M18" s="10">
        <f t="shared" si="1"/>
        <v>0.39313984168865435</v>
      </c>
    </row>
    <row r="19" spans="1:13" ht="15" customHeight="1">
      <c r="A19" t="s">
        <v>13</v>
      </c>
      <c r="B19" t="s">
        <v>14</v>
      </c>
      <c r="C19" s="12" t="s">
        <v>32</v>
      </c>
      <c r="D19" s="5">
        <v>2.99</v>
      </c>
      <c r="E19" s="8">
        <v>2.99</v>
      </c>
      <c r="F19" s="8">
        <v>2.91</v>
      </c>
      <c r="G19" s="8">
        <v>2.96</v>
      </c>
      <c r="H19" s="19">
        <f t="shared" si="0"/>
        <v>-1.0033444816053593E-2</v>
      </c>
      <c r="I19" s="3">
        <v>18835336</v>
      </c>
      <c r="J19" s="8">
        <v>13406.61</v>
      </c>
      <c r="K19" s="3">
        <v>4529258568</v>
      </c>
      <c r="M19" s="10">
        <f t="shared" si="1"/>
        <v>0.39050131926121373</v>
      </c>
    </row>
    <row r="20" spans="1:13" ht="15" customHeight="1">
      <c r="A20" t="s">
        <v>13</v>
      </c>
      <c r="B20" t="s">
        <v>14</v>
      </c>
      <c r="C20" s="12" t="s">
        <v>33</v>
      </c>
      <c r="D20" s="5">
        <v>2.91</v>
      </c>
      <c r="E20" s="8">
        <v>2.97</v>
      </c>
      <c r="F20" s="8">
        <v>2.89</v>
      </c>
      <c r="G20" s="8">
        <v>2.91</v>
      </c>
      <c r="H20" s="19">
        <f t="shared" si="0"/>
        <v>0</v>
      </c>
      <c r="I20" s="3">
        <v>20154737</v>
      </c>
      <c r="J20" s="8">
        <v>13180.14</v>
      </c>
      <c r="K20" s="3">
        <v>4529258568</v>
      </c>
      <c r="M20" s="10">
        <f t="shared" si="1"/>
        <v>0.38390501319261217</v>
      </c>
    </row>
    <row r="21" spans="1:13" ht="15" customHeight="1">
      <c r="A21" t="s">
        <v>13</v>
      </c>
      <c r="B21" t="s">
        <v>14</v>
      </c>
      <c r="C21" s="12" t="s">
        <v>34</v>
      </c>
      <c r="D21" s="5">
        <v>2.95</v>
      </c>
      <c r="E21" s="8">
        <v>2.99</v>
      </c>
      <c r="F21" s="8">
        <v>2.94</v>
      </c>
      <c r="G21" s="8">
        <v>2.98</v>
      </c>
      <c r="H21" s="19">
        <f t="shared" si="0"/>
        <v>1.0169491525423662E-2</v>
      </c>
      <c r="I21" s="3">
        <v>16115189</v>
      </c>
      <c r="J21" s="8">
        <v>13497.19</v>
      </c>
      <c r="K21" s="3">
        <v>4529258568</v>
      </c>
      <c r="M21" s="10">
        <f t="shared" si="1"/>
        <v>0.39313984168865435</v>
      </c>
    </row>
    <row r="22" spans="1:13" ht="15" customHeight="1">
      <c r="A22" t="s">
        <v>13</v>
      </c>
      <c r="B22" t="s">
        <v>14</v>
      </c>
      <c r="C22" s="12" t="s">
        <v>35</v>
      </c>
      <c r="D22" s="5">
        <v>3.03</v>
      </c>
      <c r="E22" s="8">
        <v>3.05</v>
      </c>
      <c r="F22" s="8">
        <v>3.01</v>
      </c>
      <c r="G22" s="8">
        <v>3.02</v>
      </c>
      <c r="H22" s="19">
        <f t="shared" si="0"/>
        <v>-3.3003300330032301E-3</v>
      </c>
      <c r="I22" s="3">
        <v>14373894</v>
      </c>
      <c r="J22" s="8">
        <v>13678.36</v>
      </c>
      <c r="K22" s="3">
        <v>4529258568</v>
      </c>
      <c r="M22" s="10">
        <f t="shared" si="1"/>
        <v>0.39841688654353563</v>
      </c>
    </row>
    <row r="23" spans="1:13" ht="15" customHeight="1">
      <c r="A23" t="s">
        <v>13</v>
      </c>
      <c r="B23" t="s">
        <v>14</v>
      </c>
      <c r="C23" s="12" t="s">
        <v>36</v>
      </c>
      <c r="D23" s="5">
        <v>3</v>
      </c>
      <c r="E23" s="8">
        <v>3.03</v>
      </c>
      <c r="F23" s="8">
        <v>2.99</v>
      </c>
      <c r="G23" s="8">
        <v>3.01</v>
      </c>
      <c r="H23" s="19">
        <f t="shared" si="0"/>
        <v>3.3333333333332624E-3</v>
      </c>
      <c r="I23" s="3">
        <v>14273745</v>
      </c>
      <c r="J23" s="8">
        <v>13633.07</v>
      </c>
      <c r="K23" s="3">
        <v>4529258568</v>
      </c>
      <c r="M23" s="10">
        <f t="shared" si="1"/>
        <v>0.3970976253298153</v>
      </c>
    </row>
    <row r="24" spans="1:13" ht="15" customHeight="1">
      <c r="A24" t="s">
        <v>13</v>
      </c>
      <c r="B24" t="s">
        <v>14</v>
      </c>
      <c r="C24" s="12" t="s">
        <v>37</v>
      </c>
      <c r="D24" s="5">
        <v>3.05</v>
      </c>
      <c r="E24" s="8">
        <v>3.09</v>
      </c>
      <c r="F24" s="8">
        <v>3</v>
      </c>
      <c r="G24" s="8">
        <v>3.07</v>
      </c>
      <c r="H24" s="19">
        <f t="shared" si="0"/>
        <v>6.5573770491803339E-3</v>
      </c>
      <c r="I24" s="3">
        <v>21660548</v>
      </c>
      <c r="J24" s="8">
        <v>13904.82</v>
      </c>
      <c r="K24" s="3">
        <v>4529258568</v>
      </c>
      <c r="M24" s="10">
        <f t="shared" si="1"/>
        <v>0.4050131926121372</v>
      </c>
    </row>
    <row r="25" spans="1:13" ht="15" customHeight="1">
      <c r="A25" t="s">
        <v>13</v>
      </c>
      <c r="B25" t="s">
        <v>14</v>
      </c>
      <c r="C25" s="12" t="s">
        <v>38</v>
      </c>
      <c r="D25" s="5">
        <v>3.12</v>
      </c>
      <c r="E25" s="8">
        <v>3.15</v>
      </c>
      <c r="F25" s="8">
        <v>3.08</v>
      </c>
      <c r="G25" s="8">
        <v>3.14</v>
      </c>
      <c r="H25" s="19">
        <f t="shared" si="0"/>
        <v>6.4102564102564161E-3</v>
      </c>
      <c r="I25" s="3">
        <v>18882555</v>
      </c>
      <c r="J25" s="8">
        <v>14221.87</v>
      </c>
      <c r="K25" s="3">
        <v>4529258568</v>
      </c>
      <c r="M25" s="10">
        <f t="shared" si="1"/>
        <v>0.41424802110817943</v>
      </c>
    </row>
    <row r="26" spans="1:13" ht="15" customHeight="1">
      <c r="A26" t="s">
        <v>13</v>
      </c>
      <c r="B26" t="s">
        <v>14</v>
      </c>
      <c r="C26" s="12" t="s">
        <v>39</v>
      </c>
      <c r="D26" s="5">
        <v>3.05</v>
      </c>
      <c r="E26" s="8">
        <v>3.0750000000000002</v>
      </c>
      <c r="F26" s="8">
        <v>2.9950000000000001</v>
      </c>
      <c r="G26" s="8">
        <v>3.02</v>
      </c>
      <c r="H26" s="19">
        <f t="shared" si="0"/>
        <v>-9.8360655737704285E-3</v>
      </c>
      <c r="I26" s="3">
        <v>19896907</v>
      </c>
      <c r="J26" s="8">
        <v>13678.36</v>
      </c>
      <c r="K26" s="3">
        <v>4529258568</v>
      </c>
      <c r="M26" s="10">
        <f t="shared" si="1"/>
        <v>0.39841688654353563</v>
      </c>
    </row>
    <row r="27" spans="1:13" ht="15" customHeight="1">
      <c r="A27" t="s">
        <v>13</v>
      </c>
      <c r="B27" t="s">
        <v>14</v>
      </c>
      <c r="C27" s="12" t="s">
        <v>40</v>
      </c>
      <c r="D27" s="5">
        <v>2.9</v>
      </c>
      <c r="E27" s="8">
        <v>2.9249999999999998</v>
      </c>
      <c r="F27" s="8">
        <v>2.84</v>
      </c>
      <c r="G27" s="8">
        <v>2.84</v>
      </c>
      <c r="H27" s="19">
        <f t="shared" si="0"/>
        <v>-2.0689655172413814E-2</v>
      </c>
      <c r="I27" s="3">
        <v>20345335</v>
      </c>
      <c r="J27" s="8">
        <v>12863.09</v>
      </c>
      <c r="K27" s="3">
        <v>4529258568</v>
      </c>
      <c r="M27" s="10">
        <f t="shared" si="1"/>
        <v>0.37467018469656987</v>
      </c>
    </row>
    <row r="28" spans="1:13" ht="15" customHeight="1">
      <c r="A28" t="s">
        <v>13</v>
      </c>
      <c r="B28" t="s">
        <v>14</v>
      </c>
      <c r="C28" s="12" t="s">
        <v>41</v>
      </c>
      <c r="D28" s="5">
        <v>2.87</v>
      </c>
      <c r="E28" s="8">
        <v>2.93</v>
      </c>
      <c r="F28" s="8">
        <v>2.86</v>
      </c>
      <c r="G28" s="8">
        <v>2.86</v>
      </c>
      <c r="H28" s="19">
        <f t="shared" si="0"/>
        <v>-3.4843205574913694E-3</v>
      </c>
      <c r="I28" s="3">
        <v>17012868</v>
      </c>
      <c r="J28" s="8">
        <v>12953.68</v>
      </c>
      <c r="K28" s="3">
        <v>4529258568</v>
      </c>
      <c r="M28" s="10">
        <f t="shared" si="1"/>
        <v>0.37730870712401055</v>
      </c>
    </row>
    <row r="29" spans="1:13" ht="15" customHeight="1">
      <c r="A29" t="s">
        <v>13</v>
      </c>
      <c r="B29" t="s">
        <v>14</v>
      </c>
      <c r="C29" s="12" t="s">
        <v>42</v>
      </c>
      <c r="D29" s="5">
        <v>2.86</v>
      </c>
      <c r="E29" s="8">
        <v>2.92</v>
      </c>
      <c r="F29" s="8">
        <v>2.84</v>
      </c>
      <c r="G29" s="8">
        <v>2.88</v>
      </c>
      <c r="H29" s="19">
        <f t="shared" si="0"/>
        <v>6.9930069930069999E-3</v>
      </c>
      <c r="I29" s="3">
        <v>23768976</v>
      </c>
      <c r="J29" s="8">
        <v>13044.26</v>
      </c>
      <c r="K29" s="3">
        <v>4529258568</v>
      </c>
      <c r="M29" s="10">
        <f t="shared" si="1"/>
        <v>0.37994722955145116</v>
      </c>
    </row>
    <row r="30" spans="1:13" ht="15" customHeight="1">
      <c r="A30" t="s">
        <v>13</v>
      </c>
      <c r="B30" t="s">
        <v>14</v>
      </c>
      <c r="C30" s="12" t="s">
        <v>43</v>
      </c>
      <c r="D30" s="5">
        <v>2.84</v>
      </c>
      <c r="E30" s="8">
        <v>2.86</v>
      </c>
      <c r="F30" s="8">
        <v>2.79</v>
      </c>
      <c r="G30" s="8">
        <v>2.83</v>
      </c>
      <c r="H30" s="19">
        <f t="shared" si="0"/>
        <v>-3.5211267605633053E-3</v>
      </c>
      <c r="I30" s="3">
        <v>13810471</v>
      </c>
      <c r="J30" s="8">
        <v>12817.8</v>
      </c>
      <c r="K30" s="3">
        <v>4529258568</v>
      </c>
      <c r="M30" s="10">
        <f t="shared" si="1"/>
        <v>0.37335092348284959</v>
      </c>
    </row>
    <row r="31" spans="1:13" ht="15" customHeight="1">
      <c r="A31" t="s">
        <v>13</v>
      </c>
      <c r="B31" t="s">
        <v>14</v>
      </c>
      <c r="C31" s="12" t="s">
        <v>44</v>
      </c>
      <c r="D31" s="5">
        <v>2.85</v>
      </c>
      <c r="E31" s="8">
        <v>2.94</v>
      </c>
      <c r="F31" s="8">
        <v>2.84</v>
      </c>
      <c r="G31" s="8">
        <v>2.94</v>
      </c>
      <c r="H31" s="19">
        <f t="shared" si="0"/>
        <v>3.1578947368421005E-2</v>
      </c>
      <c r="I31" s="3">
        <v>23253359</v>
      </c>
      <c r="J31" s="8">
        <v>13316.02</v>
      </c>
      <c r="K31" s="3">
        <v>4529258568</v>
      </c>
      <c r="M31" s="10">
        <f t="shared" si="1"/>
        <v>0.38786279683377306</v>
      </c>
    </row>
    <row r="32" spans="1:13" ht="15" customHeight="1">
      <c r="A32" t="s">
        <v>13</v>
      </c>
      <c r="B32" t="s">
        <v>14</v>
      </c>
      <c r="C32" s="12" t="s">
        <v>45</v>
      </c>
      <c r="D32" s="5">
        <v>2.94</v>
      </c>
      <c r="E32" s="8">
        <v>2.95</v>
      </c>
      <c r="F32" s="8">
        <v>2.91</v>
      </c>
      <c r="G32" s="8">
        <v>2.93</v>
      </c>
      <c r="H32" s="19">
        <f t="shared" si="0"/>
        <v>-3.4013605442176145E-3</v>
      </c>
      <c r="I32" s="3">
        <v>8648846</v>
      </c>
      <c r="J32" s="8">
        <v>13270.73</v>
      </c>
      <c r="K32" s="3">
        <v>4529258568</v>
      </c>
      <c r="M32" s="10">
        <f t="shared" si="1"/>
        <v>0.38654353562005278</v>
      </c>
    </row>
    <row r="33" spans="1:13" ht="15" customHeight="1">
      <c r="A33" t="s">
        <v>13</v>
      </c>
      <c r="B33" t="s">
        <v>14</v>
      </c>
      <c r="C33" s="12" t="s">
        <v>46</v>
      </c>
      <c r="D33" s="5">
        <v>2.96</v>
      </c>
      <c r="E33" s="8">
        <v>2.9750000000000001</v>
      </c>
      <c r="F33" s="8">
        <v>2.93</v>
      </c>
      <c r="G33" s="8">
        <v>2.96</v>
      </c>
      <c r="H33" s="19">
        <f t="shared" si="0"/>
        <v>0</v>
      </c>
      <c r="I33" s="3">
        <v>10662640</v>
      </c>
      <c r="J33" s="8">
        <v>13406.61</v>
      </c>
      <c r="K33" s="3">
        <v>4529258568</v>
      </c>
      <c r="M33" s="10">
        <f t="shared" si="1"/>
        <v>0.39050131926121373</v>
      </c>
    </row>
    <row r="34" spans="1:13" ht="15" customHeight="1">
      <c r="A34" t="s">
        <v>13</v>
      </c>
      <c r="B34" t="s">
        <v>14</v>
      </c>
      <c r="C34" s="12" t="s">
        <v>47</v>
      </c>
      <c r="D34" s="5">
        <v>2.97</v>
      </c>
      <c r="E34" s="8">
        <v>3</v>
      </c>
      <c r="F34" s="8">
        <v>2.89</v>
      </c>
      <c r="G34" s="8">
        <v>2.91</v>
      </c>
      <c r="H34" s="19">
        <f t="shared" si="0"/>
        <v>-2.0202020202020218E-2</v>
      </c>
      <c r="I34" s="3">
        <v>14400303</v>
      </c>
      <c r="J34" s="8">
        <v>13180.14</v>
      </c>
      <c r="K34" s="3">
        <v>4529258568</v>
      </c>
      <c r="M34" s="10">
        <f t="shared" si="1"/>
        <v>0.38390501319261217</v>
      </c>
    </row>
    <row r="35" spans="1:13" ht="15" customHeight="1">
      <c r="A35" t="s">
        <v>13</v>
      </c>
      <c r="B35" t="s">
        <v>14</v>
      </c>
      <c r="C35" s="12" t="s">
        <v>48</v>
      </c>
      <c r="D35" s="5">
        <v>2.93</v>
      </c>
      <c r="E35" s="8">
        <v>2.95</v>
      </c>
      <c r="F35" s="8">
        <v>2.9</v>
      </c>
      <c r="G35" s="8">
        <v>2.92</v>
      </c>
      <c r="H35" s="19">
        <f t="shared" si="0"/>
        <v>-3.412969283276529E-3</v>
      </c>
      <c r="I35" s="3">
        <v>13069010</v>
      </c>
      <c r="J35" s="8">
        <v>13225.44</v>
      </c>
      <c r="K35" s="3">
        <v>4529258568</v>
      </c>
      <c r="M35" s="10">
        <f t="shared" si="1"/>
        <v>0.38522427440633245</v>
      </c>
    </row>
    <row r="36" spans="1:13" ht="15" customHeight="1">
      <c r="A36" t="s">
        <v>13</v>
      </c>
      <c r="B36" t="s">
        <v>14</v>
      </c>
      <c r="C36" s="12" t="s">
        <v>49</v>
      </c>
      <c r="D36" s="5">
        <v>2.96</v>
      </c>
      <c r="E36" s="8">
        <v>3</v>
      </c>
      <c r="F36" s="8">
        <v>2.94</v>
      </c>
      <c r="G36" s="8">
        <v>2.98</v>
      </c>
      <c r="H36" s="19">
        <f t="shared" si="0"/>
        <v>6.7567567567567632E-3</v>
      </c>
      <c r="I36" s="3">
        <v>20523485</v>
      </c>
      <c r="J36" s="8">
        <v>13497.19</v>
      </c>
      <c r="K36" s="3">
        <v>4529258568</v>
      </c>
      <c r="M36" s="10">
        <f t="shared" si="1"/>
        <v>0.39313984168865435</v>
      </c>
    </row>
    <row r="37" spans="1:13" ht="15" customHeight="1">
      <c r="A37" t="s">
        <v>13</v>
      </c>
      <c r="B37" t="s">
        <v>14</v>
      </c>
      <c r="C37" s="12" t="s">
        <v>50</v>
      </c>
      <c r="D37" s="5">
        <v>2.96</v>
      </c>
      <c r="E37" s="8">
        <v>2.9849999999999999</v>
      </c>
      <c r="F37" s="8">
        <v>2.9249999999999998</v>
      </c>
      <c r="G37" s="8">
        <v>2.96</v>
      </c>
      <c r="H37" s="19">
        <f t="shared" si="0"/>
        <v>0</v>
      </c>
      <c r="I37" s="3">
        <v>9279929</v>
      </c>
      <c r="J37" s="8">
        <v>13406.61</v>
      </c>
      <c r="K37" s="3">
        <v>4529258568</v>
      </c>
      <c r="M37" s="10">
        <f t="shared" si="1"/>
        <v>0.39050131926121373</v>
      </c>
    </row>
    <row r="38" spans="1:13" ht="15" customHeight="1">
      <c r="A38" t="s">
        <v>13</v>
      </c>
      <c r="B38" t="s">
        <v>14</v>
      </c>
      <c r="C38" s="12" t="s">
        <v>51</v>
      </c>
      <c r="D38" s="5">
        <v>3.03</v>
      </c>
      <c r="E38" s="8">
        <v>3.07</v>
      </c>
      <c r="F38" s="8">
        <v>3.01</v>
      </c>
      <c r="G38" s="8">
        <v>3.01</v>
      </c>
      <c r="H38" s="19">
        <f t="shared" si="0"/>
        <v>-6.6006600660066068E-3</v>
      </c>
      <c r="I38" s="3">
        <v>15788370</v>
      </c>
      <c r="J38" s="8">
        <v>13633.07</v>
      </c>
      <c r="K38" s="3">
        <v>4529258568</v>
      </c>
      <c r="M38" s="10">
        <f t="shared" si="1"/>
        <v>0.3970976253298153</v>
      </c>
    </row>
    <row r="39" spans="1:13" ht="15" customHeight="1">
      <c r="A39" t="s">
        <v>13</v>
      </c>
      <c r="B39" t="s">
        <v>14</v>
      </c>
      <c r="C39" s="12" t="s">
        <v>52</v>
      </c>
      <c r="D39" s="5">
        <v>2.95</v>
      </c>
      <c r="E39" s="8">
        <v>3.0150000000000001</v>
      </c>
      <c r="F39" s="8">
        <v>2.94</v>
      </c>
      <c r="G39" s="8">
        <v>3.01</v>
      </c>
      <c r="H39" s="19">
        <f t="shared" si="0"/>
        <v>2.0338983050847324E-2</v>
      </c>
      <c r="I39" s="3">
        <v>15016450</v>
      </c>
      <c r="J39" s="8">
        <v>13633.07</v>
      </c>
      <c r="K39" s="3">
        <v>4529258568</v>
      </c>
      <c r="M39" s="10">
        <f t="shared" si="1"/>
        <v>0.3970976253298153</v>
      </c>
    </row>
    <row r="40" spans="1:13" ht="15" customHeight="1">
      <c r="A40" t="s">
        <v>13</v>
      </c>
      <c r="B40" t="s">
        <v>14</v>
      </c>
      <c r="C40" s="12" t="s">
        <v>53</v>
      </c>
      <c r="D40" s="5">
        <v>3.04</v>
      </c>
      <c r="E40" s="8">
        <v>3.07</v>
      </c>
      <c r="F40" s="8">
        <v>3.01</v>
      </c>
      <c r="G40" s="8">
        <v>3.04</v>
      </c>
      <c r="H40" s="19">
        <f t="shared" si="0"/>
        <v>0</v>
      </c>
      <c r="I40" s="3">
        <v>8807000</v>
      </c>
      <c r="J40" s="8">
        <v>13768.95</v>
      </c>
      <c r="K40" s="3">
        <v>4529258568</v>
      </c>
      <c r="M40" s="10">
        <f t="shared" si="1"/>
        <v>0.40105540897097625</v>
      </c>
    </row>
    <row r="41" spans="1:13" ht="15" customHeight="1">
      <c r="A41" t="s">
        <v>13</v>
      </c>
      <c r="B41" t="s">
        <v>14</v>
      </c>
      <c r="C41" s="12" t="s">
        <v>54</v>
      </c>
      <c r="D41" s="5">
        <v>2.96</v>
      </c>
      <c r="E41" s="8">
        <v>3.0449999999999999</v>
      </c>
      <c r="F41" s="8">
        <v>2.96</v>
      </c>
      <c r="G41" s="8">
        <v>3.03</v>
      </c>
      <c r="H41" s="19">
        <f t="shared" si="0"/>
        <v>2.3648648648648594E-2</v>
      </c>
      <c r="I41" s="3">
        <v>35694427</v>
      </c>
      <c r="J41" s="8">
        <v>13723.65</v>
      </c>
      <c r="K41" s="3">
        <v>4529258568</v>
      </c>
      <c r="M41" s="10">
        <f t="shared" si="1"/>
        <v>0.39973614775725591</v>
      </c>
    </row>
    <row r="42" spans="1:13" ht="15" customHeight="1">
      <c r="A42" t="s">
        <v>13</v>
      </c>
      <c r="B42" t="s">
        <v>14</v>
      </c>
      <c r="C42" s="12" t="s">
        <v>55</v>
      </c>
      <c r="D42" s="5">
        <v>3.04</v>
      </c>
      <c r="E42" s="8">
        <v>3.11</v>
      </c>
      <c r="F42" s="8">
        <v>3.04</v>
      </c>
      <c r="G42" s="8">
        <v>3.09</v>
      </c>
      <c r="H42" s="19">
        <f t="shared" si="0"/>
        <v>1.6447368421052572E-2</v>
      </c>
      <c r="I42" s="3">
        <v>11068964</v>
      </c>
      <c r="J42" s="8">
        <v>13995.41</v>
      </c>
      <c r="K42" s="3">
        <v>4529258568</v>
      </c>
      <c r="M42" s="10">
        <f t="shared" si="1"/>
        <v>0.40765171503957781</v>
      </c>
    </row>
    <row r="43" spans="1:13" ht="15" customHeight="1">
      <c r="A43" t="s">
        <v>13</v>
      </c>
      <c r="B43" t="s">
        <v>14</v>
      </c>
      <c r="C43" s="12" t="s">
        <v>56</v>
      </c>
      <c r="D43" s="5">
        <v>3.11</v>
      </c>
      <c r="E43" s="8">
        <v>3.125</v>
      </c>
      <c r="F43" s="8">
        <v>3.09</v>
      </c>
      <c r="G43" s="8">
        <v>3.1</v>
      </c>
      <c r="H43" s="19">
        <f t="shared" si="0"/>
        <v>-3.2154340836012176E-3</v>
      </c>
      <c r="I43" s="3">
        <v>6127008</v>
      </c>
      <c r="J43" s="8">
        <v>14040.7</v>
      </c>
      <c r="K43" s="3">
        <v>4529258568</v>
      </c>
      <c r="M43" s="10">
        <f t="shared" si="1"/>
        <v>0.40897097625329815</v>
      </c>
    </row>
    <row r="44" spans="1:13" ht="15" customHeight="1">
      <c r="A44" t="s">
        <v>13</v>
      </c>
      <c r="B44" t="s">
        <v>14</v>
      </c>
      <c r="C44" s="12" t="s">
        <v>57</v>
      </c>
      <c r="D44" s="5">
        <v>3.08</v>
      </c>
      <c r="E44" s="8">
        <v>3.1</v>
      </c>
      <c r="F44" s="8">
        <v>3.0550000000000002</v>
      </c>
      <c r="G44" s="8">
        <v>3.08</v>
      </c>
      <c r="H44" s="19">
        <f t="shared" si="0"/>
        <v>0</v>
      </c>
      <c r="I44" s="3">
        <v>8290015</v>
      </c>
      <c r="J44" s="8">
        <v>13950.12</v>
      </c>
      <c r="K44" s="3">
        <v>4529258568</v>
      </c>
      <c r="M44" s="10">
        <f t="shared" si="1"/>
        <v>0.40633245382585753</v>
      </c>
    </row>
    <row r="45" spans="1:13" ht="15" customHeight="1">
      <c r="A45" t="s">
        <v>13</v>
      </c>
      <c r="B45" t="s">
        <v>14</v>
      </c>
      <c r="C45" s="12" t="s">
        <v>58</v>
      </c>
      <c r="D45" s="5">
        <v>3.02</v>
      </c>
      <c r="E45" s="8">
        <v>3.11</v>
      </c>
      <c r="F45" s="8">
        <v>3.02</v>
      </c>
      <c r="G45" s="8">
        <v>3.1</v>
      </c>
      <c r="H45" s="19">
        <f t="shared" si="0"/>
        <v>2.6490066225165587E-2</v>
      </c>
      <c r="I45" s="3">
        <v>14884764</v>
      </c>
      <c r="J45" s="8">
        <v>14040.7</v>
      </c>
      <c r="K45" s="3">
        <v>4529258568</v>
      </c>
      <c r="M45" s="10">
        <f t="shared" si="1"/>
        <v>0.40897097625329815</v>
      </c>
    </row>
    <row r="46" spans="1:13" ht="15" customHeight="1">
      <c r="A46" t="s">
        <v>13</v>
      </c>
      <c r="B46" t="s">
        <v>14</v>
      </c>
      <c r="C46" s="12" t="s">
        <v>59</v>
      </c>
      <c r="D46" s="5">
        <v>3.09</v>
      </c>
      <c r="E46" s="8">
        <v>3.16</v>
      </c>
      <c r="F46" s="8">
        <v>3.09</v>
      </c>
      <c r="G46" s="8">
        <v>3.14</v>
      </c>
      <c r="H46" s="19">
        <f t="shared" si="0"/>
        <v>1.6181229773462869E-2</v>
      </c>
      <c r="I46" s="3">
        <v>27310472</v>
      </c>
      <c r="J46" s="8">
        <v>14221.87</v>
      </c>
      <c r="K46" s="3">
        <v>4529258568</v>
      </c>
      <c r="M46" s="10">
        <f t="shared" si="1"/>
        <v>0.41424802110817943</v>
      </c>
    </row>
    <row r="47" spans="1:13" ht="15" customHeight="1">
      <c r="A47" t="s">
        <v>13</v>
      </c>
      <c r="B47" t="s">
        <v>14</v>
      </c>
      <c r="C47" s="12" t="s">
        <v>60</v>
      </c>
      <c r="D47" s="5">
        <v>3.06</v>
      </c>
      <c r="E47" s="8">
        <v>3.12</v>
      </c>
      <c r="F47" s="8">
        <v>3.06</v>
      </c>
      <c r="G47" s="8">
        <v>3.1</v>
      </c>
      <c r="H47" s="19">
        <f t="shared" si="0"/>
        <v>1.3071895424836612E-2</v>
      </c>
      <c r="I47" s="3">
        <v>11343885</v>
      </c>
      <c r="J47" s="8">
        <v>14040.7</v>
      </c>
      <c r="K47" s="3">
        <v>4529258568</v>
      </c>
      <c r="M47" s="10">
        <f t="shared" si="1"/>
        <v>0.40897097625329815</v>
      </c>
    </row>
    <row r="48" spans="1:13" ht="15" customHeight="1">
      <c r="A48" t="s">
        <v>13</v>
      </c>
      <c r="B48" t="s">
        <v>14</v>
      </c>
      <c r="C48" s="12" t="s">
        <v>61</v>
      </c>
      <c r="D48" s="5">
        <v>3.1</v>
      </c>
      <c r="E48" s="8">
        <v>3.17</v>
      </c>
      <c r="F48" s="8">
        <v>3.08</v>
      </c>
      <c r="G48" s="8">
        <v>3.1</v>
      </c>
      <c r="H48" s="19">
        <f t="shared" si="0"/>
        <v>0</v>
      </c>
      <c r="I48" s="3">
        <v>15429700</v>
      </c>
      <c r="J48" s="8">
        <v>14040.7</v>
      </c>
      <c r="K48" s="3">
        <v>4529258568</v>
      </c>
      <c r="M48" s="10">
        <f t="shared" si="1"/>
        <v>0.40897097625329815</v>
      </c>
    </row>
    <row r="49" spans="1:13" ht="15" customHeight="1">
      <c r="A49" t="s">
        <v>13</v>
      </c>
      <c r="B49" t="s">
        <v>14</v>
      </c>
      <c r="C49" s="12" t="s">
        <v>62</v>
      </c>
      <c r="D49" s="5">
        <v>3</v>
      </c>
      <c r="E49" s="8">
        <v>3.0150000000000001</v>
      </c>
      <c r="F49" s="8">
        <v>2.98</v>
      </c>
      <c r="G49" s="8">
        <v>3</v>
      </c>
      <c r="H49" s="19">
        <f t="shared" si="0"/>
        <v>0</v>
      </c>
      <c r="I49" s="3">
        <v>19186593</v>
      </c>
      <c r="J49" s="8">
        <v>13587.78</v>
      </c>
      <c r="K49" s="3">
        <v>4529258568</v>
      </c>
      <c r="M49" s="10">
        <f t="shared" si="1"/>
        <v>0.39577836411609496</v>
      </c>
    </row>
    <row r="50" spans="1:13" ht="15" customHeight="1">
      <c r="A50" t="s">
        <v>13</v>
      </c>
      <c r="B50" t="s">
        <v>14</v>
      </c>
      <c r="C50" s="12" t="s">
        <v>63</v>
      </c>
      <c r="D50" s="5">
        <v>3</v>
      </c>
      <c r="E50" s="8">
        <v>3.05</v>
      </c>
      <c r="F50" s="8">
        <v>2.9950000000000001</v>
      </c>
      <c r="G50" s="8">
        <v>3.04</v>
      </c>
      <c r="H50" s="19">
        <f t="shared" si="0"/>
        <v>1.3333333333333345E-2</v>
      </c>
      <c r="I50" s="3">
        <v>15023048</v>
      </c>
      <c r="J50" s="8">
        <v>13768.95</v>
      </c>
      <c r="K50" s="3">
        <v>4529258568</v>
      </c>
      <c r="M50" s="10">
        <f t="shared" si="1"/>
        <v>0.40105540897097625</v>
      </c>
    </row>
    <row r="51" spans="1:13" ht="15" customHeight="1">
      <c r="A51" t="s">
        <v>13</v>
      </c>
      <c r="B51" t="s">
        <v>14</v>
      </c>
      <c r="C51" s="12" t="s">
        <v>64</v>
      </c>
      <c r="D51" s="5">
        <v>3.03</v>
      </c>
      <c r="E51" s="8">
        <v>3.03</v>
      </c>
      <c r="F51" s="8">
        <v>2.95</v>
      </c>
      <c r="G51" s="8">
        <v>2.98</v>
      </c>
      <c r="H51" s="19">
        <f t="shared" si="0"/>
        <v>-1.6501650165016445E-2</v>
      </c>
      <c r="I51" s="3">
        <v>17896336</v>
      </c>
      <c r="J51" s="8">
        <v>13497.19</v>
      </c>
      <c r="K51" s="3">
        <v>4529258568</v>
      </c>
      <c r="M51" s="10">
        <f t="shared" si="1"/>
        <v>0.39313984168865435</v>
      </c>
    </row>
    <row r="52" spans="1:13" ht="15" customHeight="1">
      <c r="A52" t="s">
        <v>13</v>
      </c>
      <c r="B52" t="s">
        <v>14</v>
      </c>
      <c r="C52" s="12" t="s">
        <v>65</v>
      </c>
      <c r="D52" s="5">
        <v>2.92</v>
      </c>
      <c r="E52" s="8">
        <v>2.9950000000000001</v>
      </c>
      <c r="F52" s="8">
        <v>2.91</v>
      </c>
      <c r="G52" s="8">
        <v>2.97</v>
      </c>
      <c r="H52" s="19">
        <f t="shared" si="0"/>
        <v>1.7123287671232969E-2</v>
      </c>
      <c r="I52" s="3">
        <v>14175175</v>
      </c>
      <c r="J52" s="8">
        <v>13451.9</v>
      </c>
      <c r="K52" s="3">
        <v>4529258568</v>
      </c>
      <c r="M52" s="10">
        <f t="shared" si="1"/>
        <v>0.39182058047493407</v>
      </c>
    </row>
    <row r="53" spans="1:13" ht="15" customHeight="1">
      <c r="A53" t="s">
        <v>13</v>
      </c>
      <c r="B53" t="s">
        <v>14</v>
      </c>
      <c r="C53" s="12" t="s">
        <v>66</v>
      </c>
      <c r="D53" s="5">
        <v>3.01</v>
      </c>
      <c r="E53" s="8">
        <v>3.03</v>
      </c>
      <c r="F53" s="8">
        <v>2.97</v>
      </c>
      <c r="G53" s="8">
        <v>2.99</v>
      </c>
      <c r="H53" s="19">
        <f t="shared" si="0"/>
        <v>-6.6445182724251079E-3</v>
      </c>
      <c r="I53" s="3">
        <v>15928234</v>
      </c>
      <c r="J53" s="8">
        <v>13542.48</v>
      </c>
      <c r="K53" s="3">
        <v>4529258568</v>
      </c>
      <c r="M53" s="10">
        <f t="shared" si="1"/>
        <v>0.39445910290237468</v>
      </c>
    </row>
    <row r="54" spans="1:13" ht="15" customHeight="1">
      <c r="A54" t="s">
        <v>13</v>
      </c>
      <c r="B54" t="s">
        <v>14</v>
      </c>
      <c r="C54" s="12" t="s">
        <v>67</v>
      </c>
      <c r="D54" s="5">
        <v>2.96</v>
      </c>
      <c r="E54" s="8">
        <v>3.03</v>
      </c>
      <c r="F54" s="8">
        <v>2.95</v>
      </c>
      <c r="G54" s="8">
        <v>3.01</v>
      </c>
      <c r="H54" s="19">
        <f t="shared" si="0"/>
        <v>1.689189189189183E-2</v>
      </c>
      <c r="I54" s="3">
        <v>18691723</v>
      </c>
      <c r="J54" s="8">
        <v>13633.07</v>
      </c>
      <c r="K54" s="3">
        <v>4529258568</v>
      </c>
      <c r="M54" s="10">
        <f t="shared" si="1"/>
        <v>0.3970976253298153</v>
      </c>
    </row>
    <row r="55" spans="1:13" ht="15" customHeight="1">
      <c r="A55" t="s">
        <v>13</v>
      </c>
      <c r="B55" t="s">
        <v>14</v>
      </c>
      <c r="C55" s="12" t="s">
        <v>68</v>
      </c>
      <c r="D55" s="5">
        <v>3.03</v>
      </c>
      <c r="E55" s="8">
        <v>3.11</v>
      </c>
      <c r="F55" s="8">
        <v>3.01</v>
      </c>
      <c r="G55" s="8">
        <v>3.08</v>
      </c>
      <c r="H55" s="19">
        <f t="shared" si="0"/>
        <v>1.650165016501659E-2</v>
      </c>
      <c r="I55" s="3">
        <v>21797512</v>
      </c>
      <c r="J55" s="8">
        <v>13950.12</v>
      </c>
      <c r="K55" s="3">
        <v>4529258568</v>
      </c>
      <c r="M55" s="10">
        <f t="shared" si="1"/>
        <v>0.40633245382585753</v>
      </c>
    </row>
    <row r="56" spans="1:13" ht="15" customHeight="1">
      <c r="A56" t="s">
        <v>13</v>
      </c>
      <c r="B56" t="s">
        <v>14</v>
      </c>
      <c r="C56" s="12" t="s">
        <v>69</v>
      </c>
      <c r="D56" s="5">
        <v>3.18</v>
      </c>
      <c r="E56" s="8">
        <v>3.21</v>
      </c>
      <c r="F56" s="8">
        <v>3.16</v>
      </c>
      <c r="G56" s="8">
        <v>3.19</v>
      </c>
      <c r="H56" s="19">
        <f t="shared" si="0"/>
        <v>3.1446540880502474E-3</v>
      </c>
      <c r="I56" s="3">
        <v>18380139</v>
      </c>
      <c r="J56" s="8">
        <v>14448.33</v>
      </c>
      <c r="K56" s="3">
        <v>4529258568</v>
      </c>
      <c r="M56" s="10">
        <f t="shared" si="1"/>
        <v>0.420844327176781</v>
      </c>
    </row>
    <row r="57" spans="1:13" ht="15" customHeight="1">
      <c r="A57" t="s">
        <v>13</v>
      </c>
      <c r="B57" t="s">
        <v>14</v>
      </c>
      <c r="C57" s="12" t="s">
        <v>70</v>
      </c>
      <c r="D57" s="5">
        <v>3.21</v>
      </c>
      <c r="E57" s="8">
        <v>3.22</v>
      </c>
      <c r="F57" s="8">
        <v>3.145</v>
      </c>
      <c r="G57" s="8">
        <v>3.17</v>
      </c>
      <c r="H57" s="19">
        <f t="shared" si="0"/>
        <v>-1.2461059190031164E-2</v>
      </c>
      <c r="I57" s="3">
        <v>13693766</v>
      </c>
      <c r="J57" s="8">
        <v>14357.75</v>
      </c>
      <c r="K57" s="3">
        <v>4529258568</v>
      </c>
      <c r="M57" s="10">
        <f t="shared" si="1"/>
        <v>0.41820580474934038</v>
      </c>
    </row>
    <row r="58" spans="1:13" ht="15" customHeight="1">
      <c r="A58" t="s">
        <v>13</v>
      </c>
      <c r="B58" t="s">
        <v>14</v>
      </c>
      <c r="C58" s="12" t="s">
        <v>71</v>
      </c>
      <c r="D58" s="5">
        <v>3.22</v>
      </c>
      <c r="E58" s="8">
        <v>3.25</v>
      </c>
      <c r="F58" s="8">
        <v>3.18</v>
      </c>
      <c r="G58" s="8">
        <v>3.23</v>
      </c>
      <c r="H58" s="19">
        <f t="shared" si="0"/>
        <v>3.1055900621117347E-3</v>
      </c>
      <c r="I58" s="3">
        <v>14476326</v>
      </c>
      <c r="J58" s="8">
        <v>14629.51</v>
      </c>
      <c r="K58" s="3">
        <v>4529258568</v>
      </c>
      <c r="M58" s="10">
        <f t="shared" si="1"/>
        <v>0.42612137203166228</v>
      </c>
    </row>
    <row r="59" spans="1:13" ht="15" customHeight="1">
      <c r="A59" t="s">
        <v>13</v>
      </c>
      <c r="B59" t="s">
        <v>14</v>
      </c>
      <c r="C59" s="12" t="s">
        <v>72</v>
      </c>
      <c r="D59" s="5">
        <v>3.23</v>
      </c>
      <c r="E59" s="8">
        <v>3.2349999999999999</v>
      </c>
      <c r="F59" s="8">
        <v>3.165</v>
      </c>
      <c r="G59" s="8">
        <v>3.2</v>
      </c>
      <c r="H59" s="19">
        <f t="shared" si="0"/>
        <v>-9.2879256965943662E-3</v>
      </c>
      <c r="I59" s="3">
        <v>11530975</v>
      </c>
      <c r="J59" s="8">
        <v>14493.63</v>
      </c>
      <c r="K59" s="3">
        <v>4529258568</v>
      </c>
      <c r="M59" s="10">
        <f t="shared" si="1"/>
        <v>0.42216358839050133</v>
      </c>
    </row>
    <row r="60" spans="1:13" ht="15" customHeight="1">
      <c r="A60" t="s">
        <v>13</v>
      </c>
      <c r="B60" t="s">
        <v>14</v>
      </c>
      <c r="C60" s="12" t="s">
        <v>73</v>
      </c>
      <c r="D60" s="5">
        <v>3.17</v>
      </c>
      <c r="E60" s="8">
        <v>3.23</v>
      </c>
      <c r="F60" s="8">
        <v>3.13</v>
      </c>
      <c r="G60" s="8">
        <v>3.2</v>
      </c>
      <c r="H60" s="19">
        <f t="shared" si="0"/>
        <v>9.4637223974764189E-3</v>
      </c>
      <c r="I60" s="3">
        <v>15823474</v>
      </c>
      <c r="J60" s="8">
        <v>14493.63</v>
      </c>
      <c r="K60" s="3">
        <v>4529258568</v>
      </c>
      <c r="M60" s="10">
        <f t="shared" si="1"/>
        <v>0.42216358839050133</v>
      </c>
    </row>
    <row r="61" spans="1:13" ht="15" customHeight="1">
      <c r="A61" t="s">
        <v>13</v>
      </c>
      <c r="B61" t="s">
        <v>14</v>
      </c>
      <c r="C61" s="12" t="s">
        <v>74</v>
      </c>
      <c r="D61" s="5">
        <v>3.21</v>
      </c>
      <c r="E61" s="8">
        <v>3.26</v>
      </c>
      <c r="F61" s="8">
        <v>3.19</v>
      </c>
      <c r="G61" s="8">
        <v>3.2</v>
      </c>
      <c r="H61" s="19">
        <f>(G61-D61)/D61</f>
        <v>-3.1152647975077217E-3</v>
      </c>
      <c r="I61" s="3">
        <v>23310385</v>
      </c>
      <c r="J61" s="8">
        <v>14493.63</v>
      </c>
      <c r="K61" s="3">
        <v>4529258568</v>
      </c>
      <c r="M61" s="10">
        <f t="shared" si="1"/>
        <v>0.42216358839050133</v>
      </c>
    </row>
    <row r="62" spans="1:13" ht="15" customHeight="1">
      <c r="A62" t="s">
        <v>13</v>
      </c>
      <c r="B62" t="s">
        <v>14</v>
      </c>
      <c r="C62" s="12" t="s">
        <v>75</v>
      </c>
      <c r="D62" s="5">
        <v>3.17</v>
      </c>
      <c r="E62" s="8">
        <v>3.24</v>
      </c>
      <c r="F62" s="8">
        <v>3.16</v>
      </c>
      <c r="G62" s="8">
        <v>3.2</v>
      </c>
      <c r="H62" s="19">
        <f>(G62-D62)/D62</f>
        <v>9.4637223974764189E-3</v>
      </c>
      <c r="I62" s="3">
        <v>9780018</v>
      </c>
      <c r="J62" s="8">
        <v>14493.63</v>
      </c>
      <c r="K62" s="3">
        <v>4529258568</v>
      </c>
      <c r="M62" s="10">
        <f t="shared" si="1"/>
        <v>0.42216358839050133</v>
      </c>
    </row>
    <row r="63" spans="1:13" ht="15" customHeight="1">
      <c r="A63" t="s">
        <v>13</v>
      </c>
      <c r="B63" t="s">
        <v>14</v>
      </c>
      <c r="C63" s="12" t="s">
        <v>76</v>
      </c>
      <c r="D63" s="5">
        <v>3.24</v>
      </c>
      <c r="E63" s="8">
        <v>3.35</v>
      </c>
      <c r="F63" s="8">
        <v>3.2250000000000001</v>
      </c>
      <c r="G63" s="8">
        <v>3.33</v>
      </c>
      <c r="H63" s="19">
        <f t="shared" ref="H63:H126" si="2">(G63-D63)/D63</f>
        <v>2.7777777777777731E-2</v>
      </c>
      <c r="I63" s="3">
        <v>17248126</v>
      </c>
      <c r="J63" s="8">
        <v>15082.43</v>
      </c>
      <c r="K63" s="3">
        <v>4529258568</v>
      </c>
      <c r="M63" s="10">
        <f t="shared" si="1"/>
        <v>0.43931398416886547</v>
      </c>
    </row>
    <row r="64" spans="1:13" ht="15" customHeight="1">
      <c r="A64" t="s">
        <v>13</v>
      </c>
      <c r="B64" t="s">
        <v>14</v>
      </c>
      <c r="C64" s="12" t="s">
        <v>77</v>
      </c>
      <c r="D64" s="5">
        <v>3.4</v>
      </c>
      <c r="E64" s="8">
        <v>3.5</v>
      </c>
      <c r="F64" s="8">
        <v>3.4</v>
      </c>
      <c r="G64" s="8">
        <v>3.43</v>
      </c>
      <c r="H64" s="19">
        <f t="shared" si="2"/>
        <v>8.8235294117647786E-3</v>
      </c>
      <c r="I64" s="3">
        <v>22390742</v>
      </c>
      <c r="J64" s="8">
        <v>15535.36</v>
      </c>
      <c r="K64" s="3">
        <v>4529258568</v>
      </c>
      <c r="M64" s="10">
        <f t="shared" si="1"/>
        <v>0.4525065963060686</v>
      </c>
    </row>
    <row r="65" spans="1:13" ht="15" customHeight="1">
      <c r="A65" t="s">
        <v>13</v>
      </c>
      <c r="B65" t="s">
        <v>14</v>
      </c>
      <c r="C65" s="12" t="s">
        <v>78</v>
      </c>
      <c r="D65" s="5">
        <v>3.43</v>
      </c>
      <c r="E65" s="8">
        <v>3.54</v>
      </c>
      <c r="F65" s="8">
        <v>3.42</v>
      </c>
      <c r="G65" s="8">
        <v>3.53</v>
      </c>
      <c r="H65" s="19">
        <f t="shared" si="2"/>
        <v>2.9154518950437212E-2</v>
      </c>
      <c r="I65" s="3">
        <v>19880943</v>
      </c>
      <c r="J65" s="8">
        <v>15988.28</v>
      </c>
      <c r="K65" s="3">
        <v>4529258568</v>
      </c>
      <c r="M65" s="10">
        <f t="shared" si="1"/>
        <v>0.46569920844327173</v>
      </c>
    </row>
    <row r="66" spans="1:13" ht="15" customHeight="1">
      <c r="A66" t="s">
        <v>13</v>
      </c>
      <c r="B66" t="s">
        <v>14</v>
      </c>
      <c r="C66" s="12" t="s">
        <v>79</v>
      </c>
      <c r="D66" s="5">
        <v>3.65</v>
      </c>
      <c r="E66" s="8">
        <v>3.72</v>
      </c>
      <c r="F66" s="8">
        <v>3.61</v>
      </c>
      <c r="G66" s="8">
        <v>3.7</v>
      </c>
      <c r="H66" s="19">
        <f t="shared" si="2"/>
        <v>1.3698630136986375E-2</v>
      </c>
      <c r="I66" s="3">
        <v>27845325</v>
      </c>
      <c r="J66" s="8">
        <v>16758.259999999998</v>
      </c>
      <c r="K66" s="3">
        <v>4529258568</v>
      </c>
      <c r="M66" s="10">
        <f t="shared" si="1"/>
        <v>0.48812664907651715</v>
      </c>
    </row>
    <row r="67" spans="1:13" ht="15" customHeight="1">
      <c r="A67" t="s">
        <v>13</v>
      </c>
      <c r="B67" t="s">
        <v>14</v>
      </c>
      <c r="C67" s="12" t="s">
        <v>80</v>
      </c>
      <c r="D67" s="5">
        <v>3.73</v>
      </c>
      <c r="E67" s="8">
        <v>3.81</v>
      </c>
      <c r="F67" s="8">
        <v>3.73</v>
      </c>
      <c r="G67" s="8">
        <v>3.77</v>
      </c>
      <c r="H67" s="19">
        <f t="shared" si="2"/>
        <v>1.0723860589812341E-2</v>
      </c>
      <c r="I67" s="3">
        <v>24777393</v>
      </c>
      <c r="J67" s="8">
        <v>17075.3</v>
      </c>
      <c r="K67" s="3">
        <v>4529258568</v>
      </c>
      <c r="M67" s="10">
        <f t="shared" ref="M67:M130" si="3">G67/7.58</f>
        <v>0.49736147757255939</v>
      </c>
    </row>
    <row r="68" spans="1:13" ht="15" customHeight="1">
      <c r="A68" t="s">
        <v>13</v>
      </c>
      <c r="B68" t="s">
        <v>14</v>
      </c>
      <c r="C68" s="12" t="s">
        <v>81</v>
      </c>
      <c r="D68" s="5">
        <v>3.69</v>
      </c>
      <c r="E68" s="8">
        <v>3.72</v>
      </c>
      <c r="F68" s="8">
        <v>3.64</v>
      </c>
      <c r="G68" s="8">
        <v>3.67</v>
      </c>
      <c r="H68" s="19">
        <f t="shared" si="2"/>
        <v>-5.4200542005420106E-3</v>
      </c>
      <c r="I68" s="3">
        <v>15941549</v>
      </c>
      <c r="J68" s="8">
        <v>16622.38</v>
      </c>
      <c r="K68" s="3">
        <v>4529258568</v>
      </c>
      <c r="M68" s="10">
        <f t="shared" si="3"/>
        <v>0.4841688654353562</v>
      </c>
    </row>
    <row r="69" spans="1:13" ht="15" customHeight="1">
      <c r="A69" t="s">
        <v>13</v>
      </c>
      <c r="B69" t="s">
        <v>14</v>
      </c>
      <c r="C69" s="12" t="s">
        <v>82</v>
      </c>
      <c r="D69" s="5">
        <v>3.69</v>
      </c>
      <c r="E69" s="8">
        <v>3.75</v>
      </c>
      <c r="F69" s="8">
        <v>3.6549999999999998</v>
      </c>
      <c r="G69" s="8">
        <v>3.73</v>
      </c>
      <c r="H69" s="19">
        <f t="shared" si="2"/>
        <v>1.0840108401084021E-2</v>
      </c>
      <c r="I69" s="3">
        <v>12086688</v>
      </c>
      <c r="J69" s="8">
        <v>16894.13</v>
      </c>
      <c r="K69" s="3">
        <v>4529258568</v>
      </c>
      <c r="M69" s="10">
        <f t="shared" si="3"/>
        <v>0.4920844327176781</v>
      </c>
    </row>
    <row r="70" spans="1:13" ht="15" customHeight="1">
      <c r="A70" t="s">
        <v>13</v>
      </c>
      <c r="B70" t="s">
        <v>14</v>
      </c>
      <c r="C70" s="12" t="s">
        <v>83</v>
      </c>
      <c r="D70" s="5">
        <v>3.75</v>
      </c>
      <c r="E70" s="8">
        <v>3.75</v>
      </c>
      <c r="F70" s="8">
        <v>3.69</v>
      </c>
      <c r="G70" s="8">
        <v>3.74</v>
      </c>
      <c r="H70" s="19">
        <f t="shared" si="2"/>
        <v>-2.6666666666666098E-3</v>
      </c>
      <c r="I70" s="3">
        <v>11816762</v>
      </c>
      <c r="J70" s="8">
        <v>16936</v>
      </c>
      <c r="K70" s="3">
        <v>4528343579</v>
      </c>
      <c r="M70" s="10">
        <f t="shared" si="3"/>
        <v>0.49340369393139843</v>
      </c>
    </row>
    <row r="71" spans="1:13" ht="15" customHeight="1">
      <c r="A71" t="s">
        <v>13</v>
      </c>
      <c r="B71" t="s">
        <v>14</v>
      </c>
      <c r="C71" s="12" t="s">
        <v>84</v>
      </c>
      <c r="D71" s="5">
        <v>3.64</v>
      </c>
      <c r="E71" s="8">
        <v>3.7</v>
      </c>
      <c r="F71" s="8">
        <v>3.63</v>
      </c>
      <c r="G71" s="8">
        <v>3.68</v>
      </c>
      <c r="H71" s="19">
        <f t="shared" si="2"/>
        <v>1.0989010989010999E-2</v>
      </c>
      <c r="I71" s="3">
        <v>12653259</v>
      </c>
      <c r="J71" s="8">
        <v>16664.3</v>
      </c>
      <c r="K71" s="3">
        <v>4528343579</v>
      </c>
      <c r="M71" s="10">
        <f t="shared" si="3"/>
        <v>0.48548812664907653</v>
      </c>
    </row>
    <row r="72" spans="1:13" ht="15" customHeight="1">
      <c r="A72" t="s">
        <v>13</v>
      </c>
      <c r="B72" t="s">
        <v>14</v>
      </c>
      <c r="C72" s="12" t="s">
        <v>85</v>
      </c>
      <c r="D72" s="5">
        <v>3.68</v>
      </c>
      <c r="E72" s="8">
        <v>3.72</v>
      </c>
      <c r="F72" s="8">
        <v>3.66</v>
      </c>
      <c r="G72" s="8">
        <v>3.7</v>
      </c>
      <c r="H72" s="19">
        <f t="shared" si="2"/>
        <v>5.4347826086956564E-3</v>
      </c>
      <c r="I72" s="3">
        <v>7659865</v>
      </c>
      <c r="J72" s="8">
        <v>16754.87</v>
      </c>
      <c r="K72" s="3">
        <v>4528343579</v>
      </c>
      <c r="M72" s="10">
        <f t="shared" si="3"/>
        <v>0.48812664907651715</v>
      </c>
    </row>
    <row r="73" spans="1:13" ht="15" customHeight="1">
      <c r="A73" t="s">
        <v>13</v>
      </c>
      <c r="B73" t="s">
        <v>14</v>
      </c>
      <c r="C73" s="12" t="s">
        <v>86</v>
      </c>
      <c r="D73" s="5">
        <v>3.66</v>
      </c>
      <c r="E73" s="8">
        <v>3.7650000000000001</v>
      </c>
      <c r="F73" s="8">
        <v>3.55</v>
      </c>
      <c r="G73" s="8">
        <v>3.6</v>
      </c>
      <c r="H73" s="19">
        <f t="shared" si="2"/>
        <v>-1.6393442622950834E-2</v>
      </c>
      <c r="I73" s="3">
        <v>21852477</v>
      </c>
      <c r="J73" s="8">
        <v>16302.04</v>
      </c>
      <c r="K73" s="3">
        <v>4528343579</v>
      </c>
      <c r="M73" s="10">
        <f t="shared" si="3"/>
        <v>0.47493403693931396</v>
      </c>
    </row>
    <row r="74" spans="1:13" ht="15" customHeight="1">
      <c r="A74" t="s">
        <v>13</v>
      </c>
      <c r="B74" t="s">
        <v>14</v>
      </c>
      <c r="C74" s="12" t="s">
        <v>87</v>
      </c>
      <c r="D74" s="5">
        <v>3.51</v>
      </c>
      <c r="E74" s="8">
        <v>3.58</v>
      </c>
      <c r="F74" s="8">
        <v>3.4950000000000001</v>
      </c>
      <c r="G74" s="8">
        <v>3.53</v>
      </c>
      <c r="H74" s="19">
        <f t="shared" si="2"/>
        <v>5.6980056980057035E-3</v>
      </c>
      <c r="I74" s="3">
        <v>15112302</v>
      </c>
      <c r="J74" s="8">
        <v>15985.05</v>
      </c>
      <c r="K74" s="3">
        <v>4528343579</v>
      </c>
      <c r="M74" s="10">
        <f t="shared" si="3"/>
        <v>0.46569920844327173</v>
      </c>
    </row>
    <row r="75" spans="1:13" ht="15" customHeight="1">
      <c r="A75" t="s">
        <v>13</v>
      </c>
      <c r="B75" t="s">
        <v>14</v>
      </c>
      <c r="C75" s="12" t="s">
        <v>88</v>
      </c>
      <c r="D75" s="5">
        <v>3.58</v>
      </c>
      <c r="E75" s="8">
        <v>3.6150000000000002</v>
      </c>
      <c r="F75" s="8">
        <v>3.5449999999999999</v>
      </c>
      <c r="G75" s="8">
        <v>3.61</v>
      </c>
      <c r="H75" s="19">
        <f t="shared" si="2"/>
        <v>8.3798882681563706E-3</v>
      </c>
      <c r="I75" s="3">
        <v>11678922</v>
      </c>
      <c r="J75" s="8">
        <v>16347.32</v>
      </c>
      <c r="K75" s="3">
        <v>4528343579</v>
      </c>
      <c r="M75" s="10">
        <f t="shared" si="3"/>
        <v>0.4762532981530343</v>
      </c>
    </row>
    <row r="76" spans="1:13" ht="15" customHeight="1">
      <c r="A76" t="s">
        <v>13</v>
      </c>
      <c r="B76" t="s">
        <v>14</v>
      </c>
      <c r="C76" s="12" t="s">
        <v>89</v>
      </c>
      <c r="D76" s="5">
        <v>3.59</v>
      </c>
      <c r="E76" s="8">
        <v>3.6150000000000002</v>
      </c>
      <c r="F76" s="8">
        <v>3.5750000000000002</v>
      </c>
      <c r="G76" s="8">
        <v>3.6</v>
      </c>
      <c r="H76" s="19">
        <f t="shared" si="2"/>
        <v>2.7855153203343265E-3</v>
      </c>
      <c r="I76" s="3">
        <v>8008597</v>
      </c>
      <c r="J76" s="8">
        <v>16302.04</v>
      </c>
      <c r="K76" s="3">
        <v>4528343579</v>
      </c>
      <c r="M76" s="10">
        <f t="shared" si="3"/>
        <v>0.47493403693931396</v>
      </c>
    </row>
    <row r="77" spans="1:13" ht="15" customHeight="1">
      <c r="A77" t="s">
        <v>13</v>
      </c>
      <c r="B77" t="s">
        <v>14</v>
      </c>
      <c r="C77" s="12" t="s">
        <v>90</v>
      </c>
      <c r="D77" s="5">
        <v>3.66</v>
      </c>
      <c r="E77" s="8">
        <v>3.7850000000000001</v>
      </c>
      <c r="F77" s="8">
        <v>3.61</v>
      </c>
      <c r="G77" s="8">
        <v>3.73</v>
      </c>
      <c r="H77" s="19">
        <f t="shared" si="2"/>
        <v>1.9125683060109245E-2</v>
      </c>
      <c r="I77" s="3">
        <v>17833265</v>
      </c>
      <c r="J77" s="8">
        <v>16890.72</v>
      </c>
      <c r="K77" s="3">
        <v>4528343579</v>
      </c>
      <c r="M77" s="10">
        <f t="shared" si="3"/>
        <v>0.4920844327176781</v>
      </c>
    </row>
    <row r="78" spans="1:13" ht="15" customHeight="1">
      <c r="A78" t="s">
        <v>13</v>
      </c>
      <c r="B78" t="s">
        <v>14</v>
      </c>
      <c r="C78" s="12" t="s">
        <v>91</v>
      </c>
      <c r="D78" s="5">
        <v>3.69</v>
      </c>
      <c r="E78" s="8">
        <v>3.8</v>
      </c>
      <c r="F78" s="8">
        <v>3.68</v>
      </c>
      <c r="G78" s="8">
        <v>3.7</v>
      </c>
      <c r="H78" s="19">
        <f t="shared" si="2"/>
        <v>2.7100271002710652E-3</v>
      </c>
      <c r="I78" s="3">
        <v>22222009</v>
      </c>
      <c r="J78" s="8">
        <v>16754.87</v>
      </c>
      <c r="K78" s="3">
        <v>4528343579</v>
      </c>
      <c r="M78" s="10">
        <f t="shared" si="3"/>
        <v>0.48812664907651715</v>
      </c>
    </row>
    <row r="79" spans="1:13" ht="15" customHeight="1">
      <c r="A79" t="s">
        <v>13</v>
      </c>
      <c r="B79" t="s">
        <v>14</v>
      </c>
      <c r="C79" s="12" t="s">
        <v>92</v>
      </c>
      <c r="D79" s="5">
        <v>3.65</v>
      </c>
      <c r="E79" s="8">
        <v>3.71</v>
      </c>
      <c r="F79" s="8">
        <v>3.63</v>
      </c>
      <c r="G79" s="8">
        <v>3.67</v>
      </c>
      <c r="H79" s="19">
        <f t="shared" si="2"/>
        <v>5.4794520547945258E-3</v>
      </c>
      <c r="I79" s="3">
        <v>19870978</v>
      </c>
      <c r="J79" s="8">
        <v>16619.02</v>
      </c>
      <c r="K79" s="3">
        <v>4528343579</v>
      </c>
      <c r="M79" s="10">
        <f t="shared" si="3"/>
        <v>0.4841688654353562</v>
      </c>
    </row>
    <row r="80" spans="1:13" ht="15" customHeight="1">
      <c r="A80" t="s">
        <v>13</v>
      </c>
      <c r="B80" t="s">
        <v>14</v>
      </c>
      <c r="C80" s="12" t="s">
        <v>93</v>
      </c>
      <c r="D80" s="5">
        <v>3.79</v>
      </c>
      <c r="E80" s="8">
        <v>3.835</v>
      </c>
      <c r="F80" s="8">
        <v>3.76</v>
      </c>
      <c r="G80" s="8">
        <v>3.77</v>
      </c>
      <c r="H80" s="19">
        <f t="shared" si="2"/>
        <v>-5.2770448548812715E-3</v>
      </c>
      <c r="I80" s="3">
        <v>22446900</v>
      </c>
      <c r="J80" s="8">
        <v>17071.86</v>
      </c>
      <c r="K80" s="3">
        <v>4528343579</v>
      </c>
      <c r="L80" s="14">
        <v>4.5999999999999999E-2</v>
      </c>
      <c r="M80" s="10">
        <f t="shared" si="3"/>
        <v>0.49736147757255939</v>
      </c>
    </row>
    <row r="81" spans="1:13" ht="15" customHeight="1">
      <c r="A81" t="s">
        <v>13</v>
      </c>
      <c r="B81" t="s">
        <v>14</v>
      </c>
      <c r="C81" s="12" t="s">
        <v>94</v>
      </c>
      <c r="D81" s="5">
        <v>3.72</v>
      </c>
      <c r="E81" s="8">
        <v>3.78</v>
      </c>
      <c r="F81" s="8">
        <v>3.68</v>
      </c>
      <c r="G81" s="8">
        <v>3.7</v>
      </c>
      <c r="H81" s="19">
        <f t="shared" si="2"/>
        <v>-5.3763440860215101E-3</v>
      </c>
      <c r="I81" s="3">
        <v>16193067</v>
      </c>
      <c r="J81" s="8">
        <v>16754.87</v>
      </c>
      <c r="K81" s="3">
        <v>4528343579</v>
      </c>
      <c r="M81" s="10">
        <f t="shared" si="3"/>
        <v>0.48812664907651715</v>
      </c>
    </row>
    <row r="82" spans="1:13" ht="15" customHeight="1">
      <c r="A82" t="s">
        <v>13</v>
      </c>
      <c r="B82" t="s">
        <v>14</v>
      </c>
      <c r="C82" s="12" t="s">
        <v>95</v>
      </c>
      <c r="D82" s="5">
        <v>3.75</v>
      </c>
      <c r="E82" s="8">
        <v>3.76</v>
      </c>
      <c r="F82" s="8">
        <v>3.6349999999999998</v>
      </c>
      <c r="G82" s="8">
        <v>3.69</v>
      </c>
      <c r="H82" s="19">
        <f t="shared" si="2"/>
        <v>-1.6000000000000014E-2</v>
      </c>
      <c r="I82" s="3">
        <v>17438041</v>
      </c>
      <c r="J82" s="8">
        <v>16709.59</v>
      </c>
      <c r="K82" s="3">
        <v>4528343579</v>
      </c>
      <c r="M82" s="10">
        <f t="shared" si="3"/>
        <v>0.48680738786279681</v>
      </c>
    </row>
    <row r="83" spans="1:13" ht="15" customHeight="1">
      <c r="A83" t="s">
        <v>13</v>
      </c>
      <c r="B83" t="s">
        <v>14</v>
      </c>
      <c r="C83" s="12" t="s">
        <v>96</v>
      </c>
      <c r="D83" s="5">
        <v>3.61</v>
      </c>
      <c r="E83" s="8">
        <v>3.65</v>
      </c>
      <c r="F83" s="8">
        <v>3.5950000000000002</v>
      </c>
      <c r="G83" s="8">
        <v>3.62</v>
      </c>
      <c r="H83" s="19">
        <f t="shared" si="2"/>
        <v>2.770083102493139E-3</v>
      </c>
      <c r="I83" s="3">
        <v>14369754</v>
      </c>
      <c r="J83" s="8">
        <v>16392.599999999999</v>
      </c>
      <c r="K83" s="3">
        <v>4528343579</v>
      </c>
      <c r="M83" s="10">
        <f>G83/7.58</f>
        <v>0.47757255936675463</v>
      </c>
    </row>
    <row r="84" spans="1:13" ht="15" customHeight="1">
      <c r="A84" t="s">
        <v>13</v>
      </c>
      <c r="B84" t="s">
        <v>14</v>
      </c>
      <c r="C84" s="12" t="s">
        <v>97</v>
      </c>
      <c r="D84" s="5">
        <v>3.64</v>
      </c>
      <c r="E84" s="8">
        <v>3.68</v>
      </c>
      <c r="F84" s="8">
        <v>3.6349999999999998</v>
      </c>
      <c r="G84" s="8">
        <v>3.65</v>
      </c>
      <c r="H84" s="19">
        <f t="shared" si="2"/>
        <v>2.7472527472526885E-3</v>
      </c>
      <c r="I84" s="3">
        <v>8203001</v>
      </c>
      <c r="J84" s="8">
        <v>16528.45</v>
      </c>
      <c r="K84" s="3">
        <v>4528343579</v>
      </c>
      <c r="M84" s="10">
        <f t="shared" si="3"/>
        <v>0.48153034300791553</v>
      </c>
    </row>
    <row r="85" spans="1:13" ht="15" customHeight="1">
      <c r="A85" t="s">
        <v>13</v>
      </c>
      <c r="B85" t="s">
        <v>14</v>
      </c>
      <c r="C85" s="12" t="s">
        <v>98</v>
      </c>
      <c r="D85" s="5">
        <v>3.64</v>
      </c>
      <c r="E85" s="8">
        <v>3.77</v>
      </c>
      <c r="F85" s="8">
        <v>3.62</v>
      </c>
      <c r="G85" s="8">
        <v>3.69</v>
      </c>
      <c r="H85" s="19">
        <f t="shared" si="2"/>
        <v>1.3736263736263687E-2</v>
      </c>
      <c r="I85" s="3">
        <v>25670378</v>
      </c>
      <c r="J85" s="8">
        <v>16709.59</v>
      </c>
      <c r="K85" s="3">
        <v>4528343579</v>
      </c>
      <c r="M85" s="10">
        <f t="shared" si="3"/>
        <v>0.48680738786279681</v>
      </c>
    </row>
    <row r="86" spans="1:13" ht="15" customHeight="1">
      <c r="A86" t="s">
        <v>13</v>
      </c>
      <c r="B86" t="s">
        <v>14</v>
      </c>
      <c r="C86" s="12" t="s">
        <v>99</v>
      </c>
      <c r="D86" s="5">
        <v>3.68</v>
      </c>
      <c r="E86" s="8">
        <v>3.75</v>
      </c>
      <c r="F86" s="8">
        <v>3.68</v>
      </c>
      <c r="G86" s="8">
        <v>3.71</v>
      </c>
      <c r="H86" s="19">
        <f t="shared" si="2"/>
        <v>8.1521739130434243E-3</v>
      </c>
      <c r="I86" s="3">
        <v>7370135</v>
      </c>
      <c r="J86" s="8">
        <v>16800.150000000001</v>
      </c>
      <c r="K86" s="3">
        <v>4528343579</v>
      </c>
      <c r="M86" s="10">
        <f t="shared" si="3"/>
        <v>0.48944591029023748</v>
      </c>
    </row>
    <row r="87" spans="1:13" ht="15" customHeight="1">
      <c r="A87" t="s">
        <v>13</v>
      </c>
      <c r="B87" t="s">
        <v>14</v>
      </c>
      <c r="C87" s="12" t="s">
        <v>100</v>
      </c>
      <c r="D87" s="5">
        <v>3.73</v>
      </c>
      <c r="E87" s="8">
        <v>3.75</v>
      </c>
      <c r="F87" s="8">
        <v>3.69</v>
      </c>
      <c r="G87" s="8">
        <v>3.73</v>
      </c>
      <c r="H87" s="19">
        <f t="shared" si="2"/>
        <v>0</v>
      </c>
      <c r="I87" s="3">
        <v>9312484</v>
      </c>
      <c r="J87" s="8">
        <v>16890.72</v>
      </c>
      <c r="K87" s="3">
        <v>4528343579</v>
      </c>
      <c r="M87" s="10">
        <f t="shared" si="3"/>
        <v>0.4920844327176781</v>
      </c>
    </row>
    <row r="88" spans="1:13" ht="15" customHeight="1">
      <c r="A88" t="s">
        <v>13</v>
      </c>
      <c r="B88" t="s">
        <v>14</v>
      </c>
      <c r="C88" s="12" t="s">
        <v>101</v>
      </c>
      <c r="D88" s="5">
        <v>3.76</v>
      </c>
      <c r="E88" s="8">
        <v>3.77</v>
      </c>
      <c r="F88" s="8">
        <v>3.7</v>
      </c>
      <c r="G88" s="8">
        <v>3.72</v>
      </c>
      <c r="H88" s="19">
        <f t="shared" si="2"/>
        <v>-1.0638297872340318E-2</v>
      </c>
      <c r="I88" s="3">
        <v>15617684</v>
      </c>
      <c r="J88" s="8">
        <v>16845.439999999999</v>
      </c>
      <c r="K88" s="3">
        <v>4528343579</v>
      </c>
      <c r="M88" s="10">
        <f t="shared" si="3"/>
        <v>0.49076517150395782</v>
      </c>
    </row>
    <row r="89" spans="1:13" ht="15" customHeight="1">
      <c r="A89" t="s">
        <v>13</v>
      </c>
      <c r="B89" t="s">
        <v>14</v>
      </c>
      <c r="C89" s="12" t="s">
        <v>102</v>
      </c>
      <c r="D89" s="5">
        <v>3.71</v>
      </c>
      <c r="E89" s="8">
        <v>3.77</v>
      </c>
      <c r="F89" s="8">
        <v>3.64</v>
      </c>
      <c r="G89" s="8">
        <v>3.67</v>
      </c>
      <c r="H89" s="19">
        <f t="shared" si="2"/>
        <v>-1.0781671159029659E-2</v>
      </c>
      <c r="I89" s="3">
        <v>18969067</v>
      </c>
      <c r="J89" s="8">
        <v>16619.02</v>
      </c>
      <c r="K89" s="3">
        <v>4528343579</v>
      </c>
      <c r="M89" s="10">
        <f t="shared" si="3"/>
        <v>0.4841688654353562</v>
      </c>
    </row>
    <row r="90" spans="1:13" ht="15" customHeight="1">
      <c r="A90" t="s">
        <v>13</v>
      </c>
      <c r="B90" t="s">
        <v>14</v>
      </c>
      <c r="C90" s="12" t="s">
        <v>103</v>
      </c>
      <c r="D90" s="5">
        <v>3.64</v>
      </c>
      <c r="E90" s="8">
        <v>3.68</v>
      </c>
      <c r="F90" s="8">
        <v>3.59</v>
      </c>
      <c r="G90" s="8">
        <v>3.68</v>
      </c>
      <c r="H90" s="19">
        <f t="shared" si="2"/>
        <v>1.0989010989010999E-2</v>
      </c>
      <c r="I90" s="3">
        <v>21765111</v>
      </c>
      <c r="J90" s="8">
        <v>16664.3</v>
      </c>
      <c r="K90" s="3">
        <v>4528343579</v>
      </c>
      <c r="M90" s="10">
        <f t="shared" si="3"/>
        <v>0.48548812664907653</v>
      </c>
    </row>
    <row r="91" spans="1:13" ht="15" customHeight="1">
      <c r="A91" t="s">
        <v>13</v>
      </c>
      <c r="B91" t="s">
        <v>14</v>
      </c>
      <c r="C91" s="12" t="s">
        <v>104</v>
      </c>
      <c r="D91" s="5">
        <v>3.61</v>
      </c>
      <c r="E91" s="8">
        <v>3.7349999999999999</v>
      </c>
      <c r="F91" s="8">
        <v>3.6</v>
      </c>
      <c r="G91" s="8">
        <v>3.72</v>
      </c>
      <c r="H91" s="19">
        <f t="shared" si="2"/>
        <v>3.0470914127423913E-2</v>
      </c>
      <c r="I91" s="3">
        <v>10174277</v>
      </c>
      <c r="J91" s="8">
        <v>16845.439999999999</v>
      </c>
      <c r="K91" s="3">
        <v>4528343579</v>
      </c>
      <c r="M91" s="10">
        <f t="shared" si="3"/>
        <v>0.49076517150395782</v>
      </c>
    </row>
    <row r="92" spans="1:13" ht="15" customHeight="1">
      <c r="A92" t="s">
        <v>13</v>
      </c>
      <c r="B92" t="s">
        <v>14</v>
      </c>
      <c r="C92" s="12" t="s">
        <v>105</v>
      </c>
      <c r="D92" s="5">
        <v>3.72</v>
      </c>
      <c r="E92" s="8">
        <v>3.74</v>
      </c>
      <c r="F92" s="8">
        <v>3.67</v>
      </c>
      <c r="G92" s="8">
        <v>3.73</v>
      </c>
      <c r="H92" s="19">
        <f t="shared" si="2"/>
        <v>2.6881720430106952E-3</v>
      </c>
      <c r="I92" s="3">
        <v>7434666</v>
      </c>
      <c r="J92" s="8">
        <v>16867.169999999998</v>
      </c>
      <c r="K92" s="3">
        <v>4522029926</v>
      </c>
      <c r="M92" s="10">
        <f t="shared" si="3"/>
        <v>0.4920844327176781</v>
      </c>
    </row>
    <row r="93" spans="1:13" ht="15" customHeight="1">
      <c r="A93" t="s">
        <v>13</v>
      </c>
      <c r="B93" t="s">
        <v>14</v>
      </c>
      <c r="C93" s="12" t="s">
        <v>106</v>
      </c>
      <c r="D93" s="5">
        <v>3.7</v>
      </c>
      <c r="E93" s="8">
        <v>3.78</v>
      </c>
      <c r="F93" s="8">
        <v>3.67</v>
      </c>
      <c r="G93" s="8">
        <v>3.75</v>
      </c>
      <c r="H93" s="19">
        <f t="shared" si="2"/>
        <v>1.3513513513513466E-2</v>
      </c>
      <c r="I93" s="3">
        <v>8992653</v>
      </c>
      <c r="J93" s="8">
        <v>16957.61</v>
      </c>
      <c r="K93" s="3">
        <v>4522029926</v>
      </c>
      <c r="M93" s="10">
        <f t="shared" si="3"/>
        <v>0.49472295514511871</v>
      </c>
    </row>
    <row r="94" spans="1:13" ht="15" customHeight="1">
      <c r="A94" t="s">
        <v>13</v>
      </c>
      <c r="B94" t="s">
        <v>14</v>
      </c>
      <c r="C94" s="12" t="s">
        <v>107</v>
      </c>
      <c r="D94" s="5">
        <v>3.79</v>
      </c>
      <c r="E94" s="8">
        <v>3.8149999999999999</v>
      </c>
      <c r="F94" s="8">
        <v>3.72</v>
      </c>
      <c r="G94" s="8">
        <v>3.76</v>
      </c>
      <c r="H94" s="19">
        <f t="shared" si="2"/>
        <v>-7.9155672823219645E-3</v>
      </c>
      <c r="I94" s="3">
        <v>8805425</v>
      </c>
      <c r="J94" s="8">
        <v>17002.830000000002</v>
      </c>
      <c r="K94" s="3">
        <v>4522029926</v>
      </c>
      <c r="M94" s="10">
        <f t="shared" si="3"/>
        <v>0.49604221635883899</v>
      </c>
    </row>
    <row r="95" spans="1:13" ht="15" customHeight="1">
      <c r="A95" t="s">
        <v>13</v>
      </c>
      <c r="B95" t="s">
        <v>14</v>
      </c>
      <c r="C95" s="12" t="s">
        <v>108</v>
      </c>
      <c r="D95" s="5">
        <v>3.8</v>
      </c>
      <c r="E95" s="8">
        <v>3.855</v>
      </c>
      <c r="F95" s="8">
        <v>3.7349999999999999</v>
      </c>
      <c r="G95" s="8">
        <v>3.83</v>
      </c>
      <c r="H95" s="19">
        <f t="shared" si="2"/>
        <v>7.8947368421053293E-3</v>
      </c>
      <c r="I95" s="3">
        <v>19216538</v>
      </c>
      <c r="J95" s="8">
        <v>17319.37</v>
      </c>
      <c r="K95" s="3">
        <v>4522029926</v>
      </c>
      <c r="M95" s="10">
        <f t="shared" si="3"/>
        <v>0.50527704485488123</v>
      </c>
    </row>
    <row r="96" spans="1:13" ht="15" customHeight="1">
      <c r="A96" t="s">
        <v>13</v>
      </c>
      <c r="B96" t="s">
        <v>14</v>
      </c>
      <c r="C96" s="12" t="s">
        <v>109</v>
      </c>
      <c r="D96" s="5">
        <v>3.89</v>
      </c>
      <c r="E96" s="8">
        <v>3.9449999999999998</v>
      </c>
      <c r="F96" s="8">
        <v>3.8</v>
      </c>
      <c r="G96" s="8">
        <v>3.8</v>
      </c>
      <c r="H96" s="19">
        <f t="shared" si="2"/>
        <v>-2.3136246786632467E-2</v>
      </c>
      <c r="I96" s="3">
        <v>16653512</v>
      </c>
      <c r="J96" s="8">
        <v>17183.71</v>
      </c>
      <c r="K96" s="3">
        <v>4522029926</v>
      </c>
      <c r="M96" s="10">
        <f t="shared" si="3"/>
        <v>0.50131926121372028</v>
      </c>
    </row>
    <row r="97" spans="1:13" ht="15" customHeight="1">
      <c r="A97" t="s">
        <v>13</v>
      </c>
      <c r="B97" t="s">
        <v>14</v>
      </c>
      <c r="C97" s="12" t="s">
        <v>110</v>
      </c>
      <c r="D97" s="5">
        <v>3.72</v>
      </c>
      <c r="E97" s="8">
        <v>3.74</v>
      </c>
      <c r="F97" s="8">
        <v>3.68</v>
      </c>
      <c r="G97" s="8">
        <v>3.7</v>
      </c>
      <c r="H97" s="19">
        <f t="shared" si="2"/>
        <v>-5.3763440860215101E-3</v>
      </c>
      <c r="I97" s="3">
        <v>8933764</v>
      </c>
      <c r="J97" s="8">
        <v>16731.509999999998</v>
      </c>
      <c r="K97" s="3">
        <v>4522029926</v>
      </c>
      <c r="M97" s="10">
        <f t="shared" si="3"/>
        <v>0.48812664907651715</v>
      </c>
    </row>
    <row r="98" spans="1:13" ht="15" customHeight="1">
      <c r="A98" t="s">
        <v>13</v>
      </c>
      <c r="B98" t="s">
        <v>14</v>
      </c>
      <c r="C98" s="12" t="s">
        <v>111</v>
      </c>
      <c r="D98" s="5">
        <v>3.68</v>
      </c>
      <c r="E98" s="8">
        <v>3.73</v>
      </c>
      <c r="F98" s="8">
        <v>3.6</v>
      </c>
      <c r="G98" s="8">
        <v>3.61</v>
      </c>
      <c r="H98" s="19">
        <f t="shared" si="2"/>
        <v>-1.902173913043486E-2</v>
      </c>
      <c r="I98" s="3">
        <v>15232242</v>
      </c>
      <c r="J98" s="8">
        <v>16324.53</v>
      </c>
      <c r="K98" s="3">
        <v>4522029926</v>
      </c>
      <c r="M98" s="10">
        <f t="shared" si="3"/>
        <v>0.4762532981530343</v>
      </c>
    </row>
    <row r="99" spans="1:13" ht="15" customHeight="1">
      <c r="A99" t="s">
        <v>13</v>
      </c>
      <c r="B99" t="s">
        <v>14</v>
      </c>
      <c r="C99" s="12" t="s">
        <v>112</v>
      </c>
      <c r="D99" s="5">
        <v>3.54</v>
      </c>
      <c r="E99" s="8">
        <v>3.57</v>
      </c>
      <c r="F99" s="8">
        <v>3.5</v>
      </c>
      <c r="G99" s="8">
        <v>3.54</v>
      </c>
      <c r="H99" s="19">
        <f t="shared" si="2"/>
        <v>0</v>
      </c>
      <c r="I99" s="3">
        <v>12657462</v>
      </c>
      <c r="J99" s="8">
        <v>16007.99</v>
      </c>
      <c r="K99" s="3">
        <v>4522029926</v>
      </c>
      <c r="M99" s="10">
        <f t="shared" si="3"/>
        <v>0.46701846965699206</v>
      </c>
    </row>
    <row r="100" spans="1:13" ht="15" customHeight="1">
      <c r="A100" t="s">
        <v>13</v>
      </c>
      <c r="B100" t="s">
        <v>14</v>
      </c>
      <c r="C100" s="12" t="s">
        <v>113</v>
      </c>
      <c r="D100" s="5">
        <v>3.53</v>
      </c>
      <c r="E100" s="8">
        <v>3.5449999999999999</v>
      </c>
      <c r="F100" s="8">
        <v>3.49</v>
      </c>
      <c r="G100" s="8">
        <v>3.49</v>
      </c>
      <c r="H100" s="19">
        <f t="shared" si="2"/>
        <v>-1.1331444759206683E-2</v>
      </c>
      <c r="I100" s="3">
        <v>11885766</v>
      </c>
      <c r="J100" s="8">
        <v>15781.88</v>
      </c>
      <c r="K100" s="3">
        <v>4522029926</v>
      </c>
      <c r="M100" s="10">
        <f t="shared" si="3"/>
        <v>0.4604221635883905</v>
      </c>
    </row>
    <row r="101" spans="1:13" ht="15" customHeight="1">
      <c r="A101" t="s">
        <v>13</v>
      </c>
      <c r="B101" t="s">
        <v>14</v>
      </c>
      <c r="C101" s="12" t="s">
        <v>114</v>
      </c>
      <c r="D101" s="5">
        <v>3.51</v>
      </c>
      <c r="E101" s="8">
        <v>3.56</v>
      </c>
      <c r="F101" s="8">
        <v>3.4950000000000001</v>
      </c>
      <c r="G101" s="8">
        <v>3.55</v>
      </c>
      <c r="H101" s="19">
        <f t="shared" si="2"/>
        <v>1.1396011396011407E-2</v>
      </c>
      <c r="I101" s="3">
        <v>13539572</v>
      </c>
      <c r="J101" s="8">
        <v>16053.21</v>
      </c>
      <c r="K101" s="3">
        <v>4522029926</v>
      </c>
      <c r="M101" s="10">
        <f t="shared" si="3"/>
        <v>0.4683377308707124</v>
      </c>
    </row>
    <row r="102" spans="1:13" ht="15" customHeight="1">
      <c r="A102" t="s">
        <v>13</v>
      </c>
      <c r="B102" t="s">
        <v>14</v>
      </c>
      <c r="C102" s="12" t="s">
        <v>115</v>
      </c>
      <c r="D102" s="5">
        <v>3.75</v>
      </c>
      <c r="E102" s="8">
        <v>3.79</v>
      </c>
      <c r="F102" s="8">
        <v>3.68</v>
      </c>
      <c r="G102" s="8">
        <v>3.77</v>
      </c>
      <c r="H102" s="19">
        <f t="shared" si="2"/>
        <v>5.3333333333333384E-3</v>
      </c>
      <c r="I102" s="3">
        <v>19069477</v>
      </c>
      <c r="J102" s="8">
        <v>17048.05</v>
      </c>
      <c r="K102" s="3">
        <v>4522029926</v>
      </c>
      <c r="M102" s="10">
        <f t="shared" si="3"/>
        <v>0.49736147757255939</v>
      </c>
    </row>
    <row r="103" spans="1:13" ht="15" customHeight="1">
      <c r="A103" t="s">
        <v>13</v>
      </c>
      <c r="B103" t="s">
        <v>14</v>
      </c>
      <c r="C103" s="12" t="s">
        <v>116</v>
      </c>
      <c r="D103" s="5">
        <v>3.72</v>
      </c>
      <c r="E103" s="8">
        <v>3.74</v>
      </c>
      <c r="F103" s="8">
        <v>3.67</v>
      </c>
      <c r="G103" s="8">
        <v>3.67</v>
      </c>
      <c r="H103" s="19">
        <f t="shared" si="2"/>
        <v>-1.3440860215053835E-2</v>
      </c>
      <c r="I103" s="3">
        <v>15335167</v>
      </c>
      <c r="J103" s="8">
        <v>16595.849999999999</v>
      </c>
      <c r="K103" s="3">
        <v>4522029926</v>
      </c>
      <c r="M103" s="10">
        <f t="shared" si="3"/>
        <v>0.4841688654353562</v>
      </c>
    </row>
    <row r="104" spans="1:13" ht="15" customHeight="1">
      <c r="A104" t="s">
        <v>13</v>
      </c>
      <c r="B104" t="s">
        <v>14</v>
      </c>
      <c r="C104" s="12" t="s">
        <v>117</v>
      </c>
      <c r="D104" s="5">
        <v>3.71</v>
      </c>
      <c r="E104" s="8">
        <v>3.76</v>
      </c>
      <c r="F104" s="8">
        <v>3.7</v>
      </c>
      <c r="G104" s="8">
        <v>3.7</v>
      </c>
      <c r="H104" s="19">
        <f t="shared" si="2"/>
        <v>-2.6954177897573549E-3</v>
      </c>
      <c r="I104" s="3">
        <v>9212631</v>
      </c>
      <c r="J104" s="8">
        <v>16731.509999999998</v>
      </c>
      <c r="K104" s="3">
        <v>4522029926</v>
      </c>
      <c r="M104" s="10">
        <f t="shared" si="3"/>
        <v>0.48812664907651715</v>
      </c>
    </row>
    <row r="105" spans="1:13" ht="15" customHeight="1">
      <c r="A105" t="s">
        <v>13</v>
      </c>
      <c r="B105" t="s">
        <v>14</v>
      </c>
      <c r="C105" s="12" t="s">
        <v>118</v>
      </c>
      <c r="D105" s="5">
        <v>3.72</v>
      </c>
      <c r="E105" s="8">
        <v>3.75</v>
      </c>
      <c r="F105" s="8">
        <v>3.7</v>
      </c>
      <c r="G105" s="8">
        <v>3.73</v>
      </c>
      <c r="H105" s="19">
        <f t="shared" si="2"/>
        <v>2.6881720430106952E-3</v>
      </c>
      <c r="I105" s="3">
        <v>5670061</v>
      </c>
      <c r="J105" s="8">
        <v>16867.169999999998</v>
      </c>
      <c r="K105" s="3">
        <v>4522029926</v>
      </c>
      <c r="M105" s="10">
        <f t="shared" si="3"/>
        <v>0.4920844327176781</v>
      </c>
    </row>
    <row r="106" spans="1:13" ht="15" customHeight="1">
      <c r="A106" t="s">
        <v>13</v>
      </c>
      <c r="B106" t="s">
        <v>14</v>
      </c>
      <c r="C106" s="12" t="s">
        <v>119</v>
      </c>
      <c r="D106" s="5">
        <v>3.77</v>
      </c>
      <c r="E106" s="8">
        <v>3.86</v>
      </c>
      <c r="F106" s="8">
        <v>3.75</v>
      </c>
      <c r="G106" s="8">
        <v>3.83</v>
      </c>
      <c r="H106" s="19">
        <f t="shared" si="2"/>
        <v>1.5915119363395239E-2</v>
      </c>
      <c r="I106" s="3">
        <v>16409301</v>
      </c>
      <c r="J106" s="8">
        <v>17319.37</v>
      </c>
      <c r="K106" s="3">
        <v>4522029926</v>
      </c>
      <c r="M106" s="10">
        <f t="shared" si="3"/>
        <v>0.50527704485488123</v>
      </c>
    </row>
    <row r="107" spans="1:13" ht="15" customHeight="1">
      <c r="A107" t="s">
        <v>13</v>
      </c>
      <c r="B107" t="s">
        <v>14</v>
      </c>
      <c r="C107" s="12" t="s">
        <v>120</v>
      </c>
      <c r="D107" s="5">
        <v>3.84</v>
      </c>
      <c r="E107" s="8">
        <v>3.85</v>
      </c>
      <c r="F107" s="8">
        <v>3.74</v>
      </c>
      <c r="G107" s="8">
        <v>3.74</v>
      </c>
      <c r="H107" s="19">
        <f t="shared" si="2"/>
        <v>-2.6041666666666574E-2</v>
      </c>
      <c r="I107" s="3">
        <v>21656658</v>
      </c>
      <c r="J107" s="8">
        <v>16912.39</v>
      </c>
      <c r="K107" s="3">
        <v>4522029926</v>
      </c>
      <c r="M107" s="10">
        <f t="shared" si="3"/>
        <v>0.49340369393139843</v>
      </c>
    </row>
    <row r="108" spans="1:13" ht="15" customHeight="1">
      <c r="A108" t="s">
        <v>13</v>
      </c>
      <c r="B108" t="s">
        <v>14</v>
      </c>
      <c r="C108" s="12" t="s">
        <v>121</v>
      </c>
      <c r="D108" s="5">
        <v>3.78</v>
      </c>
      <c r="E108" s="8">
        <v>3.84</v>
      </c>
      <c r="F108" s="8">
        <v>3.77</v>
      </c>
      <c r="G108" s="8">
        <v>3.78</v>
      </c>
      <c r="H108" s="19">
        <f t="shared" si="2"/>
        <v>0</v>
      </c>
      <c r="I108" s="3">
        <v>14817697</v>
      </c>
      <c r="J108" s="8">
        <v>17093.27</v>
      </c>
      <c r="K108" s="3">
        <v>4522029926</v>
      </c>
      <c r="M108" s="10">
        <f t="shared" si="3"/>
        <v>0.49868073878627966</v>
      </c>
    </row>
    <row r="109" spans="1:13" ht="15" customHeight="1">
      <c r="A109" t="s">
        <v>13</v>
      </c>
      <c r="B109" t="s">
        <v>14</v>
      </c>
      <c r="C109" s="12" t="s">
        <v>122</v>
      </c>
      <c r="D109" s="5">
        <v>3.8</v>
      </c>
      <c r="E109" s="8">
        <v>3.8149999999999999</v>
      </c>
      <c r="F109" s="8">
        <v>3.74</v>
      </c>
      <c r="G109" s="8">
        <v>3.77</v>
      </c>
      <c r="H109" s="19">
        <f t="shared" si="2"/>
        <v>-7.8947368421052114E-3</v>
      </c>
      <c r="I109" s="3">
        <v>8918967</v>
      </c>
      <c r="J109" s="8">
        <v>17048.05</v>
      </c>
      <c r="K109" s="3">
        <v>4522029926</v>
      </c>
      <c r="M109" s="10">
        <f t="shared" si="3"/>
        <v>0.49736147757255939</v>
      </c>
    </row>
    <row r="110" spans="1:13" ht="15" customHeight="1">
      <c r="A110" t="s">
        <v>13</v>
      </c>
      <c r="B110" t="s">
        <v>14</v>
      </c>
      <c r="C110" s="12" t="s">
        <v>123</v>
      </c>
      <c r="D110" s="5">
        <v>3.78</v>
      </c>
      <c r="E110" s="8">
        <v>3.78</v>
      </c>
      <c r="F110" s="8">
        <v>3.74</v>
      </c>
      <c r="G110" s="8">
        <v>3.74</v>
      </c>
      <c r="H110" s="19">
        <f t="shared" si="2"/>
        <v>-1.0582010582010474E-2</v>
      </c>
      <c r="I110" s="3">
        <v>9530381</v>
      </c>
      <c r="J110" s="8">
        <v>16912.39</v>
      </c>
      <c r="K110" s="3">
        <v>4522029926</v>
      </c>
      <c r="M110" s="10">
        <f t="shared" si="3"/>
        <v>0.49340369393139843</v>
      </c>
    </row>
    <row r="111" spans="1:13" ht="15" customHeight="1">
      <c r="A111" t="s">
        <v>13</v>
      </c>
      <c r="B111" t="s">
        <v>14</v>
      </c>
      <c r="C111" s="12" t="s">
        <v>124</v>
      </c>
      <c r="D111" s="5">
        <v>3.73</v>
      </c>
      <c r="E111" s="8">
        <v>3.74</v>
      </c>
      <c r="F111" s="8">
        <v>3.67</v>
      </c>
      <c r="G111" s="8">
        <v>3.72</v>
      </c>
      <c r="H111" s="19">
        <f t="shared" si="2"/>
        <v>-2.6809651474530259E-3</v>
      </c>
      <c r="I111" s="3">
        <v>9776782</v>
      </c>
      <c r="J111" s="8">
        <v>16821.95</v>
      </c>
      <c r="K111" s="3">
        <v>4522029926</v>
      </c>
      <c r="M111" s="10">
        <f t="shared" si="3"/>
        <v>0.49076517150395782</v>
      </c>
    </row>
    <row r="112" spans="1:13" ht="15" customHeight="1">
      <c r="A112" t="s">
        <v>13</v>
      </c>
      <c r="B112" t="s">
        <v>14</v>
      </c>
      <c r="C112" s="12" t="s">
        <v>125</v>
      </c>
      <c r="D112" s="5">
        <v>3.75</v>
      </c>
      <c r="E112" s="8">
        <v>3.77</v>
      </c>
      <c r="F112" s="8">
        <v>3.68</v>
      </c>
      <c r="G112" s="8">
        <v>3.68</v>
      </c>
      <c r="H112" s="19">
        <f t="shared" si="2"/>
        <v>-1.8666666666666623E-2</v>
      </c>
      <c r="I112" s="3">
        <v>11756164</v>
      </c>
      <c r="J112" s="8">
        <v>16641.07</v>
      </c>
      <c r="K112" s="3">
        <v>4522029926</v>
      </c>
      <c r="M112" s="10">
        <f t="shared" si="3"/>
        <v>0.48548812664907653</v>
      </c>
    </row>
    <row r="113" spans="1:13" ht="15" customHeight="1">
      <c r="A113" t="s">
        <v>13</v>
      </c>
      <c r="B113" t="s">
        <v>14</v>
      </c>
      <c r="C113" s="12" t="s">
        <v>126</v>
      </c>
      <c r="D113" s="5">
        <v>3.67</v>
      </c>
      <c r="E113" s="8">
        <v>3.68</v>
      </c>
      <c r="F113" s="8">
        <v>3.6</v>
      </c>
      <c r="G113" s="8">
        <v>3.62</v>
      </c>
      <c r="H113" s="19">
        <f t="shared" si="2"/>
        <v>-1.3623978201634829E-2</v>
      </c>
      <c r="I113" s="3">
        <v>11874302</v>
      </c>
      <c r="J113" s="8">
        <v>16369.75</v>
      </c>
      <c r="K113" s="3">
        <v>4522029926</v>
      </c>
      <c r="M113" s="10">
        <f t="shared" si="3"/>
        <v>0.47757255936675463</v>
      </c>
    </row>
    <row r="114" spans="1:13" ht="15" customHeight="1">
      <c r="A114" t="s">
        <v>13</v>
      </c>
      <c r="B114" t="s">
        <v>14</v>
      </c>
      <c r="C114" s="12" t="s">
        <v>127</v>
      </c>
      <c r="D114" s="5">
        <v>3.62</v>
      </c>
      <c r="E114" s="8">
        <v>3.65</v>
      </c>
      <c r="F114" s="8">
        <v>3.56</v>
      </c>
      <c r="G114" s="8">
        <v>3.6</v>
      </c>
      <c r="H114" s="19">
        <f t="shared" si="2"/>
        <v>-5.5248618784530436E-3</v>
      </c>
      <c r="I114" s="3">
        <v>11015093</v>
      </c>
      <c r="J114" s="8">
        <v>16265.98</v>
      </c>
      <c r="K114" s="3">
        <v>4518328958</v>
      </c>
      <c r="M114" s="10">
        <f t="shared" si="3"/>
        <v>0.47493403693931396</v>
      </c>
    </row>
    <row r="115" spans="1:13" ht="15" customHeight="1">
      <c r="A115" t="s">
        <v>13</v>
      </c>
      <c r="B115" t="s">
        <v>14</v>
      </c>
      <c r="C115" s="12" t="s">
        <v>128</v>
      </c>
      <c r="D115" s="5">
        <v>3.64</v>
      </c>
      <c r="E115" s="8">
        <v>3.72</v>
      </c>
      <c r="F115" s="8">
        <v>3.62</v>
      </c>
      <c r="G115" s="8">
        <v>3.7</v>
      </c>
      <c r="H115" s="19">
        <f t="shared" si="2"/>
        <v>1.6483516483516498E-2</v>
      </c>
      <c r="I115" s="3">
        <v>18213893</v>
      </c>
      <c r="J115" s="8">
        <v>16717.82</v>
      </c>
      <c r="K115" s="3">
        <v>4518328958</v>
      </c>
      <c r="M115" s="10">
        <f t="shared" si="3"/>
        <v>0.48812664907651715</v>
      </c>
    </row>
    <row r="116" spans="1:13" ht="15" customHeight="1">
      <c r="A116" t="s">
        <v>13</v>
      </c>
      <c r="B116" t="s">
        <v>14</v>
      </c>
      <c r="C116" s="12" t="s">
        <v>129</v>
      </c>
      <c r="D116" s="5">
        <v>3.69</v>
      </c>
      <c r="E116" s="8">
        <v>3.74</v>
      </c>
      <c r="F116" s="8">
        <v>3.62</v>
      </c>
      <c r="G116" s="8">
        <v>3.63</v>
      </c>
      <c r="H116" s="19">
        <f t="shared" si="2"/>
        <v>-1.6260162601626032E-2</v>
      </c>
      <c r="I116" s="3">
        <v>11559696</v>
      </c>
      <c r="J116" s="8">
        <v>16401.53</v>
      </c>
      <c r="K116" s="3">
        <v>4518328958</v>
      </c>
      <c r="M116" s="10">
        <f t="shared" si="3"/>
        <v>0.47889182058047491</v>
      </c>
    </row>
    <row r="117" spans="1:13" ht="15" customHeight="1">
      <c r="A117" t="s">
        <v>13</v>
      </c>
      <c r="B117" t="s">
        <v>14</v>
      </c>
      <c r="C117" s="12" t="s">
        <v>130</v>
      </c>
      <c r="D117" s="5">
        <v>3.59</v>
      </c>
      <c r="E117" s="8">
        <v>3.62</v>
      </c>
      <c r="F117" s="8">
        <v>3.54</v>
      </c>
      <c r="G117" s="8">
        <v>3.6</v>
      </c>
      <c r="H117" s="19">
        <f t="shared" si="2"/>
        <v>2.7855153203343265E-3</v>
      </c>
      <c r="I117" s="3">
        <v>9267145</v>
      </c>
      <c r="J117" s="8">
        <v>16265.98</v>
      </c>
      <c r="K117" s="3">
        <v>4518328958</v>
      </c>
      <c r="M117" s="10">
        <f t="shared" si="3"/>
        <v>0.47493403693931396</v>
      </c>
    </row>
    <row r="118" spans="1:13" ht="15" customHeight="1">
      <c r="A118" t="s">
        <v>13</v>
      </c>
      <c r="B118" t="s">
        <v>14</v>
      </c>
      <c r="C118" s="12" t="s">
        <v>131</v>
      </c>
      <c r="D118" s="5">
        <v>3.72</v>
      </c>
      <c r="E118" s="8">
        <v>3.77</v>
      </c>
      <c r="F118" s="8">
        <v>3.64</v>
      </c>
      <c r="G118" s="8">
        <v>3.68</v>
      </c>
      <c r="H118" s="19">
        <f t="shared" si="2"/>
        <v>-1.075268817204302E-2</v>
      </c>
      <c r="I118" s="3">
        <v>20329702</v>
      </c>
      <c r="J118" s="8">
        <v>16627.45</v>
      </c>
      <c r="K118" s="3">
        <v>4518328958</v>
      </c>
      <c r="M118" s="10">
        <f t="shared" si="3"/>
        <v>0.48548812664907653</v>
      </c>
    </row>
    <row r="119" spans="1:13" ht="15" customHeight="1">
      <c r="A119" t="s">
        <v>13</v>
      </c>
      <c r="B119" t="s">
        <v>14</v>
      </c>
      <c r="C119" s="12" t="s">
        <v>132</v>
      </c>
      <c r="D119" s="5">
        <v>3.56</v>
      </c>
      <c r="E119" s="8">
        <v>3.59</v>
      </c>
      <c r="F119" s="8">
        <v>3.4849999999999999</v>
      </c>
      <c r="G119" s="8">
        <v>3.52</v>
      </c>
      <c r="H119" s="19">
        <f t="shared" si="2"/>
        <v>-1.1235955056179785E-2</v>
      </c>
      <c r="I119" s="3">
        <v>18801335</v>
      </c>
      <c r="J119" s="8">
        <v>15904.52</v>
      </c>
      <c r="K119" s="3">
        <v>4518328958</v>
      </c>
      <c r="M119" s="10">
        <f t="shared" si="3"/>
        <v>0.46437994722955145</v>
      </c>
    </row>
    <row r="120" spans="1:13" ht="15" customHeight="1">
      <c r="A120" t="s">
        <v>13</v>
      </c>
      <c r="B120" t="s">
        <v>14</v>
      </c>
      <c r="C120" s="12" t="s">
        <v>133</v>
      </c>
      <c r="D120" s="5">
        <v>3.48</v>
      </c>
      <c r="E120" s="8">
        <v>3.49</v>
      </c>
      <c r="F120" s="8">
        <v>3.43</v>
      </c>
      <c r="G120" s="8">
        <v>3.44</v>
      </c>
      <c r="H120" s="19">
        <f t="shared" si="2"/>
        <v>-1.1494252873563229E-2</v>
      </c>
      <c r="I120" s="3">
        <v>18727881</v>
      </c>
      <c r="J120" s="8">
        <v>15543.05</v>
      </c>
      <c r="K120" s="3">
        <v>4518328958</v>
      </c>
      <c r="M120" s="10">
        <f t="shared" si="3"/>
        <v>0.45382585751978893</v>
      </c>
    </row>
    <row r="121" spans="1:13" ht="15" customHeight="1">
      <c r="A121" t="s">
        <v>13</v>
      </c>
      <c r="B121" t="s">
        <v>14</v>
      </c>
      <c r="C121" s="12" t="s">
        <v>134</v>
      </c>
      <c r="D121" s="5">
        <v>3.41</v>
      </c>
      <c r="E121" s="8">
        <v>3.43</v>
      </c>
      <c r="F121" s="8">
        <v>3.35</v>
      </c>
      <c r="G121" s="8">
        <v>3.4</v>
      </c>
      <c r="H121" s="19">
        <f t="shared" si="2"/>
        <v>-2.9325513196481615E-3</v>
      </c>
      <c r="I121" s="3">
        <v>16059188</v>
      </c>
      <c r="J121" s="8">
        <v>15362.32</v>
      </c>
      <c r="K121" s="3">
        <v>4518328958</v>
      </c>
      <c r="M121" s="10">
        <f t="shared" si="3"/>
        <v>0.44854881266490765</v>
      </c>
    </row>
    <row r="122" spans="1:13" ht="15" customHeight="1">
      <c r="A122" t="s">
        <v>13</v>
      </c>
      <c r="B122" t="s">
        <v>14</v>
      </c>
      <c r="C122" s="12" t="s">
        <v>135</v>
      </c>
      <c r="D122" s="5">
        <v>3.39</v>
      </c>
      <c r="E122" s="8">
        <v>3.4550000000000001</v>
      </c>
      <c r="F122" s="8">
        <v>3.35</v>
      </c>
      <c r="G122" s="8">
        <v>3.37</v>
      </c>
      <c r="H122" s="19">
        <f t="shared" si="2"/>
        <v>-5.8997050147492677E-3</v>
      </c>
      <c r="I122" s="3">
        <v>14294709</v>
      </c>
      <c r="J122" s="8">
        <v>15226.77</v>
      </c>
      <c r="K122" s="3">
        <v>4518328958</v>
      </c>
      <c r="M122" s="10">
        <f t="shared" si="3"/>
        <v>0.4445910290237467</v>
      </c>
    </row>
    <row r="123" spans="1:13" ht="15" customHeight="1">
      <c r="A123" t="s">
        <v>13</v>
      </c>
      <c r="B123" t="s">
        <v>14</v>
      </c>
      <c r="C123" s="12" t="s">
        <v>136</v>
      </c>
      <c r="D123" s="5">
        <v>3.34</v>
      </c>
      <c r="E123" s="8">
        <v>3.43</v>
      </c>
      <c r="F123" s="8">
        <v>3.33</v>
      </c>
      <c r="G123" s="8">
        <v>3.4</v>
      </c>
      <c r="H123" s="19">
        <f t="shared" si="2"/>
        <v>1.7964071856287442E-2</v>
      </c>
      <c r="I123" s="3">
        <v>9236298</v>
      </c>
      <c r="J123" s="8">
        <v>15362.32</v>
      </c>
      <c r="K123" s="3">
        <v>4518328958</v>
      </c>
      <c r="M123" s="10">
        <f t="shared" si="3"/>
        <v>0.44854881266490765</v>
      </c>
    </row>
    <row r="124" spans="1:13" ht="15" customHeight="1">
      <c r="A124" t="s">
        <v>13</v>
      </c>
      <c r="B124" t="s">
        <v>14</v>
      </c>
      <c r="C124" s="12" t="s">
        <v>137</v>
      </c>
      <c r="D124" s="5">
        <v>3.36</v>
      </c>
      <c r="E124" s="8">
        <v>3.415</v>
      </c>
      <c r="F124" s="8">
        <v>3.32</v>
      </c>
      <c r="G124" s="8">
        <v>3.38</v>
      </c>
      <c r="H124" s="19">
        <f t="shared" si="2"/>
        <v>5.9523809523809581E-3</v>
      </c>
      <c r="I124" s="3">
        <v>10017449</v>
      </c>
      <c r="J124" s="8">
        <v>15271.95</v>
      </c>
      <c r="K124" s="3">
        <v>4518328958</v>
      </c>
      <c r="M124" s="10">
        <f t="shared" si="3"/>
        <v>0.44591029023746698</v>
      </c>
    </row>
    <row r="125" spans="1:13" ht="15" customHeight="1">
      <c r="A125" t="s">
        <v>13</v>
      </c>
      <c r="B125" t="s">
        <v>14</v>
      </c>
      <c r="C125" s="12" t="s">
        <v>138</v>
      </c>
      <c r="D125" s="5">
        <v>3.37</v>
      </c>
      <c r="E125" s="8">
        <v>3.37</v>
      </c>
      <c r="F125" s="8">
        <v>3.3050000000000002</v>
      </c>
      <c r="G125" s="8">
        <v>3.36</v>
      </c>
      <c r="H125" s="19">
        <f t="shared" si="2"/>
        <v>-2.9673590504451725E-3</v>
      </c>
      <c r="I125" s="3">
        <v>10930697</v>
      </c>
      <c r="J125" s="8">
        <v>15181.59</v>
      </c>
      <c r="K125" s="3">
        <v>4518328958</v>
      </c>
      <c r="M125" s="10">
        <f t="shared" si="3"/>
        <v>0.44327176781002636</v>
      </c>
    </row>
    <row r="126" spans="1:13" ht="15" customHeight="1">
      <c r="A126" t="s">
        <v>13</v>
      </c>
      <c r="B126" t="s">
        <v>14</v>
      </c>
      <c r="C126" s="12" t="s">
        <v>139</v>
      </c>
      <c r="D126" s="5">
        <v>3.31</v>
      </c>
      <c r="E126" s="8">
        <v>3.35</v>
      </c>
      <c r="F126" s="8">
        <v>3.31</v>
      </c>
      <c r="G126" s="8">
        <v>3.34</v>
      </c>
      <c r="H126" s="19">
        <f t="shared" si="2"/>
        <v>9.0634441087612694E-3</v>
      </c>
      <c r="I126" s="3">
        <v>19155741</v>
      </c>
      <c r="J126" s="8">
        <v>15091.22</v>
      </c>
      <c r="K126" s="3">
        <v>4518328958</v>
      </c>
      <c r="M126" s="10">
        <f t="shared" si="3"/>
        <v>0.44063324538258575</v>
      </c>
    </row>
    <row r="127" spans="1:13" ht="15" customHeight="1">
      <c r="A127" t="s">
        <v>13</v>
      </c>
      <c r="B127" t="s">
        <v>14</v>
      </c>
      <c r="C127" s="12" t="s">
        <v>140</v>
      </c>
      <c r="D127" s="5">
        <v>3.37</v>
      </c>
      <c r="E127" s="8">
        <v>3.42</v>
      </c>
      <c r="F127" s="8">
        <v>3.3450000000000002</v>
      </c>
      <c r="G127" s="8">
        <v>3.41</v>
      </c>
      <c r="H127" s="19">
        <f t="shared" ref="H127:H190" si="4">(G127-D127)/D127</f>
        <v>1.1869436201780426E-2</v>
      </c>
      <c r="I127" s="3">
        <v>8755188</v>
      </c>
      <c r="J127" s="8">
        <v>15407.5</v>
      </c>
      <c r="K127" s="3">
        <v>4518328958</v>
      </c>
      <c r="M127" s="10">
        <f t="shared" si="3"/>
        <v>0.44986807387862798</v>
      </c>
    </row>
    <row r="128" spans="1:13" ht="15" customHeight="1">
      <c r="A128" t="s">
        <v>13</v>
      </c>
      <c r="B128" t="s">
        <v>14</v>
      </c>
      <c r="C128" s="12" t="s">
        <v>141</v>
      </c>
      <c r="D128" s="5">
        <v>3.38</v>
      </c>
      <c r="E128" s="8">
        <v>3.41</v>
      </c>
      <c r="F128" s="8">
        <v>3.375</v>
      </c>
      <c r="G128" s="8">
        <v>3.41</v>
      </c>
      <c r="H128" s="19">
        <f t="shared" si="4"/>
        <v>8.8757396449704873E-3</v>
      </c>
      <c r="I128" s="3">
        <v>2536365</v>
      </c>
      <c r="J128" s="8">
        <v>15407.5</v>
      </c>
      <c r="K128" s="3">
        <v>4518328958</v>
      </c>
      <c r="M128" s="10">
        <f t="shared" si="3"/>
        <v>0.44986807387862798</v>
      </c>
    </row>
    <row r="129" spans="1:13" ht="15" customHeight="1">
      <c r="A129" t="s">
        <v>13</v>
      </c>
      <c r="B129" t="s">
        <v>14</v>
      </c>
      <c r="C129" s="12" t="s">
        <v>142</v>
      </c>
      <c r="D129" s="5">
        <v>3.41</v>
      </c>
      <c r="E129" s="8">
        <v>3.45</v>
      </c>
      <c r="F129" s="8">
        <v>3.39</v>
      </c>
      <c r="G129" s="8">
        <v>3.4</v>
      </c>
      <c r="H129" s="19">
        <f t="shared" si="4"/>
        <v>-2.9325513196481615E-3</v>
      </c>
      <c r="I129" s="3">
        <v>5446015</v>
      </c>
      <c r="J129" s="8">
        <v>15362.32</v>
      </c>
      <c r="K129" s="3">
        <v>4518328958</v>
      </c>
      <c r="M129" s="10">
        <f t="shared" si="3"/>
        <v>0.44854881266490765</v>
      </c>
    </row>
    <row r="130" spans="1:13" ht="15" customHeight="1">
      <c r="A130" t="s">
        <v>13</v>
      </c>
      <c r="B130" t="s">
        <v>14</v>
      </c>
      <c r="C130" s="12" t="s">
        <v>143</v>
      </c>
      <c r="D130" s="5">
        <v>3.38</v>
      </c>
      <c r="E130" s="8">
        <v>3.41</v>
      </c>
      <c r="F130" s="8">
        <v>3.37</v>
      </c>
      <c r="G130" s="8">
        <v>3.4</v>
      </c>
      <c r="H130" s="19">
        <f t="shared" si="4"/>
        <v>5.9171597633136145E-3</v>
      </c>
      <c r="I130" s="3">
        <v>5831404</v>
      </c>
      <c r="J130" s="8">
        <v>15362.32</v>
      </c>
      <c r="K130" s="3">
        <v>4518328958</v>
      </c>
      <c r="M130" s="10">
        <f t="shared" si="3"/>
        <v>0.44854881266490765</v>
      </c>
    </row>
    <row r="131" spans="1:13" ht="15" customHeight="1">
      <c r="A131" t="s">
        <v>13</v>
      </c>
      <c r="B131" t="s">
        <v>14</v>
      </c>
      <c r="C131" s="12" t="s">
        <v>144</v>
      </c>
      <c r="D131" s="5">
        <v>3.36</v>
      </c>
      <c r="E131" s="8">
        <v>3.43</v>
      </c>
      <c r="F131" s="8">
        <v>3.35</v>
      </c>
      <c r="G131" s="8">
        <v>3.4</v>
      </c>
      <c r="H131" s="19">
        <f t="shared" si="4"/>
        <v>1.1904761904761916E-2</v>
      </c>
      <c r="I131" s="3">
        <v>5074019</v>
      </c>
      <c r="J131" s="8">
        <v>15362.32</v>
      </c>
      <c r="K131" s="3">
        <v>4518328958</v>
      </c>
      <c r="M131" s="10">
        <f t="shared" ref="M131:M194" si="5">G131/7.58</f>
        <v>0.44854881266490765</v>
      </c>
    </row>
    <row r="132" spans="1:13" ht="15" customHeight="1">
      <c r="A132" t="s">
        <v>13</v>
      </c>
      <c r="B132" t="s">
        <v>14</v>
      </c>
      <c r="C132" s="12" t="s">
        <v>145</v>
      </c>
      <c r="D132" s="5">
        <v>3.4</v>
      </c>
      <c r="E132" s="8">
        <v>3.49</v>
      </c>
      <c r="F132" s="8">
        <v>3.395</v>
      </c>
      <c r="G132" s="8">
        <v>3.46</v>
      </c>
      <c r="H132" s="19">
        <f t="shared" si="4"/>
        <v>1.7647058823529429E-2</v>
      </c>
      <c r="I132" s="3">
        <v>7244080</v>
      </c>
      <c r="J132" s="8">
        <v>15633.42</v>
      </c>
      <c r="K132" s="3">
        <v>4518328958</v>
      </c>
      <c r="M132" s="10">
        <f t="shared" si="5"/>
        <v>0.45646437994722955</v>
      </c>
    </row>
    <row r="133" spans="1:13" ht="15" customHeight="1">
      <c r="A133" t="s">
        <v>13</v>
      </c>
      <c r="B133" t="s">
        <v>14</v>
      </c>
      <c r="C133" s="12" t="s">
        <v>146</v>
      </c>
      <c r="D133" s="5">
        <v>3.46</v>
      </c>
      <c r="E133" s="8">
        <v>3.49</v>
      </c>
      <c r="F133" s="8">
        <v>3.43</v>
      </c>
      <c r="G133" s="8">
        <v>3.46</v>
      </c>
      <c r="H133" s="19">
        <f t="shared" si="4"/>
        <v>0</v>
      </c>
      <c r="I133" s="3">
        <v>5814788</v>
      </c>
      <c r="J133" s="8">
        <v>15630.26</v>
      </c>
      <c r="K133" s="3">
        <v>4517415782</v>
      </c>
      <c r="M133" s="10">
        <f t="shared" si="5"/>
        <v>0.45646437994722955</v>
      </c>
    </row>
    <row r="134" spans="1:13" ht="15" customHeight="1">
      <c r="A134" t="s">
        <v>13</v>
      </c>
      <c r="B134" t="s">
        <v>14</v>
      </c>
      <c r="C134" s="12" t="s">
        <v>147</v>
      </c>
      <c r="D134" s="5">
        <v>3.46</v>
      </c>
      <c r="E134" s="8">
        <v>3.47</v>
      </c>
      <c r="F134" s="8">
        <v>3.37</v>
      </c>
      <c r="G134" s="8">
        <v>3.4</v>
      </c>
      <c r="H134" s="19">
        <f t="shared" si="4"/>
        <v>-1.7341040462427761E-2</v>
      </c>
      <c r="I134" s="3">
        <v>9706223</v>
      </c>
      <c r="J134" s="8">
        <v>15359.21</v>
      </c>
      <c r="K134" s="3">
        <v>4517415782</v>
      </c>
      <c r="M134" s="10">
        <f t="shared" si="5"/>
        <v>0.44854881266490765</v>
      </c>
    </row>
    <row r="135" spans="1:13" ht="15" customHeight="1">
      <c r="A135" t="s">
        <v>13</v>
      </c>
      <c r="B135" t="s">
        <v>14</v>
      </c>
      <c r="C135" s="12" t="s">
        <v>148</v>
      </c>
      <c r="D135" s="5">
        <v>3.47</v>
      </c>
      <c r="E135" s="8">
        <v>3.48</v>
      </c>
      <c r="F135" s="8">
        <v>3.38</v>
      </c>
      <c r="G135" s="8">
        <v>3.4</v>
      </c>
      <c r="H135" s="19">
        <f t="shared" si="4"/>
        <v>-2.0172910662824287E-2</v>
      </c>
      <c r="I135" s="3">
        <v>7193757</v>
      </c>
      <c r="J135" s="8">
        <v>15359.21</v>
      </c>
      <c r="K135" s="3">
        <v>4517415782</v>
      </c>
      <c r="M135" s="10">
        <f t="shared" si="5"/>
        <v>0.44854881266490765</v>
      </c>
    </row>
    <row r="136" spans="1:13" ht="15" customHeight="1">
      <c r="A136" t="s">
        <v>13</v>
      </c>
      <c r="B136" t="s">
        <v>14</v>
      </c>
      <c r="C136" s="12" t="s">
        <v>149</v>
      </c>
      <c r="D136" s="5">
        <v>3.42</v>
      </c>
      <c r="E136" s="8">
        <v>3.44</v>
      </c>
      <c r="F136" s="8">
        <v>3.38</v>
      </c>
      <c r="G136" s="8">
        <v>3.41</v>
      </c>
      <c r="H136" s="19">
        <f t="shared" si="4"/>
        <v>-2.9239766081870723E-3</v>
      </c>
      <c r="I136" s="3">
        <v>9258282</v>
      </c>
      <c r="J136" s="8">
        <v>15404.39</v>
      </c>
      <c r="K136" s="3">
        <v>4517415782</v>
      </c>
      <c r="M136" s="10">
        <f t="shared" si="5"/>
        <v>0.44986807387862798</v>
      </c>
    </row>
    <row r="137" spans="1:13" ht="15" customHeight="1">
      <c r="A137" t="s">
        <v>13</v>
      </c>
      <c r="B137" t="s">
        <v>14</v>
      </c>
      <c r="C137" s="12" t="s">
        <v>150</v>
      </c>
      <c r="D137" s="5">
        <v>3.39</v>
      </c>
      <c r="E137" s="8">
        <v>3.39</v>
      </c>
      <c r="F137" s="8">
        <v>3.35</v>
      </c>
      <c r="G137" s="8">
        <v>3.38</v>
      </c>
      <c r="H137" s="19">
        <f t="shared" si="4"/>
        <v>-2.9498525073746993E-3</v>
      </c>
      <c r="I137" s="3">
        <v>6468485</v>
      </c>
      <c r="J137" s="8">
        <v>15268.87</v>
      </c>
      <c r="K137" s="3">
        <v>4517415782</v>
      </c>
      <c r="M137" s="10">
        <f t="shared" si="5"/>
        <v>0.44591029023746698</v>
      </c>
    </row>
    <row r="138" spans="1:13" ht="15" customHeight="1">
      <c r="A138" t="s">
        <v>13</v>
      </c>
      <c r="B138" t="s">
        <v>14</v>
      </c>
      <c r="C138" s="12" t="s">
        <v>151</v>
      </c>
      <c r="D138" s="5">
        <v>3.38</v>
      </c>
      <c r="E138" s="8">
        <v>3.41</v>
      </c>
      <c r="F138" s="8">
        <v>3.36</v>
      </c>
      <c r="G138" s="8">
        <v>3.4</v>
      </c>
      <c r="H138" s="19">
        <f t="shared" si="4"/>
        <v>5.9171597633136145E-3</v>
      </c>
      <c r="I138" s="3">
        <v>7527935</v>
      </c>
      <c r="J138" s="8">
        <v>15359.21</v>
      </c>
      <c r="K138" s="3">
        <v>4517415782</v>
      </c>
      <c r="M138" s="10">
        <f t="shared" si="5"/>
        <v>0.44854881266490765</v>
      </c>
    </row>
    <row r="139" spans="1:13" ht="15" customHeight="1">
      <c r="A139" t="s">
        <v>13</v>
      </c>
      <c r="B139" t="s">
        <v>14</v>
      </c>
      <c r="C139" s="12" t="s">
        <v>152</v>
      </c>
      <c r="D139" s="5">
        <v>3.36</v>
      </c>
      <c r="E139" s="8">
        <v>3.415</v>
      </c>
      <c r="F139" s="8">
        <v>3.36</v>
      </c>
      <c r="G139" s="8">
        <v>3.37</v>
      </c>
      <c r="H139" s="19">
        <f t="shared" si="4"/>
        <v>2.976190476190545E-3</v>
      </c>
      <c r="I139" s="3">
        <v>9978893</v>
      </c>
      <c r="J139" s="8">
        <v>15223.69</v>
      </c>
      <c r="K139" s="3">
        <v>4517415782</v>
      </c>
      <c r="M139" s="10">
        <f t="shared" si="5"/>
        <v>0.4445910290237467</v>
      </c>
    </row>
    <row r="140" spans="1:13" ht="15" customHeight="1">
      <c r="A140" t="s">
        <v>13</v>
      </c>
      <c r="B140" t="s">
        <v>14</v>
      </c>
      <c r="C140" s="12" t="s">
        <v>153</v>
      </c>
      <c r="D140" s="5">
        <v>3.43</v>
      </c>
      <c r="E140" s="8">
        <v>3.46</v>
      </c>
      <c r="F140" s="8">
        <v>3.4</v>
      </c>
      <c r="G140" s="8">
        <v>3.42</v>
      </c>
      <c r="H140" s="19">
        <f t="shared" si="4"/>
        <v>-2.915451895043799E-3</v>
      </c>
      <c r="I140" s="3">
        <v>13344994</v>
      </c>
      <c r="J140" s="8">
        <v>15449.56</v>
      </c>
      <c r="K140" s="3">
        <v>4517415782</v>
      </c>
      <c r="M140" s="10">
        <f t="shared" si="5"/>
        <v>0.45118733509234826</v>
      </c>
    </row>
    <row r="141" spans="1:13" ht="15" customHeight="1">
      <c r="A141" t="s">
        <v>13</v>
      </c>
      <c r="B141" t="s">
        <v>14</v>
      </c>
      <c r="C141" s="12" t="s">
        <v>154</v>
      </c>
      <c r="D141" s="5">
        <v>3.44</v>
      </c>
      <c r="E141" s="8">
        <v>3.45</v>
      </c>
      <c r="F141" s="8">
        <v>3.395</v>
      </c>
      <c r="G141" s="8">
        <v>3.42</v>
      </c>
      <c r="H141" s="19">
        <f t="shared" si="4"/>
        <v>-5.8139534883720981E-3</v>
      </c>
      <c r="I141" s="3">
        <v>8447917</v>
      </c>
      <c r="J141" s="8">
        <v>15449.56</v>
      </c>
      <c r="K141" s="3">
        <v>4517415782</v>
      </c>
      <c r="M141" s="10">
        <f t="shared" si="5"/>
        <v>0.45118733509234826</v>
      </c>
    </row>
    <row r="142" spans="1:13" ht="15" customHeight="1">
      <c r="A142" t="s">
        <v>13</v>
      </c>
      <c r="B142" t="s">
        <v>14</v>
      </c>
      <c r="C142" s="12" t="s">
        <v>155</v>
      </c>
      <c r="D142" s="5">
        <v>3.46</v>
      </c>
      <c r="E142" s="8">
        <v>3.5150000000000001</v>
      </c>
      <c r="F142" s="8">
        <v>3.44</v>
      </c>
      <c r="G142" s="8">
        <v>3.49</v>
      </c>
      <c r="H142" s="19">
        <f t="shared" si="4"/>
        <v>8.6705202312139448E-3</v>
      </c>
      <c r="I142" s="3">
        <v>12309818</v>
      </c>
      <c r="J142" s="8">
        <v>15765.78</v>
      </c>
      <c r="K142" s="3">
        <v>4517415782</v>
      </c>
      <c r="M142" s="10">
        <f t="shared" si="5"/>
        <v>0.4604221635883905</v>
      </c>
    </row>
    <row r="143" spans="1:13" ht="15" customHeight="1">
      <c r="A143" t="s">
        <v>13</v>
      </c>
      <c r="B143" t="s">
        <v>14</v>
      </c>
      <c r="C143" s="12" t="s">
        <v>156</v>
      </c>
      <c r="D143" s="5">
        <v>3.47</v>
      </c>
      <c r="E143" s="8">
        <v>3.52</v>
      </c>
      <c r="F143" s="8">
        <v>3.45</v>
      </c>
      <c r="G143" s="8">
        <v>3.48</v>
      </c>
      <c r="H143" s="19">
        <f t="shared" si="4"/>
        <v>2.8818443804033964E-3</v>
      </c>
      <c r="I143" s="3">
        <v>9864598</v>
      </c>
      <c r="J143" s="8">
        <v>15720.61</v>
      </c>
      <c r="K143" s="3">
        <v>4517415782</v>
      </c>
      <c r="M143" s="10">
        <f t="shared" si="5"/>
        <v>0.45910290237467016</v>
      </c>
    </row>
    <row r="144" spans="1:13" ht="15" customHeight="1">
      <c r="A144" t="s">
        <v>13</v>
      </c>
      <c r="B144" t="s">
        <v>14</v>
      </c>
      <c r="C144" s="12" t="s">
        <v>157</v>
      </c>
      <c r="D144" s="5">
        <v>3.53</v>
      </c>
      <c r="E144" s="8">
        <v>3.54</v>
      </c>
      <c r="F144" s="8">
        <v>3.48</v>
      </c>
      <c r="G144" s="8">
        <v>3.51</v>
      </c>
      <c r="H144" s="19">
        <f t="shared" si="4"/>
        <v>-5.6657223796034049E-3</v>
      </c>
      <c r="I144" s="3">
        <v>9755462</v>
      </c>
      <c r="J144" s="8">
        <v>15856.13</v>
      </c>
      <c r="K144" s="3">
        <v>4517415782</v>
      </c>
      <c r="M144" s="10">
        <f t="shared" si="5"/>
        <v>0.46306068601583111</v>
      </c>
    </row>
    <row r="145" spans="1:13" ht="15" customHeight="1">
      <c r="A145" t="s">
        <v>13</v>
      </c>
      <c r="B145" t="s">
        <v>14</v>
      </c>
      <c r="C145" s="12" t="s">
        <v>158</v>
      </c>
      <c r="D145" s="5">
        <v>3.55</v>
      </c>
      <c r="E145" s="8">
        <v>3.64</v>
      </c>
      <c r="F145" s="8">
        <v>3.53</v>
      </c>
      <c r="G145" s="8">
        <v>3.58</v>
      </c>
      <c r="H145" s="19">
        <f t="shared" si="4"/>
        <v>8.4507042253521829E-3</v>
      </c>
      <c r="I145" s="3">
        <v>11967577</v>
      </c>
      <c r="J145" s="8">
        <v>16172.35</v>
      </c>
      <c r="K145" s="3">
        <v>4517415782</v>
      </c>
      <c r="M145" s="10">
        <f t="shared" si="5"/>
        <v>0.47229551451187335</v>
      </c>
    </row>
    <row r="146" spans="1:13" ht="15" customHeight="1">
      <c r="A146" t="s">
        <v>13</v>
      </c>
      <c r="B146" t="s">
        <v>14</v>
      </c>
      <c r="C146" s="12" t="s">
        <v>159</v>
      </c>
      <c r="D146" s="5">
        <v>3.56</v>
      </c>
      <c r="E146" s="8">
        <v>3.6</v>
      </c>
      <c r="F146" s="8">
        <v>3.5449999999999999</v>
      </c>
      <c r="G146" s="8">
        <v>3.56</v>
      </c>
      <c r="H146" s="19">
        <f t="shared" si="4"/>
        <v>0</v>
      </c>
      <c r="I146" s="3">
        <v>11161671</v>
      </c>
      <c r="J146" s="8">
        <v>16082</v>
      </c>
      <c r="K146" s="3">
        <v>4517415782</v>
      </c>
      <c r="M146" s="10">
        <f t="shared" si="5"/>
        <v>0.46965699208443273</v>
      </c>
    </row>
    <row r="147" spans="1:13" ht="15" customHeight="1">
      <c r="A147" t="s">
        <v>13</v>
      </c>
      <c r="B147" t="s">
        <v>14</v>
      </c>
      <c r="C147" s="12" t="s">
        <v>160</v>
      </c>
      <c r="D147" s="5">
        <v>3.56</v>
      </c>
      <c r="E147" s="8">
        <v>3.57</v>
      </c>
      <c r="F147" s="8">
        <v>3.49</v>
      </c>
      <c r="G147" s="8">
        <v>3.53</v>
      </c>
      <c r="H147" s="19">
        <f t="shared" si="4"/>
        <v>-8.4269662921349006E-3</v>
      </c>
      <c r="I147" s="3">
        <v>11839465</v>
      </c>
      <c r="J147" s="8">
        <v>15946.48</v>
      </c>
      <c r="K147" s="3">
        <v>4517415782</v>
      </c>
      <c r="M147" s="10">
        <f t="shared" si="5"/>
        <v>0.46569920844327173</v>
      </c>
    </row>
    <row r="148" spans="1:13" ht="15" customHeight="1">
      <c r="A148" t="s">
        <v>13</v>
      </c>
      <c r="B148" t="s">
        <v>14</v>
      </c>
      <c r="C148" s="12" t="s">
        <v>161</v>
      </c>
      <c r="D148" s="5">
        <v>3.53</v>
      </c>
      <c r="E148" s="8">
        <v>3.55</v>
      </c>
      <c r="F148" s="8">
        <v>3.5</v>
      </c>
      <c r="G148" s="8">
        <v>3.54</v>
      </c>
      <c r="H148" s="19">
        <f t="shared" si="4"/>
        <v>2.8328611898017653E-3</v>
      </c>
      <c r="I148" s="3">
        <v>13899912</v>
      </c>
      <c r="J148" s="8">
        <v>15991.65</v>
      </c>
      <c r="K148" s="3">
        <v>4517415782</v>
      </c>
      <c r="M148" s="10">
        <f t="shared" si="5"/>
        <v>0.46701846965699206</v>
      </c>
    </row>
    <row r="149" spans="1:13" ht="15" customHeight="1">
      <c r="A149" t="s">
        <v>13</v>
      </c>
      <c r="B149" t="s">
        <v>14</v>
      </c>
      <c r="C149" s="12" t="s">
        <v>162</v>
      </c>
      <c r="D149" s="5">
        <v>3.46</v>
      </c>
      <c r="E149" s="8">
        <v>3.51</v>
      </c>
      <c r="F149" s="8">
        <v>3.3650000000000002</v>
      </c>
      <c r="G149" s="8">
        <v>3.37</v>
      </c>
      <c r="H149" s="19">
        <f t="shared" si="4"/>
        <v>-2.6011560693641578E-2</v>
      </c>
      <c r="I149" s="3">
        <v>20124646</v>
      </c>
      <c r="J149" s="8">
        <v>15223.69</v>
      </c>
      <c r="K149" s="3">
        <v>4517415782</v>
      </c>
      <c r="M149" s="10">
        <f t="shared" si="5"/>
        <v>0.4445910290237467</v>
      </c>
    </row>
    <row r="150" spans="1:13" ht="15" customHeight="1">
      <c r="A150" t="s">
        <v>13</v>
      </c>
      <c r="B150" t="s">
        <v>14</v>
      </c>
      <c r="C150" s="12" t="s">
        <v>163</v>
      </c>
      <c r="D150" s="5">
        <v>3.36</v>
      </c>
      <c r="E150" s="8">
        <v>3.375</v>
      </c>
      <c r="F150" s="8">
        <v>3.29</v>
      </c>
      <c r="G150" s="8">
        <v>3.29</v>
      </c>
      <c r="H150" s="19">
        <f t="shared" si="4"/>
        <v>-2.0833333333333287E-2</v>
      </c>
      <c r="I150" s="3">
        <v>21131826</v>
      </c>
      <c r="J150" s="8">
        <v>14862.3</v>
      </c>
      <c r="K150" s="3">
        <v>4517415782</v>
      </c>
      <c r="M150" s="10">
        <f t="shared" si="5"/>
        <v>0.43403693931398418</v>
      </c>
    </row>
    <row r="151" spans="1:13" ht="15" customHeight="1">
      <c r="A151" t="s">
        <v>13</v>
      </c>
      <c r="B151" t="s">
        <v>14</v>
      </c>
      <c r="C151" s="12" t="s">
        <v>164</v>
      </c>
      <c r="D151" s="5">
        <v>3.34</v>
      </c>
      <c r="E151" s="8">
        <v>3.38</v>
      </c>
      <c r="F151" s="8">
        <v>3.31</v>
      </c>
      <c r="G151" s="8">
        <v>3.36</v>
      </c>
      <c r="H151" s="19">
        <f t="shared" si="4"/>
        <v>5.988023952095814E-3</v>
      </c>
      <c r="I151" s="3">
        <v>18129204</v>
      </c>
      <c r="J151" s="8">
        <v>15178.52</v>
      </c>
      <c r="K151" s="3">
        <v>4517415782</v>
      </c>
      <c r="M151" s="10">
        <f t="shared" si="5"/>
        <v>0.44327176781002636</v>
      </c>
    </row>
    <row r="152" spans="1:13" ht="15" customHeight="1">
      <c r="A152" t="s">
        <v>13</v>
      </c>
      <c r="B152" t="s">
        <v>14</v>
      </c>
      <c r="C152" s="12" t="s">
        <v>165</v>
      </c>
      <c r="D152" s="5">
        <v>3.35</v>
      </c>
      <c r="E152" s="8">
        <v>3.4049999999999998</v>
      </c>
      <c r="F152" s="8">
        <v>3.35</v>
      </c>
      <c r="G152" s="8">
        <v>3.36</v>
      </c>
      <c r="H152" s="19">
        <f t="shared" si="4"/>
        <v>2.9850746268656079E-3</v>
      </c>
      <c r="I152" s="3">
        <v>12898472</v>
      </c>
      <c r="J152" s="8">
        <v>15178.52</v>
      </c>
      <c r="K152" s="3">
        <v>4517415782</v>
      </c>
      <c r="M152" s="10">
        <f t="shared" si="5"/>
        <v>0.44327176781002636</v>
      </c>
    </row>
    <row r="153" spans="1:13" ht="15" customHeight="1">
      <c r="A153" t="s">
        <v>13</v>
      </c>
      <c r="B153" t="s">
        <v>14</v>
      </c>
      <c r="C153" s="12" t="s">
        <v>166</v>
      </c>
      <c r="D153" s="5">
        <v>3.3</v>
      </c>
      <c r="E153" s="8">
        <v>3.335</v>
      </c>
      <c r="F153" s="8">
        <v>3.2549999999999999</v>
      </c>
      <c r="G153" s="8">
        <v>3.31</v>
      </c>
      <c r="H153" s="19">
        <f t="shared" si="4"/>
        <v>3.0303030303031006E-3</v>
      </c>
      <c r="I153" s="3">
        <v>14484501</v>
      </c>
      <c r="J153" s="8">
        <v>14952.65</v>
      </c>
      <c r="K153" s="3">
        <v>4517415782</v>
      </c>
      <c r="M153" s="10">
        <f t="shared" si="5"/>
        <v>0.4366754617414248</v>
      </c>
    </row>
    <row r="154" spans="1:13" ht="15" customHeight="1">
      <c r="A154" t="s">
        <v>13</v>
      </c>
      <c r="B154" t="s">
        <v>14</v>
      </c>
      <c r="C154" s="12" t="s">
        <v>167</v>
      </c>
      <c r="D154" s="5">
        <v>3.34</v>
      </c>
      <c r="E154" s="8">
        <v>3.39</v>
      </c>
      <c r="F154" s="8">
        <v>3.32</v>
      </c>
      <c r="G154" s="8">
        <v>3.38</v>
      </c>
      <c r="H154" s="19">
        <f t="shared" si="4"/>
        <v>1.1976047904191628E-2</v>
      </c>
      <c r="I154" s="3">
        <v>11500191</v>
      </c>
      <c r="J154" s="8">
        <v>15268.87</v>
      </c>
      <c r="K154" s="3">
        <v>4517415782</v>
      </c>
      <c r="M154" s="10">
        <f t="shared" si="5"/>
        <v>0.44591029023746698</v>
      </c>
    </row>
    <row r="155" spans="1:13" ht="15" customHeight="1">
      <c r="A155" t="s">
        <v>13</v>
      </c>
      <c r="B155" t="s">
        <v>14</v>
      </c>
      <c r="C155" s="12" t="s">
        <v>168</v>
      </c>
      <c r="D155" s="5">
        <v>3.4</v>
      </c>
      <c r="E155" s="8">
        <v>3.52</v>
      </c>
      <c r="F155" s="8">
        <v>3.4</v>
      </c>
      <c r="G155" s="8">
        <v>3.45</v>
      </c>
      <c r="H155" s="19">
        <f t="shared" si="4"/>
        <v>1.4705882352941256E-2</v>
      </c>
      <c r="I155" s="3">
        <v>16395461</v>
      </c>
      <c r="J155" s="8">
        <v>15585.08</v>
      </c>
      <c r="K155" s="3">
        <v>4517415782</v>
      </c>
      <c r="M155" s="10">
        <f t="shared" si="5"/>
        <v>0.45514511873350927</v>
      </c>
    </row>
    <row r="156" spans="1:13" ht="15" customHeight="1">
      <c r="A156" t="s">
        <v>13</v>
      </c>
      <c r="B156" t="s">
        <v>14</v>
      </c>
      <c r="C156" s="12" t="s">
        <v>169</v>
      </c>
      <c r="D156" s="5">
        <v>3.49</v>
      </c>
      <c r="E156" s="8">
        <v>3.5</v>
      </c>
      <c r="F156" s="8">
        <v>3.45</v>
      </c>
      <c r="G156" s="8">
        <v>3.47</v>
      </c>
      <c r="H156" s="19">
        <f t="shared" si="4"/>
        <v>-5.7306590257879706E-3</v>
      </c>
      <c r="I156" s="3">
        <v>9923403</v>
      </c>
      <c r="J156" s="8">
        <v>15675.43</v>
      </c>
      <c r="K156" s="3">
        <v>4517415782</v>
      </c>
      <c r="M156" s="10">
        <f t="shared" si="5"/>
        <v>0.45778364116094988</v>
      </c>
    </row>
    <row r="157" spans="1:13" ht="15" customHeight="1">
      <c r="A157" t="s">
        <v>13</v>
      </c>
      <c r="B157" t="s">
        <v>14</v>
      </c>
      <c r="C157" s="12" t="s">
        <v>170</v>
      </c>
      <c r="D157" s="5">
        <v>3.5</v>
      </c>
      <c r="E157" s="8">
        <v>3.54</v>
      </c>
      <c r="F157" s="8">
        <v>3.4350000000000001</v>
      </c>
      <c r="G157" s="8">
        <v>3.5</v>
      </c>
      <c r="H157" s="19">
        <f t="shared" si="4"/>
        <v>0</v>
      </c>
      <c r="I157" s="3">
        <v>10527075</v>
      </c>
      <c r="J157" s="8">
        <v>15810.96</v>
      </c>
      <c r="K157" s="3">
        <v>4517415782</v>
      </c>
      <c r="M157" s="10">
        <f t="shared" si="5"/>
        <v>0.46174142480211083</v>
      </c>
    </row>
    <row r="158" spans="1:13" ht="15" customHeight="1">
      <c r="A158" t="s">
        <v>13</v>
      </c>
      <c r="B158" t="s">
        <v>14</v>
      </c>
      <c r="C158" s="12" t="s">
        <v>171</v>
      </c>
      <c r="D158" s="5">
        <v>3.46</v>
      </c>
      <c r="E158" s="8">
        <v>3.51</v>
      </c>
      <c r="F158" s="8">
        <v>3.43</v>
      </c>
      <c r="G158" s="8">
        <v>3.44</v>
      </c>
      <c r="H158" s="19">
        <f t="shared" si="4"/>
        <v>-5.7803468208092535E-3</v>
      </c>
      <c r="I158" s="3">
        <v>12788311</v>
      </c>
      <c r="J158" s="8">
        <v>15539.91</v>
      </c>
      <c r="K158" s="3">
        <v>4517415782</v>
      </c>
      <c r="M158" s="10">
        <f t="shared" si="5"/>
        <v>0.45382585751978893</v>
      </c>
    </row>
    <row r="159" spans="1:13" ht="15" customHeight="1">
      <c r="A159" t="s">
        <v>13</v>
      </c>
      <c r="B159" t="s">
        <v>14</v>
      </c>
      <c r="C159" s="12" t="s">
        <v>172</v>
      </c>
      <c r="D159" s="5">
        <v>3.43</v>
      </c>
      <c r="E159" s="8">
        <v>3.46</v>
      </c>
      <c r="F159" s="8">
        <v>3.38</v>
      </c>
      <c r="G159" s="8">
        <v>3.43</v>
      </c>
      <c r="H159" s="19">
        <f t="shared" si="4"/>
        <v>0</v>
      </c>
      <c r="I159" s="3">
        <v>33825484</v>
      </c>
      <c r="J159" s="8">
        <v>15494.74</v>
      </c>
      <c r="K159" s="3">
        <v>4517415782</v>
      </c>
      <c r="M159" s="10">
        <f t="shared" si="5"/>
        <v>0.4525065963060686</v>
      </c>
    </row>
    <row r="160" spans="1:13" ht="15" customHeight="1">
      <c r="A160" t="s">
        <v>13</v>
      </c>
      <c r="B160" t="s">
        <v>14</v>
      </c>
      <c r="C160" s="12" t="s">
        <v>173</v>
      </c>
      <c r="D160" s="5">
        <v>3.41</v>
      </c>
      <c r="E160" s="8">
        <v>3.4350000000000001</v>
      </c>
      <c r="F160" s="8">
        <v>3.38</v>
      </c>
      <c r="G160" s="8">
        <v>3.43</v>
      </c>
      <c r="H160" s="19">
        <f t="shared" si="4"/>
        <v>5.8651026392961929E-3</v>
      </c>
      <c r="I160" s="3">
        <v>11055250</v>
      </c>
      <c r="J160" s="8">
        <v>15494.74</v>
      </c>
      <c r="K160" s="3">
        <v>4517415782</v>
      </c>
      <c r="M160" s="10">
        <f t="shared" si="5"/>
        <v>0.4525065963060686</v>
      </c>
    </row>
    <row r="161" spans="1:13" ht="15" customHeight="1">
      <c r="A161" t="s">
        <v>13</v>
      </c>
      <c r="B161" t="s">
        <v>14</v>
      </c>
      <c r="C161" s="12" t="s">
        <v>174</v>
      </c>
      <c r="D161" s="5">
        <v>3.5</v>
      </c>
      <c r="E161" s="8">
        <v>3.59</v>
      </c>
      <c r="F161" s="8">
        <v>3.4049999999999998</v>
      </c>
      <c r="G161" s="8">
        <v>3.57</v>
      </c>
      <c r="H161" s="19">
        <f t="shared" si="4"/>
        <v>1.9999999999999955E-2</v>
      </c>
      <c r="I161" s="3">
        <v>18191090</v>
      </c>
      <c r="J161" s="8">
        <v>16127.17</v>
      </c>
      <c r="K161" s="3">
        <v>4517415782</v>
      </c>
      <c r="M161" s="10">
        <f t="shared" si="5"/>
        <v>0.47097625329815301</v>
      </c>
    </row>
    <row r="162" spans="1:13" ht="15" customHeight="1">
      <c r="A162" t="s">
        <v>13</v>
      </c>
      <c r="B162" t="s">
        <v>14</v>
      </c>
      <c r="C162" s="12" t="s">
        <v>175</v>
      </c>
      <c r="D162" s="5">
        <v>3.65</v>
      </c>
      <c r="E162" s="8">
        <v>3.665</v>
      </c>
      <c r="F162" s="8">
        <v>3.5649999999999999</v>
      </c>
      <c r="G162" s="8">
        <v>3.65</v>
      </c>
      <c r="H162" s="19">
        <f t="shared" si="4"/>
        <v>0</v>
      </c>
      <c r="I162" s="3">
        <v>18126481</v>
      </c>
      <c r="J162" s="8">
        <v>16488.57</v>
      </c>
      <c r="K162" s="3">
        <v>4517415782</v>
      </c>
      <c r="M162" s="10">
        <f t="shared" si="5"/>
        <v>0.48153034300791553</v>
      </c>
    </row>
    <row r="163" spans="1:13" ht="15" customHeight="1">
      <c r="A163" t="s">
        <v>13</v>
      </c>
      <c r="B163" t="s">
        <v>14</v>
      </c>
      <c r="C163" s="12" t="s">
        <v>176</v>
      </c>
      <c r="D163" s="5">
        <v>3.67</v>
      </c>
      <c r="E163" s="8">
        <v>3.72</v>
      </c>
      <c r="F163" s="8">
        <v>3.65</v>
      </c>
      <c r="G163" s="8">
        <v>3.69</v>
      </c>
      <c r="H163" s="19">
        <f t="shared" si="4"/>
        <v>5.449591280653956E-3</v>
      </c>
      <c r="I163" s="3">
        <v>19081373</v>
      </c>
      <c r="J163" s="8">
        <v>16669.259999999998</v>
      </c>
      <c r="K163" s="3">
        <v>4517415782</v>
      </c>
      <c r="M163" s="10">
        <f t="shared" si="5"/>
        <v>0.48680738786279681</v>
      </c>
    </row>
    <row r="164" spans="1:13" ht="15" customHeight="1">
      <c r="A164" t="s">
        <v>13</v>
      </c>
      <c r="B164" t="s">
        <v>14</v>
      </c>
      <c r="C164" s="12" t="s">
        <v>177</v>
      </c>
      <c r="D164" s="5">
        <v>3.69</v>
      </c>
      <c r="E164" s="8">
        <v>3.69</v>
      </c>
      <c r="F164" s="8">
        <v>3.64</v>
      </c>
      <c r="G164" s="8">
        <v>3.67</v>
      </c>
      <c r="H164" s="19">
        <f t="shared" si="4"/>
        <v>-5.4200542005420106E-3</v>
      </c>
      <c r="I164" s="3">
        <v>9230697</v>
      </c>
      <c r="J164" s="8">
        <v>16578.919999999998</v>
      </c>
      <c r="K164" s="3">
        <v>4517415782</v>
      </c>
      <c r="M164" s="10">
        <f t="shared" si="5"/>
        <v>0.4841688654353562</v>
      </c>
    </row>
    <row r="165" spans="1:13" ht="15" customHeight="1">
      <c r="A165" t="s">
        <v>13</v>
      </c>
      <c r="B165" t="s">
        <v>14</v>
      </c>
      <c r="C165" s="12" t="s">
        <v>178</v>
      </c>
      <c r="D165" s="5">
        <v>3.68</v>
      </c>
      <c r="E165" s="8">
        <v>3.7</v>
      </c>
      <c r="F165" s="8">
        <v>3.625</v>
      </c>
      <c r="G165" s="8">
        <v>3.66</v>
      </c>
      <c r="H165" s="19">
        <f t="shared" si="4"/>
        <v>-5.4347826086956564E-3</v>
      </c>
      <c r="I165" s="3">
        <v>12160795</v>
      </c>
      <c r="J165" s="8">
        <v>16533.740000000002</v>
      </c>
      <c r="K165" s="3">
        <v>4517415782</v>
      </c>
      <c r="M165" s="10">
        <f t="shared" si="5"/>
        <v>0.48284960422163592</v>
      </c>
    </row>
    <row r="166" spans="1:13" ht="15" customHeight="1">
      <c r="A166" t="s">
        <v>13</v>
      </c>
      <c r="B166" t="s">
        <v>14</v>
      </c>
      <c r="C166" s="12" t="s">
        <v>179</v>
      </c>
      <c r="D166" s="5">
        <v>3.67</v>
      </c>
      <c r="E166" s="8">
        <v>3.71</v>
      </c>
      <c r="F166" s="8">
        <v>3.61</v>
      </c>
      <c r="G166" s="8">
        <v>3.71</v>
      </c>
      <c r="H166" s="19">
        <f t="shared" si="4"/>
        <v>1.0899182561307912E-2</v>
      </c>
      <c r="I166" s="3">
        <v>19688965</v>
      </c>
      <c r="J166" s="8">
        <v>16759.61</v>
      </c>
      <c r="K166" s="3">
        <v>4517415782</v>
      </c>
      <c r="M166" s="10">
        <f t="shared" si="5"/>
        <v>0.48944591029023748</v>
      </c>
    </row>
    <row r="167" spans="1:13" ht="15" customHeight="1">
      <c r="A167" t="s">
        <v>13</v>
      </c>
      <c r="B167" t="s">
        <v>14</v>
      </c>
      <c r="C167" s="12" t="s">
        <v>180</v>
      </c>
      <c r="D167" s="5">
        <v>3.74</v>
      </c>
      <c r="E167" s="8">
        <v>3.78</v>
      </c>
      <c r="F167" s="8">
        <v>3.72</v>
      </c>
      <c r="G167" s="8">
        <v>3.74</v>
      </c>
      <c r="H167" s="19">
        <f t="shared" si="4"/>
        <v>0</v>
      </c>
      <c r="I167" s="3">
        <v>15321683</v>
      </c>
      <c r="J167" s="8">
        <v>16895.14</v>
      </c>
      <c r="K167" s="3">
        <v>4517415782</v>
      </c>
      <c r="M167" s="10">
        <f t="shared" si="5"/>
        <v>0.49340369393139843</v>
      </c>
    </row>
    <row r="168" spans="1:13" ht="15" customHeight="1">
      <c r="A168" t="s">
        <v>13</v>
      </c>
      <c r="B168" t="s">
        <v>14</v>
      </c>
      <c r="C168" s="12" t="s">
        <v>181</v>
      </c>
      <c r="D168" s="5">
        <v>3.72</v>
      </c>
      <c r="E168" s="8">
        <v>3.74</v>
      </c>
      <c r="F168" s="8">
        <v>3.63</v>
      </c>
      <c r="G168" s="8">
        <v>3.67</v>
      </c>
      <c r="H168" s="19">
        <f t="shared" si="4"/>
        <v>-1.3440860215053835E-2</v>
      </c>
      <c r="I168" s="3">
        <v>14359888</v>
      </c>
      <c r="J168" s="8">
        <v>16578.919999999998</v>
      </c>
      <c r="K168" s="3">
        <v>4517415782</v>
      </c>
      <c r="M168" s="10">
        <f t="shared" si="5"/>
        <v>0.4841688654353562</v>
      </c>
    </row>
    <row r="169" spans="1:13" ht="15" customHeight="1">
      <c r="A169" t="s">
        <v>13</v>
      </c>
      <c r="B169" t="s">
        <v>14</v>
      </c>
      <c r="C169" s="12" t="s">
        <v>182</v>
      </c>
      <c r="D169" s="5">
        <v>3.63</v>
      </c>
      <c r="E169" s="8">
        <v>3.66</v>
      </c>
      <c r="F169" s="8">
        <v>3.61</v>
      </c>
      <c r="G169" s="8">
        <v>3.65</v>
      </c>
      <c r="H169" s="19">
        <f t="shared" si="4"/>
        <v>5.5096418732782423E-3</v>
      </c>
      <c r="I169" s="3">
        <v>11475830</v>
      </c>
      <c r="J169" s="8">
        <v>16488.57</v>
      </c>
      <c r="K169" s="3">
        <v>4517415782</v>
      </c>
      <c r="M169" s="10">
        <f t="shared" si="5"/>
        <v>0.48153034300791553</v>
      </c>
    </row>
    <row r="170" spans="1:13" ht="15" customHeight="1">
      <c r="A170" t="s">
        <v>13</v>
      </c>
      <c r="B170" t="s">
        <v>14</v>
      </c>
      <c r="C170" s="12" t="s">
        <v>183</v>
      </c>
      <c r="D170" s="5">
        <v>3.63</v>
      </c>
      <c r="E170" s="8">
        <v>3.67</v>
      </c>
      <c r="F170" s="8">
        <v>3.5750000000000002</v>
      </c>
      <c r="G170" s="8">
        <v>3.61</v>
      </c>
      <c r="H170" s="19">
        <f t="shared" si="4"/>
        <v>-5.5096418732782423E-3</v>
      </c>
      <c r="I170" s="3">
        <v>11638892</v>
      </c>
      <c r="J170" s="8">
        <v>16307.87</v>
      </c>
      <c r="K170" s="3">
        <v>4517415782</v>
      </c>
      <c r="M170" s="10">
        <f t="shared" si="5"/>
        <v>0.4762532981530343</v>
      </c>
    </row>
    <row r="171" spans="1:13" ht="15" customHeight="1">
      <c r="A171" t="s">
        <v>13</v>
      </c>
      <c r="B171" t="s">
        <v>14</v>
      </c>
      <c r="C171" s="12" t="s">
        <v>184</v>
      </c>
      <c r="D171" s="5">
        <v>3.61</v>
      </c>
      <c r="E171" s="8">
        <v>3.7</v>
      </c>
      <c r="F171" s="8">
        <v>3.6</v>
      </c>
      <c r="G171" s="8">
        <v>3.64</v>
      </c>
      <c r="H171" s="19">
        <f t="shared" si="4"/>
        <v>8.3102493074792942E-3</v>
      </c>
      <c r="I171" s="3">
        <v>19503590</v>
      </c>
      <c r="J171" s="8">
        <v>16443.39</v>
      </c>
      <c r="K171" s="3">
        <v>4517415782</v>
      </c>
      <c r="M171" s="10">
        <f t="shared" si="5"/>
        <v>0.48021108179419525</v>
      </c>
    </row>
    <row r="172" spans="1:13" ht="15" customHeight="1">
      <c r="A172" t="s">
        <v>13</v>
      </c>
      <c r="B172" t="s">
        <v>14</v>
      </c>
      <c r="C172" s="12" t="s">
        <v>185</v>
      </c>
      <c r="D172" s="5">
        <v>3.61</v>
      </c>
      <c r="E172" s="8">
        <v>3.62</v>
      </c>
      <c r="F172" s="8">
        <v>3.5</v>
      </c>
      <c r="G172" s="8">
        <v>3.52</v>
      </c>
      <c r="H172" s="19">
        <f t="shared" si="4"/>
        <v>-2.4930747922437636E-2</v>
      </c>
      <c r="I172" s="3">
        <v>36980677</v>
      </c>
      <c r="J172" s="8">
        <v>15901.3</v>
      </c>
      <c r="K172" s="3">
        <v>4517415782</v>
      </c>
      <c r="M172" s="10">
        <f t="shared" si="5"/>
        <v>0.46437994722955145</v>
      </c>
    </row>
    <row r="173" spans="1:13" ht="15" customHeight="1">
      <c r="A173" t="s">
        <v>13</v>
      </c>
      <c r="B173" t="s">
        <v>14</v>
      </c>
      <c r="C173" s="12" t="s">
        <v>186</v>
      </c>
      <c r="D173" s="5">
        <v>3.51</v>
      </c>
      <c r="E173" s="8">
        <v>3.63</v>
      </c>
      <c r="F173" s="8">
        <v>3.4950000000000001</v>
      </c>
      <c r="G173" s="8">
        <v>3.63</v>
      </c>
      <c r="H173" s="19">
        <f t="shared" si="4"/>
        <v>3.4188034188034219E-2</v>
      </c>
      <c r="I173" s="3">
        <v>13507674</v>
      </c>
      <c r="J173" s="8">
        <v>16395.55</v>
      </c>
      <c r="K173" s="3">
        <v>4516680274</v>
      </c>
      <c r="M173" s="10">
        <f t="shared" si="5"/>
        <v>0.47889182058047491</v>
      </c>
    </row>
    <row r="174" spans="1:13" ht="15" customHeight="1">
      <c r="A174" t="s">
        <v>13</v>
      </c>
      <c r="B174" t="s">
        <v>14</v>
      </c>
      <c r="C174" s="12" t="s">
        <v>187</v>
      </c>
      <c r="D174" s="5">
        <v>3.59</v>
      </c>
      <c r="E174" s="8">
        <v>3.6150000000000002</v>
      </c>
      <c r="F174" s="8">
        <v>3.51</v>
      </c>
      <c r="G174" s="8">
        <v>3.52</v>
      </c>
      <c r="H174" s="19">
        <f t="shared" si="4"/>
        <v>-1.9498607242339788E-2</v>
      </c>
      <c r="I174" s="3">
        <v>16175787</v>
      </c>
      <c r="J174" s="8">
        <v>15898.71</v>
      </c>
      <c r="K174" s="3">
        <v>4516680274</v>
      </c>
      <c r="M174" s="10">
        <f t="shared" si="5"/>
        <v>0.46437994722955145</v>
      </c>
    </row>
    <row r="175" spans="1:13" ht="15" customHeight="1">
      <c r="A175" t="s">
        <v>13</v>
      </c>
      <c r="B175" t="s">
        <v>14</v>
      </c>
      <c r="C175" s="12" t="s">
        <v>188</v>
      </c>
      <c r="D175" s="5">
        <v>3.52</v>
      </c>
      <c r="E175" s="8">
        <v>3.55</v>
      </c>
      <c r="F175" s="8">
        <v>3.47</v>
      </c>
      <c r="G175" s="8">
        <v>3.51</v>
      </c>
      <c r="H175" s="19">
        <f t="shared" si="4"/>
        <v>-2.8409090909091565E-3</v>
      </c>
      <c r="I175" s="3">
        <v>16983946</v>
      </c>
      <c r="J175" s="8">
        <v>15853.55</v>
      </c>
      <c r="K175" s="3">
        <v>4516680274</v>
      </c>
      <c r="M175" s="10">
        <f t="shared" si="5"/>
        <v>0.46306068601583111</v>
      </c>
    </row>
    <row r="176" spans="1:13" ht="15" customHeight="1">
      <c r="A176" t="s">
        <v>13</v>
      </c>
      <c r="B176" t="s">
        <v>14</v>
      </c>
      <c r="C176" s="12" t="s">
        <v>189</v>
      </c>
      <c r="D176" s="5">
        <v>3.55</v>
      </c>
      <c r="E176" s="8">
        <v>3.66</v>
      </c>
      <c r="F176" s="8">
        <v>3.55</v>
      </c>
      <c r="G176" s="8">
        <v>3.64</v>
      </c>
      <c r="H176" s="19">
        <f t="shared" si="4"/>
        <v>2.5352112676056426E-2</v>
      </c>
      <c r="I176" s="3">
        <v>22995626</v>
      </c>
      <c r="J176" s="8">
        <v>16440.72</v>
      </c>
      <c r="K176" s="3">
        <v>4516680274</v>
      </c>
      <c r="M176" s="10">
        <f t="shared" si="5"/>
        <v>0.48021108179419525</v>
      </c>
    </row>
    <row r="177" spans="1:13" ht="15" customHeight="1">
      <c r="A177" t="s">
        <v>13</v>
      </c>
      <c r="B177" t="s">
        <v>14</v>
      </c>
      <c r="C177" s="12" t="s">
        <v>190</v>
      </c>
      <c r="D177" s="5">
        <v>3.62</v>
      </c>
      <c r="E177" s="8">
        <v>3.65</v>
      </c>
      <c r="F177" s="8">
        <v>3.58</v>
      </c>
      <c r="G177" s="8">
        <v>3.59</v>
      </c>
      <c r="H177" s="19">
        <f t="shared" si="4"/>
        <v>-8.2872928176796271E-3</v>
      </c>
      <c r="I177" s="3">
        <v>12230875</v>
      </c>
      <c r="J177" s="8">
        <v>16214.88</v>
      </c>
      <c r="K177" s="3">
        <v>4516680274</v>
      </c>
      <c r="M177" s="10">
        <f t="shared" si="5"/>
        <v>0.47361477572559363</v>
      </c>
    </row>
    <row r="178" spans="1:13" ht="15" customHeight="1">
      <c r="A178" t="s">
        <v>13</v>
      </c>
      <c r="B178" t="s">
        <v>14</v>
      </c>
      <c r="C178" s="12" t="s">
        <v>191</v>
      </c>
      <c r="D178" s="5">
        <v>3.59</v>
      </c>
      <c r="E178" s="8">
        <v>3.64</v>
      </c>
      <c r="F178" s="8">
        <v>3.59</v>
      </c>
      <c r="G178" s="8">
        <v>3.61</v>
      </c>
      <c r="H178" s="19">
        <f t="shared" si="4"/>
        <v>5.5710306406685289E-3</v>
      </c>
      <c r="I178" s="3">
        <v>10692645</v>
      </c>
      <c r="J178" s="8">
        <v>16305.22</v>
      </c>
      <c r="K178" s="3">
        <v>4516680274</v>
      </c>
      <c r="M178" s="10">
        <f t="shared" si="5"/>
        <v>0.4762532981530343</v>
      </c>
    </row>
    <row r="179" spans="1:13" ht="15" customHeight="1">
      <c r="A179" t="s">
        <v>13</v>
      </c>
      <c r="B179" t="s">
        <v>14</v>
      </c>
      <c r="C179" s="12" t="s">
        <v>192</v>
      </c>
      <c r="D179" s="5">
        <v>3.55</v>
      </c>
      <c r="E179" s="8">
        <v>3.61</v>
      </c>
      <c r="F179" s="8">
        <v>3.5150000000000001</v>
      </c>
      <c r="G179" s="8">
        <v>3.59</v>
      </c>
      <c r="H179" s="19">
        <f t="shared" si="4"/>
        <v>1.1267605633802828E-2</v>
      </c>
      <c r="I179" s="3">
        <v>15971582</v>
      </c>
      <c r="J179" s="8">
        <v>16214.88</v>
      </c>
      <c r="K179" s="3">
        <v>4516680274</v>
      </c>
      <c r="M179" s="10">
        <f t="shared" si="5"/>
        <v>0.47361477572559363</v>
      </c>
    </row>
    <row r="180" spans="1:13" ht="15" customHeight="1">
      <c r="A180" t="s">
        <v>13</v>
      </c>
      <c r="B180" t="s">
        <v>14</v>
      </c>
      <c r="C180" s="12" t="s">
        <v>193</v>
      </c>
      <c r="D180" s="5">
        <v>3.61</v>
      </c>
      <c r="E180" s="8">
        <v>3.65</v>
      </c>
      <c r="F180" s="8">
        <v>3.54</v>
      </c>
      <c r="G180" s="8">
        <v>3.58</v>
      </c>
      <c r="H180" s="19">
        <f t="shared" si="4"/>
        <v>-8.3102493074791711E-3</v>
      </c>
      <c r="I180" s="3">
        <v>19477598</v>
      </c>
      <c r="J180" s="8">
        <v>16169.72</v>
      </c>
      <c r="K180" s="3">
        <v>4516680274</v>
      </c>
      <c r="M180" s="10">
        <f t="shared" si="5"/>
        <v>0.47229551451187335</v>
      </c>
    </row>
    <row r="181" spans="1:13" ht="15" customHeight="1">
      <c r="A181" t="s">
        <v>13</v>
      </c>
      <c r="B181" t="s">
        <v>14</v>
      </c>
      <c r="C181" s="12" t="s">
        <v>194</v>
      </c>
      <c r="D181" s="5">
        <v>3.57</v>
      </c>
      <c r="E181" s="8">
        <v>3.61</v>
      </c>
      <c r="F181" s="8">
        <v>3.5</v>
      </c>
      <c r="G181" s="8">
        <v>3.53</v>
      </c>
      <c r="H181" s="19">
        <f t="shared" si="4"/>
        <v>-1.1204481792717097E-2</v>
      </c>
      <c r="I181" s="3">
        <v>13534139</v>
      </c>
      <c r="J181" s="8">
        <v>15943.88</v>
      </c>
      <c r="K181" s="3">
        <v>4516680274</v>
      </c>
      <c r="M181" s="10">
        <f t="shared" si="5"/>
        <v>0.46569920844327173</v>
      </c>
    </row>
    <row r="182" spans="1:13" ht="15" customHeight="1">
      <c r="A182" t="s">
        <v>13</v>
      </c>
      <c r="B182" t="s">
        <v>14</v>
      </c>
      <c r="C182" s="12" t="s">
        <v>195</v>
      </c>
      <c r="D182" s="5">
        <v>3.54</v>
      </c>
      <c r="E182" s="8">
        <v>3.57</v>
      </c>
      <c r="F182" s="8">
        <v>3.51</v>
      </c>
      <c r="G182" s="8">
        <v>3.53</v>
      </c>
      <c r="H182" s="19">
        <f t="shared" si="4"/>
        <v>-2.8248587570622119E-3</v>
      </c>
      <c r="I182" s="3">
        <v>13694812</v>
      </c>
      <c r="J182" s="8">
        <v>15943.88</v>
      </c>
      <c r="K182" s="3">
        <v>4516680274</v>
      </c>
      <c r="M182" s="10">
        <f t="shared" si="5"/>
        <v>0.46569920844327173</v>
      </c>
    </row>
    <row r="183" spans="1:13" ht="15" customHeight="1">
      <c r="A183" t="s">
        <v>13</v>
      </c>
      <c r="B183" t="s">
        <v>14</v>
      </c>
      <c r="C183" s="12" t="s">
        <v>196</v>
      </c>
      <c r="D183" s="5">
        <v>3.54</v>
      </c>
      <c r="E183" s="8">
        <v>3.63</v>
      </c>
      <c r="F183" s="8">
        <v>3.54</v>
      </c>
      <c r="G183" s="8">
        <v>3.6</v>
      </c>
      <c r="H183" s="19">
        <f t="shared" si="4"/>
        <v>1.6949152542372895E-2</v>
      </c>
      <c r="I183" s="3">
        <v>13261618</v>
      </c>
      <c r="J183" s="8">
        <v>16260.05</v>
      </c>
      <c r="K183" s="3">
        <v>4516680274</v>
      </c>
      <c r="M183" s="10">
        <f t="shared" si="5"/>
        <v>0.47493403693931396</v>
      </c>
    </row>
    <row r="184" spans="1:13" ht="15" customHeight="1">
      <c r="A184" t="s">
        <v>13</v>
      </c>
      <c r="B184" t="s">
        <v>14</v>
      </c>
      <c r="C184" s="12" t="s">
        <v>197</v>
      </c>
      <c r="D184" s="5">
        <v>3.59</v>
      </c>
      <c r="E184" s="8">
        <v>3.62</v>
      </c>
      <c r="F184" s="8">
        <v>3.55</v>
      </c>
      <c r="G184" s="8">
        <v>3.61</v>
      </c>
      <c r="H184" s="19">
        <f t="shared" si="4"/>
        <v>5.5710306406685289E-3</v>
      </c>
      <c r="I184" s="3">
        <v>14388440</v>
      </c>
      <c r="J184" s="8">
        <v>16305.22</v>
      </c>
      <c r="K184" s="3">
        <v>4516680274</v>
      </c>
      <c r="M184" s="10">
        <f t="shared" si="5"/>
        <v>0.4762532981530343</v>
      </c>
    </row>
    <row r="185" spans="1:13" ht="15" customHeight="1">
      <c r="A185" t="s">
        <v>13</v>
      </c>
      <c r="B185" t="s">
        <v>14</v>
      </c>
      <c r="C185" s="12" t="s">
        <v>198</v>
      </c>
      <c r="D185" s="5">
        <v>3.58</v>
      </c>
      <c r="E185" s="8">
        <v>3.65</v>
      </c>
      <c r="F185" s="8">
        <v>3.5649999999999999</v>
      </c>
      <c r="G185" s="8">
        <v>3.61</v>
      </c>
      <c r="H185" s="19">
        <f t="shared" si="4"/>
        <v>8.3798882681563706E-3</v>
      </c>
      <c r="I185" s="3">
        <v>14997940</v>
      </c>
      <c r="J185" s="8">
        <v>16305.22</v>
      </c>
      <c r="K185" s="3">
        <v>4516680274</v>
      </c>
      <c r="M185" s="10">
        <f t="shared" si="5"/>
        <v>0.4762532981530343</v>
      </c>
    </row>
    <row r="186" spans="1:13" ht="15" customHeight="1">
      <c r="A186" t="s">
        <v>13</v>
      </c>
      <c r="B186" t="s">
        <v>14</v>
      </c>
      <c r="C186" s="12" t="s">
        <v>199</v>
      </c>
      <c r="D186" s="5">
        <v>3.66</v>
      </c>
      <c r="E186" s="8">
        <v>3.66</v>
      </c>
      <c r="F186" s="8">
        <v>3.57</v>
      </c>
      <c r="G186" s="8">
        <v>3.62</v>
      </c>
      <c r="H186" s="19">
        <f t="shared" si="4"/>
        <v>-1.0928961748633888E-2</v>
      </c>
      <c r="I186" s="3">
        <v>20786709</v>
      </c>
      <c r="J186" s="8">
        <v>16350.38</v>
      </c>
      <c r="K186" s="3">
        <v>4516680274</v>
      </c>
      <c r="M186" s="10">
        <f t="shared" si="5"/>
        <v>0.47757255936675463</v>
      </c>
    </row>
    <row r="187" spans="1:13" ht="15" customHeight="1">
      <c r="A187" t="s">
        <v>13</v>
      </c>
      <c r="B187" t="s">
        <v>14</v>
      </c>
      <c r="C187" s="12" t="s">
        <v>200</v>
      </c>
      <c r="D187" s="5">
        <v>3.53</v>
      </c>
      <c r="E187" s="8">
        <v>3.54</v>
      </c>
      <c r="F187" s="8">
        <v>3.44</v>
      </c>
      <c r="G187" s="8">
        <v>3.53</v>
      </c>
      <c r="H187" s="19">
        <f t="shared" si="4"/>
        <v>0</v>
      </c>
      <c r="I187" s="3">
        <v>33529200</v>
      </c>
      <c r="J187" s="8">
        <v>15943.88</v>
      </c>
      <c r="K187" s="3">
        <v>4516680274</v>
      </c>
      <c r="M187" s="10">
        <f t="shared" si="5"/>
        <v>0.46569920844327173</v>
      </c>
    </row>
    <row r="188" spans="1:13" ht="15" customHeight="1">
      <c r="A188" t="s">
        <v>13</v>
      </c>
      <c r="B188" t="s">
        <v>14</v>
      </c>
      <c r="C188" s="12" t="s">
        <v>201</v>
      </c>
      <c r="D188" s="5">
        <v>3.47</v>
      </c>
      <c r="E188" s="8">
        <v>3.5</v>
      </c>
      <c r="F188" s="8">
        <v>3.41</v>
      </c>
      <c r="G188" s="8">
        <v>3.49</v>
      </c>
      <c r="H188" s="19">
        <f t="shared" si="4"/>
        <v>5.7636887608069213E-3</v>
      </c>
      <c r="I188" s="3">
        <v>15115360</v>
      </c>
      <c r="J188" s="8">
        <v>15763.21</v>
      </c>
      <c r="K188" s="3">
        <v>4516680274</v>
      </c>
      <c r="M188" s="10">
        <f t="shared" si="5"/>
        <v>0.4604221635883905</v>
      </c>
    </row>
    <row r="189" spans="1:13" ht="15" customHeight="1">
      <c r="A189" t="s">
        <v>13</v>
      </c>
      <c r="B189" t="s">
        <v>14</v>
      </c>
      <c r="C189" s="12" t="s">
        <v>202</v>
      </c>
      <c r="D189" s="5">
        <v>3.5</v>
      </c>
      <c r="E189" s="8">
        <v>3.54</v>
      </c>
      <c r="F189" s="8">
        <v>3.47</v>
      </c>
      <c r="G189" s="8">
        <v>3.51</v>
      </c>
      <c r="H189" s="19">
        <f t="shared" si="4"/>
        <v>2.8571428571427964E-3</v>
      </c>
      <c r="I189" s="3">
        <v>10970809</v>
      </c>
      <c r="J189" s="8">
        <v>15853.55</v>
      </c>
      <c r="K189" s="3">
        <v>4516680274</v>
      </c>
      <c r="M189" s="10">
        <f t="shared" si="5"/>
        <v>0.46306068601583111</v>
      </c>
    </row>
    <row r="190" spans="1:13" ht="15" customHeight="1">
      <c r="A190" t="s">
        <v>13</v>
      </c>
      <c r="B190" t="s">
        <v>14</v>
      </c>
      <c r="C190" s="12" t="s">
        <v>203</v>
      </c>
      <c r="D190" s="5">
        <v>3.55</v>
      </c>
      <c r="E190" s="8">
        <v>3.585</v>
      </c>
      <c r="F190" s="8">
        <v>3.51</v>
      </c>
      <c r="G190" s="8">
        <v>3.51</v>
      </c>
      <c r="H190" s="19">
        <f t="shared" si="4"/>
        <v>-1.1267605633802828E-2</v>
      </c>
      <c r="I190" s="3">
        <v>12634356</v>
      </c>
      <c r="J190" s="8">
        <v>15853.55</v>
      </c>
      <c r="K190" s="3">
        <v>4516680274</v>
      </c>
      <c r="M190" s="10">
        <f t="shared" si="5"/>
        <v>0.46306068601583111</v>
      </c>
    </row>
    <row r="191" spans="1:13" ht="15" customHeight="1">
      <c r="A191" t="s">
        <v>13</v>
      </c>
      <c r="B191" t="s">
        <v>14</v>
      </c>
      <c r="C191" s="12" t="s">
        <v>204</v>
      </c>
      <c r="D191" s="5">
        <v>3.52</v>
      </c>
      <c r="E191" s="8">
        <v>3.53</v>
      </c>
      <c r="F191" s="8">
        <v>3.45</v>
      </c>
      <c r="G191" s="8">
        <v>3.47</v>
      </c>
      <c r="H191" s="19">
        <f t="shared" ref="H191:H254" si="6">(G191-D191)/D191</f>
        <v>-1.4204545454545404E-2</v>
      </c>
      <c r="I191" s="3">
        <v>15381960</v>
      </c>
      <c r="J191" s="8">
        <v>15672.88</v>
      </c>
      <c r="K191" s="3">
        <v>4516680274</v>
      </c>
      <c r="M191" s="10">
        <f t="shared" si="5"/>
        <v>0.45778364116094988</v>
      </c>
    </row>
    <row r="192" spans="1:13" ht="15" customHeight="1">
      <c r="A192" t="s">
        <v>13</v>
      </c>
      <c r="B192" t="s">
        <v>14</v>
      </c>
      <c r="C192" s="12" t="s">
        <v>205</v>
      </c>
      <c r="D192" s="5">
        <v>3.4</v>
      </c>
      <c r="E192" s="8">
        <v>3.43</v>
      </c>
      <c r="F192" s="8">
        <v>3.37</v>
      </c>
      <c r="G192" s="8">
        <v>3.37</v>
      </c>
      <c r="H192" s="19">
        <f t="shared" si="6"/>
        <v>-8.8235294117646485E-3</v>
      </c>
      <c r="I192" s="3">
        <v>18889063</v>
      </c>
      <c r="J192" s="8">
        <v>15221.21</v>
      </c>
      <c r="K192" s="3">
        <v>4516680274</v>
      </c>
      <c r="M192" s="10">
        <f t="shared" si="5"/>
        <v>0.4445910290237467</v>
      </c>
    </row>
    <row r="193" spans="1:13" ht="15" customHeight="1">
      <c r="A193" t="s">
        <v>13</v>
      </c>
      <c r="B193" t="s">
        <v>14</v>
      </c>
      <c r="C193" s="12" t="s">
        <v>206</v>
      </c>
      <c r="D193" s="5">
        <v>3.31</v>
      </c>
      <c r="E193" s="8">
        <v>3.33</v>
      </c>
      <c r="F193" s="8">
        <v>3.22</v>
      </c>
      <c r="G193" s="8">
        <v>3.22</v>
      </c>
      <c r="H193" s="19">
        <f t="shared" si="6"/>
        <v>-2.7190332326283945E-2</v>
      </c>
      <c r="I193" s="3">
        <v>26542282</v>
      </c>
      <c r="J193" s="8">
        <v>14543.71</v>
      </c>
      <c r="K193" s="3">
        <v>4516680274</v>
      </c>
      <c r="M193" s="10">
        <f t="shared" si="5"/>
        <v>0.42480211081794195</v>
      </c>
    </row>
    <row r="194" spans="1:13" ht="15" customHeight="1">
      <c r="A194" t="s">
        <v>13</v>
      </c>
      <c r="B194" t="s">
        <v>14</v>
      </c>
      <c r="C194" s="12" t="s">
        <v>207</v>
      </c>
      <c r="D194" s="5">
        <v>3.26</v>
      </c>
      <c r="E194" s="8">
        <v>3.27</v>
      </c>
      <c r="F194" s="8">
        <v>3.2</v>
      </c>
      <c r="G194" s="8">
        <v>3.21</v>
      </c>
      <c r="H194" s="19">
        <f t="shared" si="6"/>
        <v>-1.5337423312883382E-2</v>
      </c>
      <c r="I194" s="3">
        <v>18427391</v>
      </c>
      <c r="J194" s="8">
        <v>14498.54</v>
      </c>
      <c r="K194" s="3">
        <v>4516680274</v>
      </c>
      <c r="M194" s="10">
        <f t="shared" si="5"/>
        <v>0.42348284960422161</v>
      </c>
    </row>
    <row r="195" spans="1:13" ht="15" customHeight="1">
      <c r="A195" t="s">
        <v>13</v>
      </c>
      <c r="B195" t="s">
        <v>14</v>
      </c>
      <c r="C195" s="12" t="s">
        <v>208</v>
      </c>
      <c r="D195" s="5">
        <v>3.22</v>
      </c>
      <c r="E195" s="8">
        <v>3.23</v>
      </c>
      <c r="F195" s="8">
        <v>3.1</v>
      </c>
      <c r="G195" s="8">
        <v>3.12</v>
      </c>
      <c r="H195" s="19">
        <f t="shared" si="6"/>
        <v>-3.105590062111804E-2</v>
      </c>
      <c r="I195" s="3">
        <v>17869751</v>
      </c>
      <c r="J195" s="8">
        <v>14079.73</v>
      </c>
      <c r="K195" s="3">
        <v>4512732493</v>
      </c>
      <c r="M195" s="10">
        <f t="shared" ref="M195:M254" si="7">G195/7.58</f>
        <v>0.41160949868073882</v>
      </c>
    </row>
    <row r="196" spans="1:13" ht="15" customHeight="1">
      <c r="A196" t="s">
        <v>13</v>
      </c>
      <c r="B196" t="s">
        <v>14</v>
      </c>
      <c r="C196" s="12" t="s">
        <v>209</v>
      </c>
      <c r="D196" s="5">
        <v>3.04</v>
      </c>
      <c r="E196" s="8">
        <v>3.06</v>
      </c>
      <c r="F196" s="8">
        <v>2.96</v>
      </c>
      <c r="G196" s="8">
        <v>2.97</v>
      </c>
      <c r="H196" s="19">
        <f t="shared" si="6"/>
        <v>-2.3026315789473631E-2</v>
      </c>
      <c r="I196" s="3">
        <v>24714515</v>
      </c>
      <c r="J196" s="8">
        <v>13402.82</v>
      </c>
      <c r="K196" s="3">
        <v>4512732493</v>
      </c>
      <c r="L196" s="14">
        <v>5.3999999999999999E-2</v>
      </c>
      <c r="M196" s="10">
        <f t="shared" si="7"/>
        <v>0.39182058047493407</v>
      </c>
    </row>
    <row r="197" spans="1:13" ht="15" customHeight="1">
      <c r="A197" t="s">
        <v>13</v>
      </c>
      <c r="B197" t="s">
        <v>14</v>
      </c>
      <c r="C197" s="12" t="s">
        <v>210</v>
      </c>
      <c r="D197" s="5">
        <v>2.91</v>
      </c>
      <c r="E197" s="8">
        <v>2.91</v>
      </c>
      <c r="F197" s="8">
        <v>2.78</v>
      </c>
      <c r="G197" s="8">
        <v>2.81</v>
      </c>
      <c r="H197" s="19">
        <f t="shared" si="6"/>
        <v>-3.436426116838491E-2</v>
      </c>
      <c r="I197" s="3">
        <v>31014585</v>
      </c>
      <c r="J197" s="8">
        <v>12680.78</v>
      </c>
      <c r="K197" s="3">
        <v>4512732493</v>
      </c>
      <c r="M197" s="10">
        <f t="shared" si="7"/>
        <v>0.37071240105540898</v>
      </c>
    </row>
    <row r="198" spans="1:13" ht="15" customHeight="1">
      <c r="A198" t="s">
        <v>13</v>
      </c>
      <c r="B198" t="s">
        <v>14</v>
      </c>
      <c r="C198" s="12" t="s">
        <v>211</v>
      </c>
      <c r="D198" s="5">
        <v>2.52</v>
      </c>
      <c r="E198" s="8">
        <v>2.64</v>
      </c>
      <c r="F198" s="8">
        <v>2.4700000000000002</v>
      </c>
      <c r="G198" s="8">
        <v>2.59</v>
      </c>
      <c r="H198" s="19">
        <f t="shared" si="6"/>
        <v>2.7777777777777714E-2</v>
      </c>
      <c r="I198" s="3">
        <v>34589129</v>
      </c>
      <c r="J198" s="8">
        <v>11687.98</v>
      </c>
      <c r="K198" s="3">
        <v>4512732493</v>
      </c>
      <c r="M198" s="10">
        <f t="shared" si="7"/>
        <v>0.34168865435356199</v>
      </c>
    </row>
    <row r="199" spans="1:13" ht="15" customHeight="1">
      <c r="A199" t="s">
        <v>13</v>
      </c>
      <c r="B199" t="s">
        <v>14</v>
      </c>
      <c r="C199" s="12" t="s">
        <v>212</v>
      </c>
      <c r="D199" s="5">
        <v>2.65</v>
      </c>
      <c r="E199" s="8">
        <v>2.7050000000000001</v>
      </c>
      <c r="F199" s="8">
        <v>2.61</v>
      </c>
      <c r="G199" s="8">
        <v>2.65</v>
      </c>
      <c r="H199" s="19">
        <f t="shared" si="6"/>
        <v>0</v>
      </c>
      <c r="I199" s="3">
        <v>31824160</v>
      </c>
      <c r="J199" s="8">
        <v>11958.74</v>
      </c>
      <c r="K199" s="3">
        <v>4512732493</v>
      </c>
      <c r="M199" s="10">
        <f t="shared" si="7"/>
        <v>0.34960422163588389</v>
      </c>
    </row>
    <row r="200" spans="1:13" ht="15" customHeight="1">
      <c r="A200" t="s">
        <v>13</v>
      </c>
      <c r="B200" t="s">
        <v>14</v>
      </c>
      <c r="C200" s="12" t="s">
        <v>213</v>
      </c>
      <c r="D200" s="5">
        <v>2.5499999999999998</v>
      </c>
      <c r="E200" s="8">
        <v>2.58</v>
      </c>
      <c r="F200" s="8">
        <v>2.5099999999999998</v>
      </c>
      <c r="G200" s="8">
        <v>2.52</v>
      </c>
      <c r="H200" s="19">
        <f t="shared" si="6"/>
        <v>-1.1764705882352865E-2</v>
      </c>
      <c r="I200" s="3">
        <v>31916718</v>
      </c>
      <c r="J200" s="8">
        <v>11372.09</v>
      </c>
      <c r="K200" s="3">
        <v>4512732493</v>
      </c>
      <c r="M200" s="10">
        <f t="shared" si="7"/>
        <v>0.33245382585751981</v>
      </c>
    </row>
    <row r="201" spans="1:13" ht="15" customHeight="1">
      <c r="A201" t="s">
        <v>13</v>
      </c>
      <c r="B201" t="s">
        <v>14</v>
      </c>
      <c r="C201" s="12" t="s">
        <v>214</v>
      </c>
      <c r="D201" s="5">
        <v>2.84</v>
      </c>
      <c r="E201" s="8">
        <v>2.85</v>
      </c>
      <c r="F201" s="8">
        <v>2.7149999999999999</v>
      </c>
      <c r="G201" s="8">
        <v>2.76</v>
      </c>
      <c r="H201" s="19">
        <f t="shared" si="6"/>
        <v>-2.8169014084507067E-2</v>
      </c>
      <c r="I201" s="3">
        <v>31986385</v>
      </c>
      <c r="J201" s="8">
        <v>12455.14</v>
      </c>
      <c r="K201" s="3">
        <v>4512732493</v>
      </c>
      <c r="M201" s="10">
        <f t="shared" si="7"/>
        <v>0.36411609498680736</v>
      </c>
    </row>
    <row r="202" spans="1:13" ht="15" customHeight="1">
      <c r="A202" t="s">
        <v>13</v>
      </c>
      <c r="B202" t="s">
        <v>14</v>
      </c>
      <c r="C202" s="12" t="s">
        <v>215</v>
      </c>
      <c r="D202" s="5">
        <v>2.65</v>
      </c>
      <c r="E202" s="8">
        <v>2.74</v>
      </c>
      <c r="F202" s="8">
        <v>2.65</v>
      </c>
      <c r="G202" s="8">
        <v>2.74</v>
      </c>
      <c r="H202" s="19">
        <f t="shared" si="6"/>
        <v>3.3962264150943514E-2</v>
      </c>
      <c r="I202" s="3">
        <v>25673127</v>
      </c>
      <c r="J202" s="8">
        <v>12364.89</v>
      </c>
      <c r="K202" s="3">
        <v>4512732493</v>
      </c>
      <c r="M202" s="10">
        <f t="shared" si="7"/>
        <v>0.3614775725593668</v>
      </c>
    </row>
    <row r="203" spans="1:13" ht="15" customHeight="1">
      <c r="A203" t="s">
        <v>13</v>
      </c>
      <c r="B203" t="s">
        <v>14</v>
      </c>
      <c r="C203" s="12" t="s">
        <v>216</v>
      </c>
      <c r="D203" s="5">
        <v>2.78</v>
      </c>
      <c r="E203" s="8">
        <v>2.82</v>
      </c>
      <c r="F203" s="8">
        <v>2.75</v>
      </c>
      <c r="G203" s="8">
        <v>2.8</v>
      </c>
      <c r="H203" s="19">
        <f t="shared" si="6"/>
        <v>7.1942446043165541E-3</v>
      </c>
      <c r="I203" s="3">
        <v>14433571</v>
      </c>
      <c r="J203" s="8">
        <v>12635.65</v>
      </c>
      <c r="K203" s="3">
        <v>4512732493</v>
      </c>
      <c r="M203" s="10">
        <f t="shared" si="7"/>
        <v>0.36939313984168864</v>
      </c>
    </row>
    <row r="204" spans="1:13" ht="15" customHeight="1">
      <c r="A204" t="s">
        <v>13</v>
      </c>
      <c r="B204" t="s">
        <v>14</v>
      </c>
      <c r="C204" s="12" t="s">
        <v>217</v>
      </c>
      <c r="D204" s="5">
        <v>2.83</v>
      </c>
      <c r="E204" s="8">
        <v>2.83</v>
      </c>
      <c r="F204" s="8">
        <v>2.77</v>
      </c>
      <c r="G204" s="8">
        <v>2.79</v>
      </c>
      <c r="H204" s="19">
        <f t="shared" si="6"/>
        <v>-1.413427561837457E-2</v>
      </c>
      <c r="I204" s="3">
        <v>13860687</v>
      </c>
      <c r="J204" s="8">
        <v>12590.52</v>
      </c>
      <c r="K204" s="3">
        <v>4512732493</v>
      </c>
      <c r="M204" s="10">
        <f t="shared" si="7"/>
        <v>0.36807387862796836</v>
      </c>
    </row>
    <row r="205" spans="1:13" ht="15" customHeight="1">
      <c r="A205" t="s">
        <v>13</v>
      </c>
      <c r="B205" t="s">
        <v>14</v>
      </c>
      <c r="C205" s="12" t="s">
        <v>218</v>
      </c>
      <c r="D205" s="5">
        <v>2.75</v>
      </c>
      <c r="E205" s="8">
        <v>2.76</v>
      </c>
      <c r="F205" s="8">
        <v>2.65</v>
      </c>
      <c r="G205" s="8">
        <v>2.67</v>
      </c>
      <c r="H205" s="19">
        <f t="shared" si="6"/>
        <v>-2.9090909090909115E-2</v>
      </c>
      <c r="I205" s="3">
        <v>14401088</v>
      </c>
      <c r="J205" s="8">
        <v>12049</v>
      </c>
      <c r="K205" s="3">
        <v>4512732493</v>
      </c>
      <c r="M205" s="10">
        <f t="shared" si="7"/>
        <v>0.35224274406332451</v>
      </c>
    </row>
    <row r="206" spans="1:13" ht="15" customHeight="1">
      <c r="A206" t="s">
        <v>13</v>
      </c>
      <c r="B206" t="s">
        <v>14</v>
      </c>
      <c r="C206" s="12" t="s">
        <v>219</v>
      </c>
      <c r="D206" s="5">
        <v>2.71</v>
      </c>
      <c r="E206" s="8">
        <v>2.72</v>
      </c>
      <c r="F206" s="8">
        <v>2.64</v>
      </c>
      <c r="G206" s="8">
        <v>2.69</v>
      </c>
      <c r="H206" s="19">
        <f t="shared" si="6"/>
        <v>-7.3800738007380141E-3</v>
      </c>
      <c r="I206" s="3">
        <v>18798336</v>
      </c>
      <c r="J206" s="8">
        <v>12139.25</v>
      </c>
      <c r="K206" s="3">
        <v>4512732493</v>
      </c>
      <c r="M206" s="10">
        <f t="shared" si="7"/>
        <v>0.35488126649076518</v>
      </c>
    </row>
    <row r="207" spans="1:13" ht="15" customHeight="1">
      <c r="A207" t="s">
        <v>13</v>
      </c>
      <c r="B207" t="s">
        <v>14</v>
      </c>
      <c r="C207" s="12" t="s">
        <v>220</v>
      </c>
      <c r="D207" s="5">
        <v>2.67</v>
      </c>
      <c r="E207" s="8">
        <v>2.67</v>
      </c>
      <c r="F207" s="8">
        <v>2.58</v>
      </c>
      <c r="G207" s="8">
        <v>2.61</v>
      </c>
      <c r="H207" s="19">
        <f t="shared" si="6"/>
        <v>-2.2471910112359571E-2</v>
      </c>
      <c r="I207" s="3">
        <v>26367398</v>
      </c>
      <c r="J207" s="8">
        <v>11778.23</v>
      </c>
      <c r="K207" s="3">
        <v>4512732493</v>
      </c>
      <c r="M207" s="10">
        <f t="shared" si="7"/>
        <v>0.34432717678100261</v>
      </c>
    </row>
    <row r="208" spans="1:13" ht="15" customHeight="1">
      <c r="A208" t="s">
        <v>13</v>
      </c>
      <c r="B208" t="s">
        <v>14</v>
      </c>
      <c r="C208" s="12" t="s">
        <v>221</v>
      </c>
      <c r="D208" s="5">
        <v>2.7</v>
      </c>
      <c r="E208" s="8">
        <v>2.72</v>
      </c>
      <c r="F208" s="8">
        <v>2.62</v>
      </c>
      <c r="G208" s="8">
        <v>2.65</v>
      </c>
      <c r="H208" s="19">
        <f t="shared" si="6"/>
        <v>-1.8518518518518615E-2</v>
      </c>
      <c r="I208" s="3">
        <v>41030881</v>
      </c>
      <c r="J208" s="8">
        <v>11958.74</v>
      </c>
      <c r="K208" s="3">
        <v>4512732493</v>
      </c>
      <c r="M208" s="10">
        <f t="shared" si="7"/>
        <v>0.34960422163588389</v>
      </c>
    </row>
    <row r="209" spans="1:13" ht="15" customHeight="1">
      <c r="A209" t="s">
        <v>13</v>
      </c>
      <c r="B209" t="s">
        <v>14</v>
      </c>
      <c r="C209" s="12" t="s">
        <v>222</v>
      </c>
      <c r="D209" s="5">
        <v>2.65</v>
      </c>
      <c r="E209" s="8">
        <v>2.7349999999999999</v>
      </c>
      <c r="F209" s="8">
        <v>2.63</v>
      </c>
      <c r="G209" s="8">
        <v>2.71</v>
      </c>
      <c r="H209" s="19">
        <f t="shared" si="6"/>
        <v>2.2641509433962283E-2</v>
      </c>
      <c r="I209" s="3">
        <v>26901835</v>
      </c>
      <c r="J209" s="8">
        <v>12229.51</v>
      </c>
      <c r="K209" s="3">
        <v>4512732493</v>
      </c>
      <c r="M209" s="10">
        <f t="shared" si="7"/>
        <v>0.35751978891820579</v>
      </c>
    </row>
    <row r="210" spans="1:13" ht="15" customHeight="1">
      <c r="A210" t="s">
        <v>13</v>
      </c>
      <c r="B210" t="s">
        <v>14</v>
      </c>
      <c r="C210" s="12" t="s">
        <v>223</v>
      </c>
      <c r="D210" s="5">
        <v>2.7</v>
      </c>
      <c r="E210" s="8">
        <v>2.7349999999999999</v>
      </c>
      <c r="F210" s="8">
        <v>2.68</v>
      </c>
      <c r="G210" s="8">
        <v>2.71</v>
      </c>
      <c r="H210" s="19">
        <f t="shared" si="6"/>
        <v>3.7037037037036245E-3</v>
      </c>
      <c r="I210" s="3">
        <v>24848748</v>
      </c>
      <c r="J210" s="8">
        <v>12229.51</v>
      </c>
      <c r="K210" s="3">
        <v>4512732493</v>
      </c>
      <c r="M210" s="10">
        <f t="shared" si="7"/>
        <v>0.35751978891820579</v>
      </c>
    </row>
    <row r="211" spans="1:13" ht="15" customHeight="1">
      <c r="A211" t="s">
        <v>13</v>
      </c>
      <c r="B211" t="s">
        <v>14</v>
      </c>
      <c r="C211" s="12" t="s">
        <v>224</v>
      </c>
      <c r="D211" s="5">
        <v>2.71</v>
      </c>
      <c r="E211" s="8">
        <v>2.81</v>
      </c>
      <c r="F211" s="8">
        <v>2.71</v>
      </c>
      <c r="G211" s="8">
        <v>2.78</v>
      </c>
      <c r="H211" s="19">
        <f t="shared" si="6"/>
        <v>2.5830258302582967E-2</v>
      </c>
      <c r="I211" s="3">
        <v>20819830</v>
      </c>
      <c r="J211" s="8">
        <v>12545.4</v>
      </c>
      <c r="K211" s="3">
        <v>4512732493</v>
      </c>
      <c r="M211" s="10">
        <f t="shared" si="7"/>
        <v>0.36675461741424797</v>
      </c>
    </row>
    <row r="212" spans="1:13" ht="15" customHeight="1">
      <c r="A212" t="s">
        <v>13</v>
      </c>
      <c r="B212" t="s">
        <v>14</v>
      </c>
      <c r="C212" s="12" t="s">
        <v>225</v>
      </c>
      <c r="D212" s="5">
        <v>2.8</v>
      </c>
      <c r="E212" s="8">
        <v>2.8</v>
      </c>
      <c r="F212" s="8">
        <v>2.7149999999999999</v>
      </c>
      <c r="G212" s="8">
        <v>2.75</v>
      </c>
      <c r="H212" s="19">
        <f t="shared" si="6"/>
        <v>-1.7857142857142794E-2</v>
      </c>
      <c r="I212" s="3">
        <v>24306396</v>
      </c>
      <c r="J212" s="8">
        <v>12410.01</v>
      </c>
      <c r="K212" s="3">
        <v>4512732493</v>
      </c>
      <c r="M212" s="10">
        <f t="shared" si="7"/>
        <v>0.36279683377308708</v>
      </c>
    </row>
    <row r="213" spans="1:13" ht="15" customHeight="1">
      <c r="A213" t="s">
        <v>13</v>
      </c>
      <c r="B213" t="s">
        <v>14</v>
      </c>
      <c r="C213" s="12" t="s">
        <v>226</v>
      </c>
      <c r="D213" s="5">
        <v>2.71</v>
      </c>
      <c r="E213" s="8">
        <v>2.7650000000000001</v>
      </c>
      <c r="F213" s="8">
        <v>2.71</v>
      </c>
      <c r="G213" s="8">
        <v>2.74</v>
      </c>
      <c r="H213" s="19">
        <f t="shared" si="6"/>
        <v>1.1070110701107102E-2</v>
      </c>
      <c r="I213" s="3">
        <v>18455202</v>
      </c>
      <c r="J213" s="8">
        <v>12364.89</v>
      </c>
      <c r="K213" s="3">
        <v>4512732493</v>
      </c>
      <c r="M213" s="10">
        <f t="shared" si="7"/>
        <v>0.3614775725593668</v>
      </c>
    </row>
    <row r="214" spans="1:13" ht="15" customHeight="1">
      <c r="A214" t="s">
        <v>13</v>
      </c>
      <c r="B214" t="s">
        <v>14</v>
      </c>
      <c r="C214" s="12" t="s">
        <v>227</v>
      </c>
      <c r="D214" s="5">
        <v>2.77</v>
      </c>
      <c r="E214" s="8">
        <v>2.87</v>
      </c>
      <c r="F214" s="8">
        <v>2.72</v>
      </c>
      <c r="G214" s="8">
        <v>2.83</v>
      </c>
      <c r="H214" s="19">
        <f t="shared" si="6"/>
        <v>2.1660649819494605E-2</v>
      </c>
      <c r="I214" s="3">
        <v>22496587</v>
      </c>
      <c r="J214" s="8">
        <v>12759.02</v>
      </c>
      <c r="K214" s="3">
        <v>4508486226</v>
      </c>
      <c r="M214" s="10">
        <f t="shared" si="7"/>
        <v>0.37335092348284959</v>
      </c>
    </row>
    <row r="215" spans="1:13" ht="15" customHeight="1">
      <c r="A215" t="s">
        <v>13</v>
      </c>
      <c r="B215" t="s">
        <v>14</v>
      </c>
      <c r="C215" s="12" t="s">
        <v>228</v>
      </c>
      <c r="D215" s="5">
        <v>2.82</v>
      </c>
      <c r="E215" s="8">
        <v>2.85</v>
      </c>
      <c r="F215" s="8">
        <v>2.79</v>
      </c>
      <c r="G215" s="8">
        <v>2.8</v>
      </c>
      <c r="H215" s="19">
        <f t="shared" si="6"/>
        <v>-7.0921985815602905E-3</v>
      </c>
      <c r="I215" s="3">
        <v>14942316</v>
      </c>
      <c r="J215" s="8">
        <v>12623.76</v>
      </c>
      <c r="K215" s="3">
        <v>4508486226</v>
      </c>
      <c r="M215" s="10">
        <f t="shared" si="7"/>
        <v>0.36939313984168864</v>
      </c>
    </row>
    <row r="216" spans="1:13" ht="15" customHeight="1">
      <c r="A216" t="s">
        <v>13</v>
      </c>
      <c r="B216" t="s">
        <v>14</v>
      </c>
      <c r="C216" s="12" t="s">
        <v>229</v>
      </c>
      <c r="D216" s="5">
        <v>2.8</v>
      </c>
      <c r="E216" s="8">
        <v>2.84</v>
      </c>
      <c r="F216" s="8">
        <v>2.7949999999999999</v>
      </c>
      <c r="G216" s="8">
        <v>2.84</v>
      </c>
      <c r="H216" s="19">
        <f t="shared" si="6"/>
        <v>1.4285714285714299E-2</v>
      </c>
      <c r="I216" s="3">
        <v>12190978</v>
      </c>
      <c r="J216" s="8">
        <v>12804.1</v>
      </c>
      <c r="K216" s="3">
        <v>4508486226</v>
      </c>
      <c r="M216" s="10">
        <f t="shared" si="7"/>
        <v>0.37467018469656987</v>
      </c>
    </row>
    <row r="217" spans="1:13" ht="15" customHeight="1">
      <c r="A217" t="s">
        <v>13</v>
      </c>
      <c r="B217" t="s">
        <v>14</v>
      </c>
      <c r="C217" s="12" t="s">
        <v>230</v>
      </c>
      <c r="D217" s="5">
        <v>2.84</v>
      </c>
      <c r="E217" s="8">
        <v>2.91</v>
      </c>
      <c r="F217" s="8">
        <v>2.82</v>
      </c>
      <c r="G217" s="8">
        <v>2.85</v>
      </c>
      <c r="H217" s="19">
        <f t="shared" si="6"/>
        <v>3.5211267605634619E-3</v>
      </c>
      <c r="I217" s="3">
        <v>19324690</v>
      </c>
      <c r="J217" s="8">
        <v>12849.19</v>
      </c>
      <c r="K217" s="3">
        <v>4508486226</v>
      </c>
      <c r="M217" s="10">
        <f t="shared" si="7"/>
        <v>0.37598944591029027</v>
      </c>
    </row>
    <row r="218" spans="1:13" ht="15" customHeight="1">
      <c r="A218" t="s">
        <v>13</v>
      </c>
      <c r="B218" t="s">
        <v>14</v>
      </c>
      <c r="C218" s="12" t="s">
        <v>231</v>
      </c>
      <c r="D218" s="5">
        <v>2.81</v>
      </c>
      <c r="E218" s="8">
        <v>2.83</v>
      </c>
      <c r="F218" s="8">
        <v>2.77</v>
      </c>
      <c r="G218" s="8">
        <v>2.82</v>
      </c>
      <c r="H218" s="19">
        <f t="shared" si="6"/>
        <v>3.5587188612098883E-3</v>
      </c>
      <c r="I218" s="3">
        <v>18959762</v>
      </c>
      <c r="J218" s="8">
        <v>12713.93</v>
      </c>
      <c r="K218" s="3">
        <v>4508486226</v>
      </c>
      <c r="M218" s="10">
        <f t="shared" si="7"/>
        <v>0.37203166226912926</v>
      </c>
    </row>
    <row r="219" spans="1:13" ht="15" customHeight="1">
      <c r="A219" t="s">
        <v>13</v>
      </c>
      <c r="B219" t="s">
        <v>14</v>
      </c>
      <c r="C219" s="12" t="s">
        <v>232</v>
      </c>
      <c r="D219" s="5">
        <v>2.8</v>
      </c>
      <c r="E219" s="8">
        <v>2.83</v>
      </c>
      <c r="F219" s="8">
        <v>2.78</v>
      </c>
      <c r="G219" s="8">
        <v>2.79</v>
      </c>
      <c r="H219" s="19">
        <f t="shared" si="6"/>
        <v>-3.5714285714284954E-3</v>
      </c>
      <c r="I219" s="3">
        <v>14545805</v>
      </c>
      <c r="J219" s="8">
        <v>12578.68</v>
      </c>
      <c r="K219" s="3">
        <v>4508486226</v>
      </c>
      <c r="M219" s="10">
        <f t="shared" si="7"/>
        <v>0.36807387862796836</v>
      </c>
    </row>
    <row r="220" spans="1:13" ht="15" customHeight="1">
      <c r="A220" t="s">
        <v>13</v>
      </c>
      <c r="B220" t="s">
        <v>14</v>
      </c>
      <c r="C220" s="12" t="s">
        <v>233</v>
      </c>
      <c r="D220" s="5">
        <v>2.82</v>
      </c>
      <c r="E220" s="8">
        <v>2.89</v>
      </c>
      <c r="F220" s="8">
        <v>2.81</v>
      </c>
      <c r="G220" s="8">
        <v>2.87</v>
      </c>
      <c r="H220" s="19">
        <f t="shared" si="6"/>
        <v>1.7730496453900804E-2</v>
      </c>
      <c r="I220" s="3">
        <v>17068184</v>
      </c>
      <c r="J220" s="8">
        <v>12939.36</v>
      </c>
      <c r="K220" s="3">
        <v>4508486226</v>
      </c>
      <c r="M220" s="10">
        <f t="shared" si="7"/>
        <v>0.37862796833773088</v>
      </c>
    </row>
    <row r="221" spans="1:13" ht="15" customHeight="1">
      <c r="A221" t="s">
        <v>13</v>
      </c>
      <c r="B221" t="s">
        <v>14</v>
      </c>
      <c r="C221" s="12" t="s">
        <v>234</v>
      </c>
      <c r="D221" s="5">
        <v>2.97</v>
      </c>
      <c r="E221" s="8">
        <v>3.05</v>
      </c>
      <c r="F221" s="8">
        <v>2.97</v>
      </c>
      <c r="G221" s="8">
        <v>3.03</v>
      </c>
      <c r="H221" s="19">
        <f t="shared" si="6"/>
        <v>2.0202020202020068E-2</v>
      </c>
      <c r="I221" s="3">
        <v>24722308</v>
      </c>
      <c r="J221" s="8">
        <v>13660.71</v>
      </c>
      <c r="K221" s="3">
        <v>4508486226</v>
      </c>
      <c r="M221" s="10">
        <f t="shared" si="7"/>
        <v>0.39973614775725591</v>
      </c>
    </row>
    <row r="222" spans="1:13" ht="15" customHeight="1">
      <c r="A222" t="s">
        <v>13</v>
      </c>
      <c r="B222" t="s">
        <v>14</v>
      </c>
      <c r="C222" s="12" t="s">
        <v>235</v>
      </c>
      <c r="D222" s="5">
        <v>3</v>
      </c>
      <c r="E222" s="8">
        <v>3.05</v>
      </c>
      <c r="F222" s="8">
        <v>2.97</v>
      </c>
      <c r="G222" s="8">
        <v>2.99</v>
      </c>
      <c r="H222" s="19">
        <f t="shared" si="6"/>
        <v>-3.3333333333332624E-3</v>
      </c>
      <c r="I222" s="3">
        <v>23298076</v>
      </c>
      <c r="J222" s="8">
        <v>13480.37</v>
      </c>
      <c r="K222" s="3">
        <v>4508486226</v>
      </c>
      <c r="M222" s="10">
        <f t="shared" si="7"/>
        <v>0.39445910290237468</v>
      </c>
    </row>
    <row r="223" spans="1:13" ht="15" customHeight="1">
      <c r="A223" t="s">
        <v>13</v>
      </c>
      <c r="B223" t="s">
        <v>14</v>
      </c>
      <c r="C223" s="12" t="s">
        <v>236</v>
      </c>
      <c r="D223" s="5">
        <v>2.95</v>
      </c>
      <c r="E223" s="8">
        <v>2.98</v>
      </c>
      <c r="F223" s="8">
        <v>2.94</v>
      </c>
      <c r="G223" s="8">
        <v>2.98</v>
      </c>
      <c r="H223" s="19">
        <f t="shared" si="6"/>
        <v>1.0169491525423662E-2</v>
      </c>
      <c r="I223" s="3">
        <v>15686418</v>
      </c>
      <c r="J223" s="8">
        <v>13435.29</v>
      </c>
      <c r="K223" s="3">
        <v>4508486226</v>
      </c>
      <c r="M223" s="10">
        <f t="shared" si="7"/>
        <v>0.39313984168865435</v>
      </c>
    </row>
    <row r="224" spans="1:13" ht="15" customHeight="1">
      <c r="A224" t="s">
        <v>13</v>
      </c>
      <c r="B224" t="s">
        <v>14</v>
      </c>
      <c r="C224" s="12" t="s">
        <v>237</v>
      </c>
      <c r="D224" s="5">
        <v>2.99</v>
      </c>
      <c r="E224" s="8">
        <v>3.0049999999999999</v>
      </c>
      <c r="F224" s="8">
        <v>2.93</v>
      </c>
      <c r="G224" s="8">
        <v>2.96</v>
      </c>
      <c r="H224" s="19">
        <f t="shared" si="6"/>
        <v>-1.0033444816053593E-2</v>
      </c>
      <c r="I224" s="3">
        <v>18821734</v>
      </c>
      <c r="J224" s="8">
        <v>13345.12</v>
      </c>
      <c r="K224" s="3">
        <v>4508486226</v>
      </c>
      <c r="M224" s="10">
        <f>G224/7.58</f>
        <v>0.39050131926121373</v>
      </c>
    </row>
    <row r="225" spans="1:13" ht="15" customHeight="1">
      <c r="A225" t="s">
        <v>13</v>
      </c>
      <c r="B225" t="s">
        <v>14</v>
      </c>
      <c r="C225" s="12" t="s">
        <v>238</v>
      </c>
      <c r="D225" s="5">
        <v>2.97</v>
      </c>
      <c r="E225" s="8">
        <v>2.97</v>
      </c>
      <c r="F225" s="8">
        <v>2.91</v>
      </c>
      <c r="G225" s="8">
        <v>2.94</v>
      </c>
      <c r="H225" s="19">
        <f t="shared" si="6"/>
        <v>-1.0101010101010183E-2</v>
      </c>
      <c r="I225" s="3">
        <v>15059447</v>
      </c>
      <c r="J225" s="8">
        <v>13254.95</v>
      </c>
      <c r="K225" s="3">
        <v>4508486226</v>
      </c>
      <c r="M225" s="10">
        <f>G225/7.58</f>
        <v>0.38786279683377306</v>
      </c>
    </row>
    <row r="226" spans="1:13" ht="15" customHeight="1">
      <c r="A226" t="s">
        <v>13</v>
      </c>
      <c r="B226" t="s">
        <v>14</v>
      </c>
      <c r="C226" s="12" t="s">
        <v>239</v>
      </c>
      <c r="D226" s="5">
        <v>3</v>
      </c>
      <c r="E226" s="8">
        <v>3.07</v>
      </c>
      <c r="F226" s="8">
        <v>2.97</v>
      </c>
      <c r="G226" s="8">
        <v>3.06</v>
      </c>
      <c r="H226" s="19">
        <f t="shared" si="6"/>
        <v>2.0000000000000018E-2</v>
      </c>
      <c r="I226" s="3">
        <v>27135468</v>
      </c>
      <c r="J226" s="8">
        <v>13795.97</v>
      </c>
      <c r="K226" s="3">
        <v>4508486226</v>
      </c>
      <c r="M226" s="10">
        <f t="shared" si="7"/>
        <v>0.40369393139841692</v>
      </c>
    </row>
    <row r="227" spans="1:13" ht="15" customHeight="1">
      <c r="A227" t="s">
        <v>13</v>
      </c>
      <c r="B227" t="s">
        <v>14</v>
      </c>
      <c r="C227" s="12" t="s">
        <v>240</v>
      </c>
      <c r="D227" s="5">
        <v>3.07</v>
      </c>
      <c r="E227" s="8">
        <v>3.12</v>
      </c>
      <c r="F227" s="8">
        <v>3.0249999999999999</v>
      </c>
      <c r="G227" s="8">
        <v>3.08</v>
      </c>
      <c r="H227" s="19">
        <f t="shared" si="6"/>
        <v>3.2573289902280886E-3</v>
      </c>
      <c r="I227" s="3">
        <v>24714335</v>
      </c>
      <c r="J227" s="8">
        <v>13886.14</v>
      </c>
      <c r="K227" s="3">
        <v>4508486226</v>
      </c>
      <c r="M227" s="10">
        <f t="shared" si="7"/>
        <v>0.40633245382585753</v>
      </c>
    </row>
    <row r="228" spans="1:13" ht="15" customHeight="1">
      <c r="A228" t="s">
        <v>13</v>
      </c>
      <c r="B228" t="s">
        <v>14</v>
      </c>
      <c r="C228" s="12" t="s">
        <v>241</v>
      </c>
      <c r="D228" s="5">
        <v>3.03</v>
      </c>
      <c r="E228" s="8">
        <v>3.1</v>
      </c>
      <c r="F228" s="8">
        <v>3.03</v>
      </c>
      <c r="G228" s="8">
        <v>3.09</v>
      </c>
      <c r="H228" s="19">
        <f t="shared" si="6"/>
        <v>1.980198019801982E-2</v>
      </c>
      <c r="I228" s="3">
        <v>15803555</v>
      </c>
      <c r="J228" s="8">
        <v>13931.22</v>
      </c>
      <c r="K228" s="3">
        <v>4508486226</v>
      </c>
      <c r="M228" s="10">
        <f t="shared" si="7"/>
        <v>0.40765171503957781</v>
      </c>
    </row>
    <row r="229" spans="1:13" ht="15" customHeight="1">
      <c r="A229" t="s">
        <v>13</v>
      </c>
      <c r="B229" t="s">
        <v>14</v>
      </c>
      <c r="C229" s="12" t="s">
        <v>242</v>
      </c>
      <c r="D229" s="5">
        <v>3.07</v>
      </c>
      <c r="E229" s="8">
        <v>3.08</v>
      </c>
      <c r="F229" s="8">
        <v>3.02</v>
      </c>
      <c r="G229" s="8">
        <v>3.03</v>
      </c>
      <c r="H229" s="19">
        <f t="shared" si="6"/>
        <v>-1.3029315960912065E-2</v>
      </c>
      <c r="I229" s="3">
        <v>11877854</v>
      </c>
      <c r="J229" s="8">
        <v>13660.71</v>
      </c>
      <c r="K229" s="3">
        <v>4508486226</v>
      </c>
      <c r="M229" s="10">
        <f t="shared" si="7"/>
        <v>0.39973614775725591</v>
      </c>
    </row>
    <row r="230" spans="1:13" ht="15" customHeight="1">
      <c r="A230" t="s">
        <v>13</v>
      </c>
      <c r="B230" t="s">
        <v>14</v>
      </c>
      <c r="C230" s="12" t="s">
        <v>243</v>
      </c>
      <c r="D230" s="5">
        <v>3.04</v>
      </c>
      <c r="E230" s="8">
        <v>3.07</v>
      </c>
      <c r="F230" s="8">
        <v>3.02</v>
      </c>
      <c r="G230" s="8">
        <v>3.05</v>
      </c>
      <c r="H230" s="19">
        <f t="shared" si="6"/>
        <v>3.2894736842104563E-3</v>
      </c>
      <c r="I230" s="3">
        <v>9879576</v>
      </c>
      <c r="J230" s="8">
        <v>13750.88</v>
      </c>
      <c r="K230" s="3">
        <v>4508486226</v>
      </c>
      <c r="M230" s="10">
        <f t="shared" si="7"/>
        <v>0.40237467018469653</v>
      </c>
    </row>
    <row r="231" spans="1:13" ht="15" customHeight="1">
      <c r="A231" t="s">
        <v>13</v>
      </c>
      <c r="B231" t="s">
        <v>14</v>
      </c>
      <c r="C231" s="12" t="s">
        <v>244</v>
      </c>
      <c r="D231" s="5">
        <v>3.06</v>
      </c>
      <c r="E231" s="8">
        <v>3.1</v>
      </c>
      <c r="F231" s="8">
        <v>3.0350000000000001</v>
      </c>
      <c r="G231" s="8">
        <v>3.09</v>
      </c>
      <c r="H231" s="19">
        <f t="shared" si="6"/>
        <v>9.8039215686273867E-3</v>
      </c>
      <c r="I231" s="3">
        <v>16719868</v>
      </c>
      <c r="J231" s="8">
        <v>13931.22</v>
      </c>
      <c r="K231" s="3">
        <v>4508486226</v>
      </c>
      <c r="M231" s="10">
        <f t="shared" si="7"/>
        <v>0.40765171503957781</v>
      </c>
    </row>
    <row r="232" spans="1:13" ht="15" customHeight="1">
      <c r="A232" t="s">
        <v>13</v>
      </c>
      <c r="B232" t="s">
        <v>14</v>
      </c>
      <c r="C232" s="12" t="s">
        <v>245</v>
      </c>
      <c r="D232" s="5">
        <v>3.06</v>
      </c>
      <c r="E232" s="8">
        <v>3.08</v>
      </c>
      <c r="F232" s="8">
        <v>3.04</v>
      </c>
      <c r="G232" s="8">
        <v>3.07</v>
      </c>
      <c r="H232" s="19">
        <f t="shared" si="6"/>
        <v>3.2679738562090806E-3</v>
      </c>
      <c r="I232" s="3">
        <v>10117800</v>
      </c>
      <c r="J232" s="8">
        <v>13841.05</v>
      </c>
      <c r="K232" s="3">
        <v>4508486226</v>
      </c>
      <c r="M232" s="10">
        <f t="shared" si="7"/>
        <v>0.4050131926121372</v>
      </c>
    </row>
    <row r="233" spans="1:13" ht="15" customHeight="1">
      <c r="A233" t="s">
        <v>13</v>
      </c>
      <c r="B233" t="s">
        <v>14</v>
      </c>
      <c r="C233" s="12" t="s">
        <v>246</v>
      </c>
      <c r="D233" s="5">
        <v>3.08</v>
      </c>
      <c r="E233" s="8">
        <v>3.09</v>
      </c>
      <c r="F233" s="8">
        <v>3.0249999999999999</v>
      </c>
      <c r="G233" s="8">
        <v>3.04</v>
      </c>
      <c r="H233" s="19">
        <f t="shared" si="6"/>
        <v>-1.2987012987012998E-2</v>
      </c>
      <c r="I233" s="3">
        <v>22897184</v>
      </c>
      <c r="J233" s="8">
        <v>13705.8</v>
      </c>
      <c r="K233" s="3">
        <v>4508486226</v>
      </c>
      <c r="M233" s="10">
        <f t="shared" si="7"/>
        <v>0.40105540897097625</v>
      </c>
    </row>
    <row r="234" spans="1:13" ht="15" customHeight="1">
      <c r="A234" t="s">
        <v>13</v>
      </c>
      <c r="B234" t="s">
        <v>14</v>
      </c>
      <c r="C234" s="12" t="s">
        <v>247</v>
      </c>
      <c r="D234" s="5">
        <v>3</v>
      </c>
      <c r="E234" s="8">
        <v>3.06</v>
      </c>
      <c r="F234" s="8">
        <v>2.98</v>
      </c>
      <c r="G234" s="8">
        <v>3.05</v>
      </c>
      <c r="H234" s="19">
        <f t="shared" si="6"/>
        <v>1.6666666666666607E-2</v>
      </c>
      <c r="I234" s="3">
        <v>42713779</v>
      </c>
      <c r="J234" s="8">
        <v>13750.88</v>
      </c>
      <c r="K234" s="3">
        <v>4508486226</v>
      </c>
      <c r="M234" s="10">
        <f t="shared" si="7"/>
        <v>0.40237467018469653</v>
      </c>
    </row>
    <row r="235" spans="1:13" ht="15" customHeight="1">
      <c r="A235" t="s">
        <v>13</v>
      </c>
      <c r="B235" t="s">
        <v>14</v>
      </c>
      <c r="C235" s="12" t="s">
        <v>248</v>
      </c>
      <c r="D235" s="5">
        <v>3.01</v>
      </c>
      <c r="E235" s="8">
        <v>3.03</v>
      </c>
      <c r="F235" s="8">
        <v>2.93</v>
      </c>
      <c r="G235" s="8">
        <v>2.94</v>
      </c>
      <c r="H235" s="19">
        <f t="shared" si="6"/>
        <v>-2.325581395348832E-2</v>
      </c>
      <c r="I235" s="3">
        <v>14944262</v>
      </c>
      <c r="J235" s="8">
        <v>13254.95</v>
      </c>
      <c r="K235" s="3">
        <v>4508486226</v>
      </c>
      <c r="M235" s="10">
        <f t="shared" si="7"/>
        <v>0.38786279683377306</v>
      </c>
    </row>
    <row r="236" spans="1:13" ht="15" customHeight="1">
      <c r="A236" t="s">
        <v>13</v>
      </c>
      <c r="B236" t="s">
        <v>14</v>
      </c>
      <c r="C236" s="12" t="s">
        <v>249</v>
      </c>
      <c r="D236" s="5">
        <v>2.99</v>
      </c>
      <c r="E236" s="8">
        <v>2.99</v>
      </c>
      <c r="F236" s="8">
        <v>2.93</v>
      </c>
      <c r="G236" s="8">
        <v>2.95</v>
      </c>
      <c r="H236" s="19">
        <f t="shared" si="6"/>
        <v>-1.3377926421404692E-2</v>
      </c>
      <c r="I236" s="3">
        <v>24625256</v>
      </c>
      <c r="J236" s="8">
        <v>13296.44</v>
      </c>
      <c r="K236" s="3">
        <v>4507267591</v>
      </c>
      <c r="M236" s="10">
        <f t="shared" si="7"/>
        <v>0.38918205804749345</v>
      </c>
    </row>
    <row r="237" spans="1:13" ht="15" customHeight="1">
      <c r="A237" t="s">
        <v>13</v>
      </c>
      <c r="B237" t="s">
        <v>14</v>
      </c>
      <c r="C237" s="12" t="s">
        <v>250</v>
      </c>
      <c r="D237" s="5">
        <v>2.99</v>
      </c>
      <c r="E237" s="8">
        <v>3.04</v>
      </c>
      <c r="F237" s="8">
        <v>2.98</v>
      </c>
      <c r="G237" s="8">
        <v>3.02</v>
      </c>
      <c r="H237" s="19">
        <f t="shared" si="6"/>
        <v>1.0033444816053446E-2</v>
      </c>
      <c r="I237" s="3">
        <v>18210151</v>
      </c>
      <c r="J237" s="8">
        <v>13611.95</v>
      </c>
      <c r="K237" s="3">
        <v>4507267591</v>
      </c>
      <c r="M237" s="10">
        <f t="shared" si="7"/>
        <v>0.39841688654353563</v>
      </c>
    </row>
    <row r="238" spans="1:13" ht="15" customHeight="1">
      <c r="A238" t="s">
        <v>13</v>
      </c>
      <c r="B238" t="s">
        <v>14</v>
      </c>
      <c r="C238" s="12" t="s">
        <v>251</v>
      </c>
      <c r="D238" s="5">
        <v>3.05</v>
      </c>
      <c r="E238" s="8">
        <v>3.0649999999999999</v>
      </c>
      <c r="F238" s="8">
        <v>3.02</v>
      </c>
      <c r="G238" s="8">
        <v>3.02</v>
      </c>
      <c r="H238" s="19">
        <f t="shared" si="6"/>
        <v>-9.8360655737704285E-3</v>
      </c>
      <c r="I238" s="3">
        <v>18891005</v>
      </c>
      <c r="J238" s="8">
        <v>13611.95</v>
      </c>
      <c r="K238" s="3">
        <v>4507267591</v>
      </c>
      <c r="M238" s="10">
        <f t="shared" si="7"/>
        <v>0.39841688654353563</v>
      </c>
    </row>
    <row r="239" spans="1:13" ht="15" customHeight="1">
      <c r="A239" t="s">
        <v>13</v>
      </c>
      <c r="B239" t="s">
        <v>14</v>
      </c>
      <c r="C239" s="12" t="s">
        <v>252</v>
      </c>
      <c r="D239" s="5">
        <v>3.05</v>
      </c>
      <c r="E239" s="8">
        <v>3.06</v>
      </c>
      <c r="F239" s="8">
        <v>3.01</v>
      </c>
      <c r="G239" s="8">
        <v>3.02</v>
      </c>
      <c r="H239" s="19">
        <f t="shared" si="6"/>
        <v>-9.8360655737704285E-3</v>
      </c>
      <c r="I239" s="3">
        <v>20009112</v>
      </c>
      <c r="J239" s="8">
        <v>13611.95</v>
      </c>
      <c r="K239" s="3">
        <v>4507267591</v>
      </c>
      <c r="M239" s="10">
        <f t="shared" si="7"/>
        <v>0.39841688654353563</v>
      </c>
    </row>
    <row r="240" spans="1:13" ht="15" customHeight="1">
      <c r="A240" t="s">
        <v>13</v>
      </c>
      <c r="B240" t="s">
        <v>14</v>
      </c>
      <c r="C240" s="12" t="s">
        <v>253</v>
      </c>
      <c r="D240" s="5">
        <v>3.04</v>
      </c>
      <c r="E240" s="8">
        <v>3.09</v>
      </c>
      <c r="F240" s="8">
        <v>3.01</v>
      </c>
      <c r="G240" s="8">
        <v>3.04</v>
      </c>
      <c r="H240" s="19">
        <f t="shared" si="6"/>
        <v>0</v>
      </c>
      <c r="I240" s="3">
        <v>16051979</v>
      </c>
      <c r="J240" s="8">
        <v>13702.09</v>
      </c>
      <c r="K240" s="3">
        <v>4507267591</v>
      </c>
      <c r="M240" s="10">
        <f t="shared" si="7"/>
        <v>0.40105540897097625</v>
      </c>
    </row>
    <row r="241" spans="1:13" ht="15" customHeight="1">
      <c r="A241" t="s">
        <v>13</v>
      </c>
      <c r="B241" t="s">
        <v>14</v>
      </c>
      <c r="C241" s="12" t="s">
        <v>254</v>
      </c>
      <c r="D241" s="5">
        <v>3.06</v>
      </c>
      <c r="E241" s="8">
        <v>3.11</v>
      </c>
      <c r="F241" s="8">
        <v>3.05</v>
      </c>
      <c r="G241" s="8">
        <v>3.06</v>
      </c>
      <c r="H241" s="19">
        <f t="shared" si="6"/>
        <v>0</v>
      </c>
      <c r="I241" s="3">
        <v>15607002</v>
      </c>
      <c r="J241" s="8">
        <v>13792.24</v>
      </c>
      <c r="K241" s="3">
        <v>4507267591</v>
      </c>
      <c r="M241" s="10">
        <f t="shared" si="7"/>
        <v>0.40369393139841692</v>
      </c>
    </row>
    <row r="242" spans="1:13" ht="15" customHeight="1">
      <c r="A242" t="s">
        <v>13</v>
      </c>
      <c r="B242" t="s">
        <v>14</v>
      </c>
      <c r="C242" s="12" t="s">
        <v>255</v>
      </c>
      <c r="D242" s="5">
        <v>3.03</v>
      </c>
      <c r="E242" s="8">
        <v>3.0449999999999999</v>
      </c>
      <c r="F242" s="8">
        <v>2.9950000000000001</v>
      </c>
      <c r="G242" s="8">
        <v>3.01</v>
      </c>
      <c r="H242" s="19">
        <f t="shared" si="6"/>
        <v>-6.6006600660066068E-3</v>
      </c>
      <c r="I242" s="3">
        <v>16823690</v>
      </c>
      <c r="J242" s="8">
        <v>13566.88</v>
      </c>
      <c r="K242" s="3">
        <v>4507267591</v>
      </c>
      <c r="M242" s="10">
        <f t="shared" si="7"/>
        <v>0.3970976253298153</v>
      </c>
    </row>
    <row r="243" spans="1:13" ht="15" customHeight="1">
      <c r="A243" t="s">
        <v>13</v>
      </c>
      <c r="B243" t="s">
        <v>14</v>
      </c>
      <c r="C243" s="12" t="s">
        <v>256</v>
      </c>
      <c r="D243" s="5">
        <v>3.02</v>
      </c>
      <c r="E243" s="8">
        <v>3.03</v>
      </c>
      <c r="F243" s="8">
        <v>2.91</v>
      </c>
      <c r="G243" s="8">
        <v>2.94</v>
      </c>
      <c r="H243" s="19">
        <f t="shared" si="6"/>
        <v>-2.6490066225165587E-2</v>
      </c>
      <c r="I243" s="3">
        <v>12378428</v>
      </c>
      <c r="J243" s="8">
        <v>13251.37</v>
      </c>
      <c r="K243" s="3">
        <v>4507267591</v>
      </c>
      <c r="M243" s="10">
        <f t="shared" si="7"/>
        <v>0.38786279683377306</v>
      </c>
    </row>
    <row r="244" spans="1:13" ht="15" customHeight="1">
      <c r="A244" t="s">
        <v>13</v>
      </c>
      <c r="B244" t="s">
        <v>14</v>
      </c>
      <c r="C244" s="12" t="s">
        <v>257</v>
      </c>
      <c r="D244" s="5">
        <v>2.95</v>
      </c>
      <c r="E244" s="8">
        <v>3.02</v>
      </c>
      <c r="F244" s="8">
        <v>2.9350000000000001</v>
      </c>
      <c r="G244" s="8">
        <v>3</v>
      </c>
      <c r="H244" s="19">
        <f t="shared" si="6"/>
        <v>1.6949152542372819E-2</v>
      </c>
      <c r="I244" s="3">
        <v>17660981</v>
      </c>
      <c r="J244" s="8">
        <v>13521.8</v>
      </c>
      <c r="K244" s="3">
        <v>4507267591</v>
      </c>
      <c r="M244" s="10">
        <f t="shared" si="7"/>
        <v>0.39577836411609496</v>
      </c>
    </row>
    <row r="245" spans="1:13" ht="15" customHeight="1">
      <c r="A245" t="s">
        <v>13</v>
      </c>
      <c r="B245" t="s">
        <v>14</v>
      </c>
      <c r="C245" s="12" t="s">
        <v>258</v>
      </c>
      <c r="D245" s="5">
        <v>3</v>
      </c>
      <c r="E245" s="8">
        <v>3.05</v>
      </c>
      <c r="F245" s="8">
        <v>2.99</v>
      </c>
      <c r="G245" s="8">
        <v>3.02</v>
      </c>
      <c r="H245" s="19">
        <f t="shared" si="6"/>
        <v>6.6666666666666723E-3</v>
      </c>
      <c r="I245" s="3">
        <v>14170059</v>
      </c>
      <c r="J245" s="8">
        <v>13611.95</v>
      </c>
      <c r="K245" s="3">
        <v>4507267591</v>
      </c>
      <c r="M245" s="10">
        <f t="shared" si="7"/>
        <v>0.39841688654353563</v>
      </c>
    </row>
    <row r="246" spans="1:13" ht="15" customHeight="1">
      <c r="A246" t="s">
        <v>13</v>
      </c>
      <c r="B246" t="s">
        <v>14</v>
      </c>
      <c r="C246" s="12" t="s">
        <v>259</v>
      </c>
      <c r="D246" s="5">
        <v>3</v>
      </c>
      <c r="E246" s="8">
        <v>3.01</v>
      </c>
      <c r="F246" s="8">
        <v>2.96</v>
      </c>
      <c r="G246" s="8">
        <v>2.98</v>
      </c>
      <c r="H246" s="19">
        <f t="shared" si="6"/>
        <v>-6.6666666666666723E-3</v>
      </c>
      <c r="I246" s="3">
        <v>12910516</v>
      </c>
      <c r="J246" s="8">
        <v>13431.66</v>
      </c>
      <c r="K246" s="3">
        <v>4507267591</v>
      </c>
      <c r="M246" s="10">
        <f t="shared" si="7"/>
        <v>0.39313984168865435</v>
      </c>
    </row>
    <row r="247" spans="1:13" ht="15" customHeight="1">
      <c r="A247" t="s">
        <v>13</v>
      </c>
      <c r="B247" t="s">
        <v>14</v>
      </c>
      <c r="C247" s="12" t="s">
        <v>260</v>
      </c>
      <c r="D247" s="5">
        <v>2.97</v>
      </c>
      <c r="E247" s="8">
        <v>2.97</v>
      </c>
      <c r="F247" s="8">
        <v>2.895</v>
      </c>
      <c r="G247" s="8">
        <v>2.9</v>
      </c>
      <c r="H247" s="19">
        <f t="shared" si="6"/>
        <v>-2.3569023569023663E-2</v>
      </c>
      <c r="I247" s="3">
        <v>12337762</v>
      </c>
      <c r="J247" s="8">
        <v>13071.08</v>
      </c>
      <c r="K247" s="3">
        <v>4507267591</v>
      </c>
      <c r="M247" s="10">
        <f t="shared" si="7"/>
        <v>0.38258575197889183</v>
      </c>
    </row>
    <row r="248" spans="1:13" ht="15" customHeight="1">
      <c r="A248" t="s">
        <v>13</v>
      </c>
      <c r="B248" t="s">
        <v>14</v>
      </c>
      <c r="C248" s="12" t="s">
        <v>261</v>
      </c>
      <c r="D248" s="5">
        <v>2.9</v>
      </c>
      <c r="E248" s="8">
        <v>2.915</v>
      </c>
      <c r="F248" s="8">
        <v>2.87</v>
      </c>
      <c r="G248" s="8">
        <v>2.88</v>
      </c>
      <c r="H248" s="19">
        <f t="shared" si="6"/>
        <v>-6.896551724137937E-3</v>
      </c>
      <c r="I248" s="3">
        <v>26354856</v>
      </c>
      <c r="J248" s="8">
        <v>12980.93</v>
      </c>
      <c r="K248" s="3">
        <v>4507267591</v>
      </c>
      <c r="M248" s="10">
        <f t="shared" si="7"/>
        <v>0.37994722955145116</v>
      </c>
    </row>
    <row r="249" spans="1:13" ht="15" customHeight="1">
      <c r="A249" t="s">
        <v>13</v>
      </c>
      <c r="B249" t="s">
        <v>14</v>
      </c>
      <c r="C249" s="12" t="s">
        <v>262</v>
      </c>
      <c r="D249" s="5">
        <v>2.9</v>
      </c>
      <c r="E249" s="8">
        <v>2.9</v>
      </c>
      <c r="F249" s="8">
        <v>2.84</v>
      </c>
      <c r="G249" s="8">
        <v>2.85</v>
      </c>
      <c r="H249" s="19">
        <f t="shared" si="6"/>
        <v>-1.7241379310344768E-2</v>
      </c>
      <c r="I249" s="3">
        <v>9761579</v>
      </c>
      <c r="J249" s="8">
        <v>12845.71</v>
      </c>
      <c r="K249" s="3">
        <v>4507267591</v>
      </c>
      <c r="M249" s="10">
        <f t="shared" si="7"/>
        <v>0.37598944591029027</v>
      </c>
    </row>
    <row r="250" spans="1:13" ht="15" customHeight="1">
      <c r="A250" t="s">
        <v>13</v>
      </c>
      <c r="B250" t="s">
        <v>14</v>
      </c>
      <c r="C250" s="12" t="s">
        <v>263</v>
      </c>
      <c r="D250" s="5">
        <v>2.9</v>
      </c>
      <c r="E250" s="8">
        <v>2.9249999999999998</v>
      </c>
      <c r="F250" s="8">
        <v>2.88</v>
      </c>
      <c r="G250" s="8">
        <v>2.92</v>
      </c>
      <c r="H250" s="19">
        <f t="shared" si="6"/>
        <v>6.896551724137937E-3</v>
      </c>
      <c r="I250" s="3">
        <v>11070533</v>
      </c>
      <c r="J250" s="8">
        <v>13161.22</v>
      </c>
      <c r="K250" s="3">
        <v>4507267591</v>
      </c>
      <c r="M250" s="10">
        <f t="shared" si="7"/>
        <v>0.38522427440633245</v>
      </c>
    </row>
    <row r="251" spans="1:13" ht="15" customHeight="1">
      <c r="A251" t="s">
        <v>13</v>
      </c>
      <c r="B251" t="s">
        <v>14</v>
      </c>
      <c r="C251" s="12" t="s">
        <v>264</v>
      </c>
      <c r="D251" s="5">
        <v>2.89</v>
      </c>
      <c r="E251" s="8">
        <v>2.91</v>
      </c>
      <c r="F251" s="8">
        <v>2.82</v>
      </c>
      <c r="G251" s="8">
        <v>2.84</v>
      </c>
      <c r="H251" s="19">
        <f t="shared" si="6"/>
        <v>-1.7301038062283829E-2</v>
      </c>
      <c r="I251" s="3">
        <v>18246117</v>
      </c>
      <c r="J251" s="8">
        <v>12800.64</v>
      </c>
      <c r="K251" s="3">
        <v>4507267591</v>
      </c>
      <c r="M251" s="10">
        <f t="shared" si="7"/>
        <v>0.37467018469656987</v>
      </c>
    </row>
    <row r="252" spans="1:13" ht="15" customHeight="1">
      <c r="A252" t="s">
        <v>13</v>
      </c>
      <c r="B252" t="s">
        <v>14</v>
      </c>
      <c r="C252" s="12" t="s">
        <v>265</v>
      </c>
      <c r="D252" s="5">
        <v>2.82</v>
      </c>
      <c r="E252" s="8">
        <v>2.9</v>
      </c>
      <c r="F252" s="8">
        <v>2.81</v>
      </c>
      <c r="G252" s="8">
        <v>2.9</v>
      </c>
      <c r="H252" s="19">
        <f t="shared" si="6"/>
        <v>2.8368794326241162E-2</v>
      </c>
      <c r="I252" s="3">
        <v>20132431</v>
      </c>
      <c r="J252" s="8">
        <v>13071.08</v>
      </c>
      <c r="K252" s="3">
        <v>4507267591</v>
      </c>
      <c r="M252" s="10">
        <f t="shared" si="7"/>
        <v>0.38258575197889183</v>
      </c>
    </row>
    <row r="253" spans="1:13" ht="15" customHeight="1">
      <c r="A253" t="s">
        <v>13</v>
      </c>
      <c r="B253" t="s">
        <v>14</v>
      </c>
      <c r="C253" s="12" t="s">
        <v>266</v>
      </c>
      <c r="D253" s="5">
        <v>2.95</v>
      </c>
      <c r="E253" s="8">
        <v>3.01</v>
      </c>
      <c r="F253" s="8">
        <v>2.94</v>
      </c>
      <c r="G253" s="8">
        <v>2.94</v>
      </c>
      <c r="H253" s="19">
        <f t="shared" si="6"/>
        <v>-3.3898305084746542E-3</v>
      </c>
      <c r="I253" s="3">
        <v>26553801</v>
      </c>
      <c r="J253" s="8">
        <v>13251.37</v>
      </c>
      <c r="K253" s="3">
        <v>4507267591</v>
      </c>
      <c r="M253" s="10">
        <f t="shared" si="7"/>
        <v>0.38786279683377306</v>
      </c>
    </row>
    <row r="254" spans="1:13" ht="15" customHeight="1">
      <c r="A254" t="s">
        <v>13</v>
      </c>
      <c r="B254" t="s">
        <v>14</v>
      </c>
      <c r="C254" s="12" t="s">
        <v>267</v>
      </c>
      <c r="D254" s="5">
        <v>2.9</v>
      </c>
      <c r="E254" s="8">
        <v>2.93</v>
      </c>
      <c r="F254" s="8">
        <v>2.86</v>
      </c>
      <c r="G254" s="8">
        <v>2.91</v>
      </c>
      <c r="H254" s="19">
        <f t="shared" si="6"/>
        <v>3.4482758620690453E-3</v>
      </c>
      <c r="I254" s="3">
        <v>19839505</v>
      </c>
      <c r="J254" s="8">
        <v>13116.15</v>
      </c>
      <c r="K254" s="3">
        <v>4507267591</v>
      </c>
      <c r="M254" s="10">
        <f t="shared" si="7"/>
        <v>0.38390501319261217</v>
      </c>
    </row>
  </sheetData>
  <sortState xmlns:xlrd2="http://schemas.microsoft.com/office/spreadsheetml/2017/richdata2" ref="A2:K254">
    <sortCondition ref="C2:C254"/>
  </sortState>
  <conditionalFormatting sqref="H2:H25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0583-BF05-4794-98E5-B01F0EDCEEC5}">
  <dimension ref="A1:D255"/>
  <sheetViews>
    <sheetView topLeftCell="C1" workbookViewId="0">
      <selection activeCell="E45" sqref="E45"/>
    </sheetView>
  </sheetViews>
  <sheetFormatPr defaultRowHeight="12.75"/>
  <cols>
    <col min="1" max="1" width="14.28515625" style="12" customWidth="1"/>
    <col min="2" max="2" width="10.7109375" style="9" customWidth="1"/>
    <col min="3" max="3" width="16.85546875" style="1" customWidth="1"/>
    <col min="4" max="4" width="12.7109375" bestFit="1" customWidth="1"/>
  </cols>
  <sheetData>
    <row r="1" spans="1:4" ht="15">
      <c r="A1" s="11" t="s">
        <v>2</v>
      </c>
      <c r="B1" s="7" t="s">
        <v>6</v>
      </c>
      <c r="C1" s="2" t="s">
        <v>8</v>
      </c>
    </row>
    <row r="2" spans="1:4">
      <c r="A2" s="12" t="s">
        <v>15</v>
      </c>
      <c r="B2" s="8">
        <v>3.71</v>
      </c>
      <c r="C2" s="3">
        <v>9106807</v>
      </c>
      <c r="D2" s="3"/>
    </row>
    <row r="3" spans="1:4">
      <c r="A3" s="12" t="s">
        <v>16</v>
      </c>
      <c r="B3" s="8">
        <v>3.73</v>
      </c>
      <c r="C3" s="3">
        <v>12394093</v>
      </c>
    </row>
    <row r="4" spans="1:4">
      <c r="A4" s="12" t="s">
        <v>17</v>
      </c>
      <c r="B4" s="8">
        <v>3.78</v>
      </c>
      <c r="C4" s="3">
        <v>13794144</v>
      </c>
    </row>
    <row r="5" spans="1:4">
      <c r="A5" s="12" t="s">
        <v>18</v>
      </c>
      <c r="B5" s="8">
        <v>3.85</v>
      </c>
      <c r="C5" s="3">
        <v>20956236</v>
      </c>
    </row>
    <row r="6" spans="1:4">
      <c r="A6" s="12" t="s">
        <v>19</v>
      </c>
      <c r="B6" s="8">
        <v>3.82</v>
      </c>
      <c r="C6" s="3">
        <v>9689371</v>
      </c>
    </row>
    <row r="7" spans="1:4">
      <c r="A7" s="12" t="s">
        <v>20</v>
      </c>
      <c r="B7" s="8">
        <v>3.7</v>
      </c>
      <c r="C7" s="3">
        <v>12881063</v>
      </c>
    </row>
    <row r="8" spans="1:4">
      <c r="A8" s="12" t="s">
        <v>21</v>
      </c>
      <c r="B8" s="8">
        <v>3.72</v>
      </c>
      <c r="C8" s="3">
        <v>13428251</v>
      </c>
    </row>
    <row r="9" spans="1:4">
      <c r="A9" s="12" t="s">
        <v>22</v>
      </c>
      <c r="B9" s="8">
        <v>3.64</v>
      </c>
      <c r="C9" s="3">
        <v>10158463</v>
      </c>
    </row>
    <row r="10" spans="1:4">
      <c r="A10" s="12" t="s">
        <v>23</v>
      </c>
      <c r="B10" s="8">
        <v>3.62</v>
      </c>
      <c r="C10" s="3">
        <v>26396401</v>
      </c>
    </row>
    <row r="11" spans="1:4">
      <c r="A11" s="12" t="s">
        <v>24</v>
      </c>
      <c r="B11" s="8">
        <v>3.62</v>
      </c>
      <c r="C11" s="3">
        <v>13100483</v>
      </c>
    </row>
    <row r="12" spans="1:4">
      <c r="A12" s="12" t="s">
        <v>25</v>
      </c>
      <c r="B12" s="8">
        <v>3.62</v>
      </c>
      <c r="C12" s="3">
        <v>12435172</v>
      </c>
    </row>
    <row r="13" spans="1:4">
      <c r="A13" s="12" t="s">
        <v>26</v>
      </c>
      <c r="B13" s="8">
        <v>3.57</v>
      </c>
      <c r="C13" s="3">
        <v>12406333</v>
      </c>
    </row>
    <row r="14" spans="1:4">
      <c r="A14" s="12" t="s">
        <v>27</v>
      </c>
      <c r="B14" s="8">
        <v>3.55</v>
      </c>
      <c r="C14" s="3">
        <v>11173908</v>
      </c>
    </row>
    <row r="15" spans="1:4">
      <c r="A15" s="12" t="s">
        <v>28</v>
      </c>
      <c r="B15" s="8">
        <v>3.49</v>
      </c>
      <c r="C15" s="3">
        <v>10817106</v>
      </c>
    </row>
    <row r="16" spans="1:4">
      <c r="A16" s="12" t="s">
        <v>29</v>
      </c>
      <c r="B16" s="8">
        <v>3.42</v>
      </c>
      <c r="C16" s="3">
        <v>16152362</v>
      </c>
    </row>
    <row r="17" spans="1:3">
      <c r="A17" s="12" t="s">
        <v>30</v>
      </c>
      <c r="B17" s="8">
        <v>2.99</v>
      </c>
      <c r="C17" s="3">
        <v>54812357</v>
      </c>
    </row>
    <row r="18" spans="1:3">
      <c r="A18" s="12" t="s">
        <v>31</v>
      </c>
      <c r="B18" s="8">
        <v>2.98</v>
      </c>
      <c r="C18" s="3">
        <v>23134988</v>
      </c>
    </row>
    <row r="19" spans="1:3">
      <c r="A19" s="12" t="s">
        <v>32</v>
      </c>
      <c r="B19" s="8">
        <v>2.96</v>
      </c>
      <c r="C19" s="3">
        <v>18835336</v>
      </c>
    </row>
    <row r="20" spans="1:3">
      <c r="A20" s="12" t="s">
        <v>33</v>
      </c>
      <c r="B20" s="8">
        <v>2.91</v>
      </c>
      <c r="C20" s="3">
        <v>20154737</v>
      </c>
    </row>
    <row r="21" spans="1:3">
      <c r="A21" s="12" t="s">
        <v>34</v>
      </c>
      <c r="B21" s="8">
        <v>2.98</v>
      </c>
      <c r="C21" s="3">
        <v>16115189</v>
      </c>
    </row>
    <row r="22" spans="1:3">
      <c r="A22" s="12" t="s">
        <v>35</v>
      </c>
      <c r="B22" s="8">
        <v>3.02</v>
      </c>
      <c r="C22" s="3">
        <v>14373894</v>
      </c>
    </row>
    <row r="23" spans="1:3">
      <c r="A23" s="12" t="s">
        <v>36</v>
      </c>
      <c r="B23" s="8">
        <v>3.01</v>
      </c>
      <c r="C23" s="3">
        <v>14273745</v>
      </c>
    </row>
    <row r="24" spans="1:3">
      <c r="A24" s="12" t="s">
        <v>37</v>
      </c>
      <c r="B24" s="8">
        <v>3.07</v>
      </c>
      <c r="C24" s="3">
        <v>21660548</v>
      </c>
    </row>
    <row r="25" spans="1:3">
      <c r="A25" s="12" t="s">
        <v>38</v>
      </c>
      <c r="B25" s="8">
        <v>3.14</v>
      </c>
      <c r="C25" s="3">
        <v>18882555</v>
      </c>
    </row>
    <row r="26" spans="1:3">
      <c r="A26" s="12" t="s">
        <v>39</v>
      </c>
      <c r="B26" s="8">
        <v>3.02</v>
      </c>
      <c r="C26" s="3">
        <v>19896907</v>
      </c>
    </row>
    <row r="27" spans="1:3">
      <c r="A27" s="12" t="s">
        <v>40</v>
      </c>
      <c r="B27" s="8">
        <v>2.84</v>
      </c>
      <c r="C27" s="3">
        <v>20345335</v>
      </c>
    </row>
    <row r="28" spans="1:3">
      <c r="A28" s="12" t="s">
        <v>41</v>
      </c>
      <c r="B28" s="8">
        <v>2.86</v>
      </c>
      <c r="C28" s="3">
        <v>17012868</v>
      </c>
    </row>
    <row r="29" spans="1:3">
      <c r="A29" s="12" t="s">
        <v>42</v>
      </c>
      <c r="B29" s="8">
        <v>2.88</v>
      </c>
      <c r="C29" s="3">
        <v>23768976</v>
      </c>
    </row>
    <row r="30" spans="1:3">
      <c r="A30" s="12" t="s">
        <v>43</v>
      </c>
      <c r="B30" s="8">
        <v>2.83</v>
      </c>
      <c r="C30" s="3">
        <v>13810471</v>
      </c>
    </row>
    <row r="31" spans="1:3">
      <c r="A31" s="12" t="s">
        <v>44</v>
      </c>
      <c r="B31" s="8">
        <v>2.94</v>
      </c>
      <c r="C31" s="3">
        <v>23253359</v>
      </c>
    </row>
    <row r="32" spans="1:3">
      <c r="A32" s="12" t="s">
        <v>45</v>
      </c>
      <c r="B32" s="8">
        <v>2.93</v>
      </c>
      <c r="C32" s="3">
        <v>8648846</v>
      </c>
    </row>
    <row r="33" spans="1:3">
      <c r="A33" s="12" t="s">
        <v>46</v>
      </c>
      <c r="B33" s="8">
        <v>2.96</v>
      </c>
      <c r="C33" s="3">
        <v>10662640</v>
      </c>
    </row>
    <row r="34" spans="1:3">
      <c r="A34" s="12" t="s">
        <v>47</v>
      </c>
      <c r="B34" s="8">
        <v>2.91</v>
      </c>
      <c r="C34" s="3">
        <v>14400303</v>
      </c>
    </row>
    <row r="35" spans="1:3">
      <c r="A35" s="12" t="s">
        <v>48</v>
      </c>
      <c r="B35" s="8">
        <v>2.92</v>
      </c>
      <c r="C35" s="3">
        <v>13069010</v>
      </c>
    </row>
    <row r="36" spans="1:3">
      <c r="A36" s="12" t="s">
        <v>49</v>
      </c>
      <c r="B36" s="8">
        <v>2.98</v>
      </c>
      <c r="C36" s="3">
        <v>20523485</v>
      </c>
    </row>
    <row r="37" spans="1:3">
      <c r="A37" s="12" t="s">
        <v>50</v>
      </c>
      <c r="B37" s="8">
        <v>2.96</v>
      </c>
      <c r="C37" s="3">
        <v>9279929</v>
      </c>
    </row>
    <row r="38" spans="1:3">
      <c r="A38" s="12" t="s">
        <v>51</v>
      </c>
      <c r="B38" s="8">
        <v>3.01</v>
      </c>
      <c r="C38" s="3">
        <v>15788370</v>
      </c>
    </row>
    <row r="39" spans="1:3">
      <c r="A39" s="12" t="s">
        <v>52</v>
      </c>
      <c r="B39" s="8">
        <v>3.01</v>
      </c>
      <c r="C39" s="3">
        <v>15016450</v>
      </c>
    </row>
    <row r="40" spans="1:3">
      <c r="A40" s="12" t="s">
        <v>53</v>
      </c>
      <c r="B40" s="8">
        <v>3.04</v>
      </c>
      <c r="C40" s="3">
        <v>8807000</v>
      </c>
    </row>
    <row r="41" spans="1:3">
      <c r="A41" s="12" t="s">
        <v>54</v>
      </c>
      <c r="B41" s="8">
        <v>3.03</v>
      </c>
      <c r="C41" s="3">
        <v>35694427</v>
      </c>
    </row>
    <row r="42" spans="1:3">
      <c r="A42" s="12" t="s">
        <v>55</v>
      </c>
      <c r="B42" s="8">
        <v>3.09</v>
      </c>
      <c r="C42" s="3">
        <v>11068964</v>
      </c>
    </row>
    <row r="43" spans="1:3">
      <c r="A43" s="12" t="s">
        <v>56</v>
      </c>
      <c r="B43" s="8">
        <v>3.1</v>
      </c>
      <c r="C43" s="3">
        <v>6127008</v>
      </c>
    </row>
    <row r="44" spans="1:3">
      <c r="A44" s="12" t="s">
        <v>57</v>
      </c>
      <c r="B44" s="8">
        <v>3.08</v>
      </c>
      <c r="C44" s="3">
        <v>8290015</v>
      </c>
    </row>
    <row r="45" spans="1:3">
      <c r="A45" s="12" t="s">
        <v>58</v>
      </c>
      <c r="B45" s="8">
        <v>3.1</v>
      </c>
      <c r="C45" s="3">
        <v>14884764</v>
      </c>
    </row>
    <row r="46" spans="1:3">
      <c r="A46" s="12" t="s">
        <v>59</v>
      </c>
      <c r="B46" s="8">
        <v>3.14</v>
      </c>
      <c r="C46" s="3">
        <v>27310472</v>
      </c>
    </row>
    <row r="47" spans="1:3">
      <c r="A47" s="12" t="s">
        <v>60</v>
      </c>
      <c r="B47" s="8">
        <v>3.1</v>
      </c>
      <c r="C47" s="3">
        <v>11343885</v>
      </c>
    </row>
    <row r="48" spans="1:3">
      <c r="A48" s="12" t="s">
        <v>61</v>
      </c>
      <c r="B48" s="8">
        <v>3.1</v>
      </c>
      <c r="C48" s="3">
        <v>15429700</v>
      </c>
    </row>
    <row r="49" spans="1:3">
      <c r="A49" s="12" t="s">
        <v>62</v>
      </c>
      <c r="B49" s="8">
        <v>3</v>
      </c>
      <c r="C49" s="3">
        <v>19186593</v>
      </c>
    </row>
    <row r="50" spans="1:3">
      <c r="A50" s="12" t="s">
        <v>63</v>
      </c>
      <c r="B50" s="8">
        <v>3.04</v>
      </c>
      <c r="C50" s="3">
        <v>15023048</v>
      </c>
    </row>
    <row r="51" spans="1:3">
      <c r="A51" s="12" t="s">
        <v>64</v>
      </c>
      <c r="B51" s="8">
        <v>2.98</v>
      </c>
      <c r="C51" s="3">
        <v>17896336</v>
      </c>
    </row>
    <row r="52" spans="1:3">
      <c r="A52" s="12" t="s">
        <v>65</v>
      </c>
      <c r="B52" s="8">
        <v>2.97</v>
      </c>
      <c r="C52" s="3">
        <v>14175175</v>
      </c>
    </row>
    <row r="53" spans="1:3">
      <c r="A53" s="12" t="s">
        <v>66</v>
      </c>
      <c r="B53" s="8">
        <v>2.99</v>
      </c>
      <c r="C53" s="3">
        <v>15928234</v>
      </c>
    </row>
    <row r="54" spans="1:3">
      <c r="A54" s="12" t="s">
        <v>67</v>
      </c>
      <c r="B54" s="8">
        <v>3.01</v>
      </c>
      <c r="C54" s="3">
        <v>18691723</v>
      </c>
    </row>
    <row r="55" spans="1:3">
      <c r="A55" s="12" t="s">
        <v>68</v>
      </c>
      <c r="B55" s="8">
        <v>3.08</v>
      </c>
      <c r="C55" s="3">
        <v>21797512</v>
      </c>
    </row>
    <row r="56" spans="1:3">
      <c r="A56" s="12" t="s">
        <v>69</v>
      </c>
      <c r="B56" s="8">
        <v>3.19</v>
      </c>
      <c r="C56" s="3">
        <v>18380139</v>
      </c>
    </row>
    <row r="57" spans="1:3">
      <c r="A57" s="12" t="s">
        <v>70</v>
      </c>
      <c r="B57" s="8">
        <v>3.17</v>
      </c>
      <c r="C57" s="3">
        <v>13693766</v>
      </c>
    </row>
    <row r="58" spans="1:3">
      <c r="A58" s="12" t="s">
        <v>71</v>
      </c>
      <c r="B58" s="8">
        <v>3.23</v>
      </c>
      <c r="C58" s="3">
        <v>14476326</v>
      </c>
    </row>
    <row r="59" spans="1:3">
      <c r="A59" s="12" t="s">
        <v>72</v>
      </c>
      <c r="B59" s="8">
        <v>3.2</v>
      </c>
      <c r="C59" s="3">
        <v>11530975</v>
      </c>
    </row>
    <row r="60" spans="1:3">
      <c r="A60" s="12" t="s">
        <v>73</v>
      </c>
      <c r="B60" s="8">
        <v>3.2</v>
      </c>
      <c r="C60" s="3">
        <v>15823474</v>
      </c>
    </row>
    <row r="61" spans="1:3">
      <c r="A61" s="12" t="s">
        <v>74</v>
      </c>
      <c r="B61" s="8">
        <v>3.2</v>
      </c>
      <c r="C61" s="3">
        <v>23310385</v>
      </c>
    </row>
    <row r="62" spans="1:3">
      <c r="A62" s="12" t="s">
        <v>75</v>
      </c>
      <c r="B62" s="8">
        <v>3.2</v>
      </c>
      <c r="C62" s="3">
        <v>9780018</v>
      </c>
    </row>
    <row r="63" spans="1:3">
      <c r="A63" s="12" t="s">
        <v>76</v>
      </c>
      <c r="B63" s="8">
        <v>3.33</v>
      </c>
      <c r="C63" s="3">
        <v>17248126</v>
      </c>
    </row>
    <row r="64" spans="1:3">
      <c r="A64" s="12" t="s">
        <v>77</v>
      </c>
      <c r="B64" s="8">
        <v>3.43</v>
      </c>
      <c r="C64" s="3">
        <v>22390742</v>
      </c>
    </row>
    <row r="65" spans="1:3">
      <c r="A65" s="12" t="s">
        <v>78</v>
      </c>
      <c r="B65" s="8">
        <v>3.53</v>
      </c>
      <c r="C65" s="3">
        <v>19880943</v>
      </c>
    </row>
    <row r="66" spans="1:3">
      <c r="A66" s="12" t="s">
        <v>79</v>
      </c>
      <c r="B66" s="8">
        <v>3.7</v>
      </c>
      <c r="C66" s="3">
        <v>27845325</v>
      </c>
    </row>
    <row r="67" spans="1:3">
      <c r="A67" s="12" t="s">
        <v>80</v>
      </c>
      <c r="B67" s="8">
        <v>3.77</v>
      </c>
      <c r="C67" s="3">
        <v>24777393</v>
      </c>
    </row>
    <row r="68" spans="1:3">
      <c r="A68" s="12" t="s">
        <v>81</v>
      </c>
      <c r="B68" s="8">
        <v>3.67</v>
      </c>
      <c r="C68" s="3">
        <v>15941549</v>
      </c>
    </row>
    <row r="69" spans="1:3">
      <c r="A69" s="12" t="s">
        <v>82</v>
      </c>
      <c r="B69" s="8">
        <v>3.73</v>
      </c>
      <c r="C69" s="3">
        <v>12086688</v>
      </c>
    </row>
    <row r="70" spans="1:3">
      <c r="A70" s="12" t="s">
        <v>83</v>
      </c>
      <c r="B70" s="8">
        <v>3.74</v>
      </c>
      <c r="C70" s="3">
        <v>11816762</v>
      </c>
    </row>
    <row r="71" spans="1:3">
      <c r="A71" s="12" t="s">
        <v>84</v>
      </c>
      <c r="B71" s="8">
        <v>3.68</v>
      </c>
      <c r="C71" s="3">
        <v>12653259</v>
      </c>
    </row>
    <row r="72" spans="1:3">
      <c r="A72" s="12" t="s">
        <v>85</v>
      </c>
      <c r="B72" s="8">
        <v>3.7</v>
      </c>
      <c r="C72" s="3">
        <v>7659865</v>
      </c>
    </row>
    <row r="73" spans="1:3">
      <c r="A73" s="12" t="s">
        <v>86</v>
      </c>
      <c r="B73" s="8">
        <v>3.6</v>
      </c>
      <c r="C73" s="3">
        <v>21852477</v>
      </c>
    </row>
    <row r="74" spans="1:3">
      <c r="A74" s="12" t="s">
        <v>87</v>
      </c>
      <c r="B74" s="8">
        <v>3.53</v>
      </c>
      <c r="C74" s="3">
        <v>15112302</v>
      </c>
    </row>
    <row r="75" spans="1:3">
      <c r="A75" s="12" t="s">
        <v>88</v>
      </c>
      <c r="B75" s="8">
        <v>3.61</v>
      </c>
      <c r="C75" s="3">
        <v>11678922</v>
      </c>
    </row>
    <row r="76" spans="1:3">
      <c r="A76" s="12" t="s">
        <v>89</v>
      </c>
      <c r="B76" s="8">
        <v>3.6</v>
      </c>
      <c r="C76" s="3">
        <v>8008597</v>
      </c>
    </row>
    <row r="77" spans="1:3">
      <c r="A77" s="12" t="s">
        <v>90</v>
      </c>
      <c r="B77" s="8">
        <v>3.73</v>
      </c>
      <c r="C77" s="3">
        <v>17833265</v>
      </c>
    </row>
    <row r="78" spans="1:3">
      <c r="A78" s="12" t="s">
        <v>91</v>
      </c>
      <c r="B78" s="8">
        <v>3.7</v>
      </c>
      <c r="C78" s="3">
        <v>22222009</v>
      </c>
    </row>
    <row r="79" spans="1:3">
      <c r="A79" s="12" t="s">
        <v>92</v>
      </c>
      <c r="B79" s="8">
        <v>3.67</v>
      </c>
      <c r="C79" s="3">
        <v>19870978</v>
      </c>
    </row>
    <row r="80" spans="1:3">
      <c r="A80" s="12" t="s">
        <v>93</v>
      </c>
      <c r="B80" s="8">
        <v>3.77</v>
      </c>
      <c r="C80" s="3">
        <v>22446900</v>
      </c>
    </row>
    <row r="81" spans="1:3">
      <c r="A81" s="12" t="s">
        <v>94</v>
      </c>
      <c r="B81" s="8">
        <v>3.7</v>
      </c>
      <c r="C81" s="3">
        <v>16193067</v>
      </c>
    </row>
    <row r="82" spans="1:3">
      <c r="A82" s="12" t="s">
        <v>95</v>
      </c>
      <c r="B82" s="8">
        <v>3.69</v>
      </c>
      <c r="C82" s="3">
        <v>17438041</v>
      </c>
    </row>
    <row r="83" spans="1:3">
      <c r="A83" s="12" t="s">
        <v>96</v>
      </c>
      <c r="B83" s="8">
        <v>3.62</v>
      </c>
      <c r="C83" s="3">
        <v>14369754</v>
      </c>
    </row>
    <row r="84" spans="1:3">
      <c r="A84" s="12" t="s">
        <v>97</v>
      </c>
      <c r="B84" s="8">
        <v>3.65</v>
      </c>
      <c r="C84" s="3">
        <v>8203001</v>
      </c>
    </row>
    <row r="85" spans="1:3">
      <c r="A85" s="12" t="s">
        <v>98</v>
      </c>
      <c r="B85" s="8">
        <v>3.69</v>
      </c>
      <c r="C85" s="3">
        <v>25670378</v>
      </c>
    </row>
    <row r="86" spans="1:3">
      <c r="A86" s="12" t="s">
        <v>99</v>
      </c>
      <c r="B86" s="8">
        <v>3.71</v>
      </c>
      <c r="C86" s="3">
        <v>7370135</v>
      </c>
    </row>
    <row r="87" spans="1:3">
      <c r="A87" s="12" t="s">
        <v>100</v>
      </c>
      <c r="B87" s="8">
        <v>3.73</v>
      </c>
      <c r="C87" s="3">
        <v>9312484</v>
      </c>
    </row>
    <row r="88" spans="1:3">
      <c r="A88" s="12" t="s">
        <v>101</v>
      </c>
      <c r="B88" s="8">
        <v>3.72</v>
      </c>
      <c r="C88" s="3">
        <v>15617684</v>
      </c>
    </row>
    <row r="89" spans="1:3">
      <c r="A89" s="12" t="s">
        <v>102</v>
      </c>
      <c r="B89" s="8">
        <v>3.67</v>
      </c>
      <c r="C89" s="3">
        <v>18969067</v>
      </c>
    </row>
    <row r="90" spans="1:3">
      <c r="A90" s="12" t="s">
        <v>103</v>
      </c>
      <c r="B90" s="8">
        <v>3.68</v>
      </c>
      <c r="C90" s="3">
        <v>21765111</v>
      </c>
    </row>
    <row r="91" spans="1:3">
      <c r="A91" s="12" t="s">
        <v>104</v>
      </c>
      <c r="B91" s="8">
        <v>3.72</v>
      </c>
      <c r="C91" s="3">
        <v>10174277</v>
      </c>
    </row>
    <row r="92" spans="1:3">
      <c r="A92" s="12" t="s">
        <v>105</v>
      </c>
      <c r="B92" s="8">
        <v>3.73</v>
      </c>
      <c r="C92" s="3">
        <v>7434666</v>
      </c>
    </row>
    <row r="93" spans="1:3">
      <c r="A93" s="12" t="s">
        <v>106</v>
      </c>
      <c r="B93" s="8">
        <v>3.75</v>
      </c>
      <c r="C93" s="3">
        <v>8992653</v>
      </c>
    </row>
    <row r="94" spans="1:3">
      <c r="A94" s="12" t="s">
        <v>107</v>
      </c>
      <c r="B94" s="8">
        <v>3.76</v>
      </c>
      <c r="C94" s="3">
        <v>8805425</v>
      </c>
    </row>
    <row r="95" spans="1:3">
      <c r="A95" s="12" t="s">
        <v>108</v>
      </c>
      <c r="B95" s="8">
        <v>3.83</v>
      </c>
      <c r="C95" s="3">
        <v>19216538</v>
      </c>
    </row>
    <row r="96" spans="1:3">
      <c r="A96" s="12" t="s">
        <v>109</v>
      </c>
      <c r="B96" s="8">
        <v>3.8</v>
      </c>
      <c r="C96" s="3">
        <v>16653512</v>
      </c>
    </row>
    <row r="97" spans="1:3">
      <c r="A97" s="12" t="s">
        <v>110</v>
      </c>
      <c r="B97" s="8">
        <v>3.7</v>
      </c>
      <c r="C97" s="3">
        <v>8933764</v>
      </c>
    </row>
    <row r="98" spans="1:3">
      <c r="A98" s="12" t="s">
        <v>111</v>
      </c>
      <c r="B98" s="8">
        <v>3.61</v>
      </c>
      <c r="C98" s="3">
        <v>15232242</v>
      </c>
    </row>
    <row r="99" spans="1:3">
      <c r="A99" s="12" t="s">
        <v>112</v>
      </c>
      <c r="B99" s="8">
        <v>3.54</v>
      </c>
      <c r="C99" s="3">
        <v>12657462</v>
      </c>
    </row>
    <row r="100" spans="1:3">
      <c r="A100" s="12" t="s">
        <v>113</v>
      </c>
      <c r="B100" s="8">
        <v>3.49</v>
      </c>
      <c r="C100" s="3">
        <v>11885766</v>
      </c>
    </row>
    <row r="101" spans="1:3">
      <c r="A101" s="12" t="s">
        <v>114</v>
      </c>
      <c r="B101" s="8">
        <v>3.55</v>
      </c>
      <c r="C101" s="3">
        <v>13539572</v>
      </c>
    </row>
    <row r="102" spans="1:3">
      <c r="A102" s="12" t="s">
        <v>115</v>
      </c>
      <c r="B102" s="8">
        <v>3.77</v>
      </c>
      <c r="C102" s="3">
        <v>19069477</v>
      </c>
    </row>
    <row r="103" spans="1:3">
      <c r="A103" s="12" t="s">
        <v>116</v>
      </c>
      <c r="B103" s="8">
        <v>3.67</v>
      </c>
      <c r="C103" s="3">
        <v>15335167</v>
      </c>
    </row>
    <row r="104" spans="1:3">
      <c r="A104" s="12" t="s">
        <v>117</v>
      </c>
      <c r="B104" s="8">
        <v>3.7</v>
      </c>
      <c r="C104" s="3">
        <v>9212631</v>
      </c>
    </row>
    <row r="105" spans="1:3">
      <c r="A105" s="12" t="s">
        <v>118</v>
      </c>
      <c r="B105" s="8">
        <v>3.73</v>
      </c>
      <c r="C105" s="3">
        <v>5670061</v>
      </c>
    </row>
    <row r="106" spans="1:3">
      <c r="A106" s="12" t="s">
        <v>119</v>
      </c>
      <c r="B106" s="8">
        <v>3.83</v>
      </c>
      <c r="C106" s="3">
        <v>16409301</v>
      </c>
    </row>
    <row r="107" spans="1:3">
      <c r="A107" s="12" t="s">
        <v>120</v>
      </c>
      <c r="B107" s="8">
        <v>3.74</v>
      </c>
      <c r="C107" s="3">
        <v>21656658</v>
      </c>
    </row>
    <row r="108" spans="1:3">
      <c r="A108" s="12" t="s">
        <v>121</v>
      </c>
      <c r="B108" s="8">
        <v>3.78</v>
      </c>
      <c r="C108" s="3">
        <v>14817697</v>
      </c>
    </row>
    <row r="109" spans="1:3">
      <c r="A109" s="12" t="s">
        <v>122</v>
      </c>
      <c r="B109" s="8">
        <v>3.77</v>
      </c>
      <c r="C109" s="3">
        <v>8918967</v>
      </c>
    </row>
    <row r="110" spans="1:3">
      <c r="A110" s="12" t="s">
        <v>123</v>
      </c>
      <c r="B110" s="8">
        <v>3.74</v>
      </c>
      <c r="C110" s="3">
        <v>9530381</v>
      </c>
    </row>
    <row r="111" spans="1:3">
      <c r="A111" s="12" t="s">
        <v>124</v>
      </c>
      <c r="B111" s="8">
        <v>3.72</v>
      </c>
      <c r="C111" s="3">
        <v>9776782</v>
      </c>
    </row>
    <row r="112" spans="1:3">
      <c r="A112" s="12" t="s">
        <v>125</v>
      </c>
      <c r="B112" s="8">
        <v>3.68</v>
      </c>
      <c r="C112" s="3">
        <v>11756164</v>
      </c>
    </row>
    <row r="113" spans="1:3">
      <c r="A113" s="12" t="s">
        <v>126</v>
      </c>
      <c r="B113" s="8">
        <v>3.62</v>
      </c>
      <c r="C113" s="3">
        <v>11874302</v>
      </c>
    </row>
    <row r="114" spans="1:3">
      <c r="A114" s="12" t="s">
        <v>127</v>
      </c>
      <c r="B114" s="8">
        <v>3.6</v>
      </c>
      <c r="C114" s="3">
        <v>11015093</v>
      </c>
    </row>
    <row r="115" spans="1:3">
      <c r="A115" s="12" t="s">
        <v>128</v>
      </c>
      <c r="B115" s="8">
        <v>3.7</v>
      </c>
      <c r="C115" s="3">
        <v>18213893</v>
      </c>
    </row>
    <row r="116" spans="1:3">
      <c r="A116" s="12" t="s">
        <v>129</v>
      </c>
      <c r="B116" s="8">
        <v>3.63</v>
      </c>
      <c r="C116" s="3">
        <v>11559696</v>
      </c>
    </row>
    <row r="117" spans="1:3">
      <c r="A117" s="12" t="s">
        <v>130</v>
      </c>
      <c r="B117" s="8">
        <v>3.6</v>
      </c>
      <c r="C117" s="3">
        <v>9267145</v>
      </c>
    </row>
    <row r="118" spans="1:3">
      <c r="A118" s="12" t="s">
        <v>131</v>
      </c>
      <c r="B118" s="8">
        <v>3.68</v>
      </c>
      <c r="C118" s="3">
        <v>20329702</v>
      </c>
    </row>
    <row r="119" spans="1:3">
      <c r="A119" s="12" t="s">
        <v>132</v>
      </c>
      <c r="B119" s="8">
        <v>3.52</v>
      </c>
      <c r="C119" s="3">
        <v>18801335</v>
      </c>
    </row>
    <row r="120" spans="1:3">
      <c r="A120" s="12" t="s">
        <v>133</v>
      </c>
      <c r="B120" s="8">
        <v>3.44</v>
      </c>
      <c r="C120" s="3">
        <v>18727881</v>
      </c>
    </row>
    <row r="121" spans="1:3">
      <c r="A121" s="12" t="s">
        <v>134</v>
      </c>
      <c r="B121" s="8">
        <v>3.4</v>
      </c>
      <c r="C121" s="3">
        <v>16059188</v>
      </c>
    </row>
    <row r="122" spans="1:3">
      <c r="A122" s="12" t="s">
        <v>135</v>
      </c>
      <c r="B122" s="8">
        <v>3.37</v>
      </c>
      <c r="C122" s="3">
        <v>14294709</v>
      </c>
    </row>
    <row r="123" spans="1:3">
      <c r="A123" s="12" t="s">
        <v>136</v>
      </c>
      <c r="B123" s="8">
        <v>3.4</v>
      </c>
      <c r="C123" s="3">
        <v>9236298</v>
      </c>
    </row>
    <row r="124" spans="1:3">
      <c r="A124" s="12" t="s">
        <v>137</v>
      </c>
      <c r="B124" s="8">
        <v>3.38</v>
      </c>
      <c r="C124" s="3">
        <v>10017449</v>
      </c>
    </row>
    <row r="125" spans="1:3">
      <c r="A125" s="12" t="s">
        <v>138</v>
      </c>
      <c r="B125" s="8">
        <v>3.36</v>
      </c>
      <c r="C125" s="3">
        <v>10930697</v>
      </c>
    </row>
    <row r="126" spans="1:3">
      <c r="A126" s="12" t="s">
        <v>139</v>
      </c>
      <c r="B126" s="8">
        <v>3.34</v>
      </c>
      <c r="C126" s="3">
        <v>19155741</v>
      </c>
    </row>
    <row r="127" spans="1:3">
      <c r="A127" s="12" t="s">
        <v>140</v>
      </c>
      <c r="B127" s="8">
        <v>3.41</v>
      </c>
      <c r="C127" s="3">
        <v>8755188</v>
      </c>
    </row>
    <row r="128" spans="1:3">
      <c r="A128" s="12" t="s">
        <v>141</v>
      </c>
      <c r="B128" s="8">
        <v>3.41</v>
      </c>
      <c r="C128" s="3">
        <v>2536365</v>
      </c>
    </row>
    <row r="129" spans="1:3">
      <c r="A129" s="12" t="s">
        <v>142</v>
      </c>
      <c r="B129" s="8">
        <v>3.4</v>
      </c>
      <c r="C129" s="3">
        <v>5446015</v>
      </c>
    </row>
    <row r="130" spans="1:3">
      <c r="A130" s="12" t="s">
        <v>143</v>
      </c>
      <c r="B130" s="8">
        <v>3.4</v>
      </c>
      <c r="C130" s="3">
        <v>5831404</v>
      </c>
    </row>
    <row r="131" spans="1:3">
      <c r="A131" s="12" t="s">
        <v>144</v>
      </c>
      <c r="B131" s="8">
        <v>3.4</v>
      </c>
      <c r="C131" s="3">
        <v>5074019</v>
      </c>
    </row>
    <row r="132" spans="1:3">
      <c r="A132" s="12" t="s">
        <v>145</v>
      </c>
      <c r="B132" s="8">
        <v>3.46</v>
      </c>
      <c r="C132" s="3">
        <v>7244080</v>
      </c>
    </row>
    <row r="133" spans="1:3">
      <c r="A133" s="12" t="s">
        <v>146</v>
      </c>
      <c r="B133" s="8">
        <v>3.46</v>
      </c>
      <c r="C133" s="3">
        <v>5814788</v>
      </c>
    </row>
    <row r="134" spans="1:3">
      <c r="A134" s="12" t="s">
        <v>147</v>
      </c>
      <c r="B134" s="8">
        <v>3.4</v>
      </c>
      <c r="C134" s="3">
        <v>9706223</v>
      </c>
    </row>
    <row r="135" spans="1:3">
      <c r="A135" s="12" t="s">
        <v>148</v>
      </c>
      <c r="B135" s="8">
        <v>3.4</v>
      </c>
      <c r="C135" s="3">
        <v>7193757</v>
      </c>
    </row>
    <row r="136" spans="1:3">
      <c r="A136" s="12" t="s">
        <v>149</v>
      </c>
      <c r="B136" s="8">
        <v>3.41</v>
      </c>
      <c r="C136" s="3">
        <v>9258282</v>
      </c>
    </row>
    <row r="137" spans="1:3">
      <c r="A137" s="12" t="s">
        <v>150</v>
      </c>
      <c r="B137" s="8">
        <v>3.38</v>
      </c>
      <c r="C137" s="3">
        <v>6468485</v>
      </c>
    </row>
    <row r="138" spans="1:3">
      <c r="A138" s="12" t="s">
        <v>151</v>
      </c>
      <c r="B138" s="8">
        <v>3.4</v>
      </c>
      <c r="C138" s="3">
        <v>7527935</v>
      </c>
    </row>
    <row r="139" spans="1:3">
      <c r="A139" s="12" t="s">
        <v>152</v>
      </c>
      <c r="B139" s="8">
        <v>3.37</v>
      </c>
      <c r="C139" s="3">
        <v>9978893</v>
      </c>
    </row>
    <row r="140" spans="1:3">
      <c r="A140" s="12" t="s">
        <v>153</v>
      </c>
      <c r="B140" s="8">
        <v>3.42</v>
      </c>
      <c r="C140" s="3">
        <v>13344994</v>
      </c>
    </row>
    <row r="141" spans="1:3">
      <c r="A141" s="12" t="s">
        <v>154</v>
      </c>
      <c r="B141" s="8">
        <v>3.42</v>
      </c>
      <c r="C141" s="3">
        <v>8447917</v>
      </c>
    </row>
    <row r="142" spans="1:3">
      <c r="A142" s="12" t="s">
        <v>155</v>
      </c>
      <c r="B142" s="8">
        <v>3.49</v>
      </c>
      <c r="C142" s="3">
        <v>12309818</v>
      </c>
    </row>
    <row r="143" spans="1:3">
      <c r="A143" s="12" t="s">
        <v>156</v>
      </c>
      <c r="B143" s="8">
        <v>3.48</v>
      </c>
      <c r="C143" s="3">
        <v>9864598</v>
      </c>
    </row>
    <row r="144" spans="1:3">
      <c r="A144" s="12" t="s">
        <v>157</v>
      </c>
      <c r="B144" s="8">
        <v>3.51</v>
      </c>
      <c r="C144" s="3">
        <v>9755462</v>
      </c>
    </row>
    <row r="145" spans="1:3">
      <c r="A145" s="12" t="s">
        <v>158</v>
      </c>
      <c r="B145" s="8">
        <v>3.58</v>
      </c>
      <c r="C145" s="3">
        <v>11967577</v>
      </c>
    </row>
    <row r="146" spans="1:3">
      <c r="A146" s="12" t="s">
        <v>159</v>
      </c>
      <c r="B146" s="8">
        <v>3.56</v>
      </c>
      <c r="C146" s="3">
        <v>11161671</v>
      </c>
    </row>
    <row r="147" spans="1:3">
      <c r="A147" s="12" t="s">
        <v>160</v>
      </c>
      <c r="B147" s="8">
        <v>3.53</v>
      </c>
      <c r="C147" s="3">
        <v>11839465</v>
      </c>
    </row>
    <row r="148" spans="1:3">
      <c r="A148" s="12" t="s">
        <v>161</v>
      </c>
      <c r="B148" s="8">
        <v>3.54</v>
      </c>
      <c r="C148" s="3">
        <v>13899912</v>
      </c>
    </row>
    <row r="149" spans="1:3">
      <c r="A149" s="12" t="s">
        <v>162</v>
      </c>
      <c r="B149" s="8">
        <v>3.37</v>
      </c>
      <c r="C149" s="3">
        <v>20124646</v>
      </c>
    </row>
    <row r="150" spans="1:3">
      <c r="A150" s="12" t="s">
        <v>163</v>
      </c>
      <c r="B150" s="8">
        <v>3.29</v>
      </c>
      <c r="C150" s="3">
        <v>21131826</v>
      </c>
    </row>
    <row r="151" spans="1:3">
      <c r="A151" s="12" t="s">
        <v>164</v>
      </c>
      <c r="B151" s="8">
        <v>3.36</v>
      </c>
      <c r="C151" s="3">
        <v>18129204</v>
      </c>
    </row>
    <row r="152" spans="1:3">
      <c r="A152" s="12" t="s">
        <v>165</v>
      </c>
      <c r="B152" s="8">
        <v>3.36</v>
      </c>
      <c r="C152" s="3">
        <v>12898472</v>
      </c>
    </row>
    <row r="153" spans="1:3">
      <c r="A153" s="12" t="s">
        <v>166</v>
      </c>
      <c r="B153" s="8">
        <v>3.31</v>
      </c>
      <c r="C153" s="3">
        <v>14484501</v>
      </c>
    </row>
    <row r="154" spans="1:3">
      <c r="A154" s="12" t="s">
        <v>167</v>
      </c>
      <c r="B154" s="8">
        <v>3.38</v>
      </c>
      <c r="C154" s="3">
        <v>11500191</v>
      </c>
    </row>
    <row r="155" spans="1:3">
      <c r="A155" s="12" t="s">
        <v>168</v>
      </c>
      <c r="B155" s="8">
        <v>3.45</v>
      </c>
      <c r="C155" s="3">
        <v>16395461</v>
      </c>
    </row>
    <row r="156" spans="1:3">
      <c r="A156" s="12" t="s">
        <v>169</v>
      </c>
      <c r="B156" s="8">
        <v>3.47</v>
      </c>
      <c r="C156" s="3">
        <v>9923403</v>
      </c>
    </row>
    <row r="157" spans="1:3">
      <c r="A157" s="12" t="s">
        <v>170</v>
      </c>
      <c r="B157" s="8">
        <v>3.5</v>
      </c>
      <c r="C157" s="3">
        <v>10527075</v>
      </c>
    </row>
    <row r="158" spans="1:3">
      <c r="A158" s="12" t="s">
        <v>171</v>
      </c>
      <c r="B158" s="8">
        <v>3.44</v>
      </c>
      <c r="C158" s="3">
        <v>12788311</v>
      </c>
    </row>
    <row r="159" spans="1:3">
      <c r="A159" s="12" t="s">
        <v>172</v>
      </c>
      <c r="B159" s="8">
        <v>3.43</v>
      </c>
      <c r="C159" s="3">
        <v>33825484</v>
      </c>
    </row>
    <row r="160" spans="1:3">
      <c r="A160" s="12" t="s">
        <v>173</v>
      </c>
      <c r="B160" s="8">
        <v>3.43</v>
      </c>
      <c r="C160" s="3">
        <v>11055250</v>
      </c>
    </row>
    <row r="161" spans="1:3">
      <c r="A161" s="12" t="s">
        <v>174</v>
      </c>
      <c r="B161" s="8">
        <v>3.57</v>
      </c>
      <c r="C161" s="3">
        <v>18191090</v>
      </c>
    </row>
    <row r="162" spans="1:3">
      <c r="A162" s="12" t="s">
        <v>175</v>
      </c>
      <c r="B162" s="8">
        <v>3.65</v>
      </c>
      <c r="C162" s="3">
        <v>18126481</v>
      </c>
    </row>
    <row r="163" spans="1:3">
      <c r="A163" s="12" t="s">
        <v>176</v>
      </c>
      <c r="B163" s="8">
        <v>3.69</v>
      </c>
      <c r="C163" s="3">
        <v>19081373</v>
      </c>
    </row>
    <row r="164" spans="1:3">
      <c r="A164" s="12" t="s">
        <v>177</v>
      </c>
      <c r="B164" s="8">
        <v>3.67</v>
      </c>
      <c r="C164" s="3">
        <v>9230697</v>
      </c>
    </row>
    <row r="165" spans="1:3">
      <c r="A165" s="12" t="s">
        <v>178</v>
      </c>
      <c r="B165" s="8">
        <v>3.66</v>
      </c>
      <c r="C165" s="3">
        <v>12160795</v>
      </c>
    </row>
    <row r="166" spans="1:3">
      <c r="A166" s="12" t="s">
        <v>179</v>
      </c>
      <c r="B166" s="8">
        <v>3.71</v>
      </c>
      <c r="C166" s="3">
        <v>19688965</v>
      </c>
    </row>
    <row r="167" spans="1:3">
      <c r="A167" s="12" t="s">
        <v>180</v>
      </c>
      <c r="B167" s="8">
        <v>3.74</v>
      </c>
      <c r="C167" s="3">
        <v>15321683</v>
      </c>
    </row>
    <row r="168" spans="1:3">
      <c r="A168" s="12" t="s">
        <v>181</v>
      </c>
      <c r="B168" s="8">
        <v>3.67</v>
      </c>
      <c r="C168" s="3">
        <v>14359888</v>
      </c>
    </row>
    <row r="169" spans="1:3">
      <c r="A169" s="12" t="s">
        <v>182</v>
      </c>
      <c r="B169" s="8">
        <v>3.65</v>
      </c>
      <c r="C169" s="3">
        <v>11475830</v>
      </c>
    </row>
    <row r="170" spans="1:3">
      <c r="A170" s="12" t="s">
        <v>183</v>
      </c>
      <c r="B170" s="8">
        <v>3.61</v>
      </c>
      <c r="C170" s="3">
        <v>11638892</v>
      </c>
    </row>
    <row r="171" spans="1:3">
      <c r="A171" s="12" t="s">
        <v>184</v>
      </c>
      <c r="B171" s="8">
        <v>3.64</v>
      </c>
      <c r="C171" s="3">
        <v>19503590</v>
      </c>
    </row>
    <row r="172" spans="1:3">
      <c r="A172" s="12" t="s">
        <v>185</v>
      </c>
      <c r="B172" s="8">
        <v>3.52</v>
      </c>
      <c r="C172" s="3">
        <v>36980677</v>
      </c>
    </row>
    <row r="173" spans="1:3">
      <c r="A173" s="12" t="s">
        <v>186</v>
      </c>
      <c r="B173" s="8">
        <v>3.63</v>
      </c>
      <c r="C173" s="3">
        <v>13507674</v>
      </c>
    </row>
    <row r="174" spans="1:3">
      <c r="A174" s="12" t="s">
        <v>187</v>
      </c>
      <c r="B174" s="8">
        <v>3.52</v>
      </c>
      <c r="C174" s="3">
        <v>16175787</v>
      </c>
    </row>
    <row r="175" spans="1:3">
      <c r="A175" s="12" t="s">
        <v>188</v>
      </c>
      <c r="B175" s="8">
        <v>3.51</v>
      </c>
      <c r="C175" s="3">
        <v>16983946</v>
      </c>
    </row>
    <row r="176" spans="1:3">
      <c r="A176" s="12" t="s">
        <v>189</v>
      </c>
      <c r="B176" s="8">
        <v>3.64</v>
      </c>
      <c r="C176" s="3">
        <v>22995626</v>
      </c>
    </row>
    <row r="177" spans="1:3">
      <c r="A177" s="12" t="s">
        <v>190</v>
      </c>
      <c r="B177" s="8">
        <v>3.59</v>
      </c>
      <c r="C177" s="3">
        <v>12230875</v>
      </c>
    </row>
    <row r="178" spans="1:3">
      <c r="A178" s="12" t="s">
        <v>191</v>
      </c>
      <c r="B178" s="8">
        <v>3.61</v>
      </c>
      <c r="C178" s="3">
        <v>10692645</v>
      </c>
    </row>
    <row r="179" spans="1:3">
      <c r="A179" s="12" t="s">
        <v>192</v>
      </c>
      <c r="B179" s="8">
        <v>3.59</v>
      </c>
      <c r="C179" s="3">
        <v>15971582</v>
      </c>
    </row>
    <row r="180" spans="1:3">
      <c r="A180" s="12" t="s">
        <v>193</v>
      </c>
      <c r="B180" s="8">
        <v>3.58</v>
      </c>
      <c r="C180" s="3">
        <v>19477598</v>
      </c>
    </row>
    <row r="181" spans="1:3">
      <c r="A181" s="12" t="s">
        <v>194</v>
      </c>
      <c r="B181" s="8">
        <v>3.53</v>
      </c>
      <c r="C181" s="3">
        <v>13534139</v>
      </c>
    </row>
    <row r="182" spans="1:3">
      <c r="A182" s="12" t="s">
        <v>195</v>
      </c>
      <c r="B182" s="8">
        <v>3.53</v>
      </c>
      <c r="C182" s="3">
        <v>13694812</v>
      </c>
    </row>
    <row r="183" spans="1:3">
      <c r="A183" s="12" t="s">
        <v>196</v>
      </c>
      <c r="B183" s="8">
        <v>3.6</v>
      </c>
      <c r="C183" s="3">
        <v>13261618</v>
      </c>
    </row>
    <row r="184" spans="1:3">
      <c r="A184" s="12" t="s">
        <v>197</v>
      </c>
      <c r="B184" s="8">
        <v>3.61</v>
      </c>
      <c r="C184" s="3">
        <v>14388440</v>
      </c>
    </row>
    <row r="185" spans="1:3">
      <c r="A185" s="12" t="s">
        <v>198</v>
      </c>
      <c r="B185" s="8">
        <v>3.61</v>
      </c>
      <c r="C185" s="3">
        <v>14997940</v>
      </c>
    </row>
    <row r="186" spans="1:3">
      <c r="A186" s="12" t="s">
        <v>199</v>
      </c>
      <c r="B186" s="8">
        <v>3.62</v>
      </c>
      <c r="C186" s="3">
        <v>20786709</v>
      </c>
    </row>
    <row r="187" spans="1:3">
      <c r="A187" s="12" t="s">
        <v>200</v>
      </c>
      <c r="B187" s="8">
        <v>3.53</v>
      </c>
      <c r="C187" s="3">
        <v>33529200</v>
      </c>
    </row>
    <row r="188" spans="1:3">
      <c r="A188" s="12" t="s">
        <v>201</v>
      </c>
      <c r="B188" s="8">
        <v>3.49</v>
      </c>
      <c r="C188" s="3">
        <v>15115360</v>
      </c>
    </row>
    <row r="189" spans="1:3">
      <c r="A189" s="12" t="s">
        <v>202</v>
      </c>
      <c r="B189" s="8">
        <v>3.51</v>
      </c>
      <c r="C189" s="3">
        <v>10970809</v>
      </c>
    </row>
    <row r="190" spans="1:3">
      <c r="A190" s="12" t="s">
        <v>203</v>
      </c>
      <c r="B190" s="8">
        <v>3.51</v>
      </c>
      <c r="C190" s="3">
        <v>12634356</v>
      </c>
    </row>
    <row r="191" spans="1:3">
      <c r="A191" s="12" t="s">
        <v>204</v>
      </c>
      <c r="B191" s="8">
        <v>3.47</v>
      </c>
      <c r="C191" s="3">
        <v>15381960</v>
      </c>
    </row>
    <row r="192" spans="1:3">
      <c r="A192" s="12" t="s">
        <v>205</v>
      </c>
      <c r="B192" s="8">
        <v>3.37</v>
      </c>
      <c r="C192" s="3">
        <v>18889063</v>
      </c>
    </row>
    <row r="193" spans="1:3">
      <c r="A193" s="12" t="s">
        <v>206</v>
      </c>
      <c r="B193" s="8">
        <v>3.22</v>
      </c>
      <c r="C193" s="3">
        <v>26542282</v>
      </c>
    </row>
    <row r="194" spans="1:3">
      <c r="A194" s="12" t="s">
        <v>207</v>
      </c>
      <c r="B194" s="8">
        <v>3.21</v>
      </c>
      <c r="C194" s="3">
        <v>18427391</v>
      </c>
    </row>
    <row r="195" spans="1:3">
      <c r="A195" s="12" t="s">
        <v>208</v>
      </c>
      <c r="B195" s="8">
        <v>3.12</v>
      </c>
      <c r="C195" s="3">
        <v>17869751</v>
      </c>
    </row>
    <row r="196" spans="1:3">
      <c r="A196" s="12" t="s">
        <v>209</v>
      </c>
      <c r="B196" s="8">
        <v>2.97</v>
      </c>
      <c r="C196" s="3">
        <v>24714515</v>
      </c>
    </row>
    <row r="197" spans="1:3">
      <c r="A197" s="12" t="s">
        <v>210</v>
      </c>
      <c r="B197" s="8">
        <v>2.81</v>
      </c>
      <c r="C197" s="3">
        <v>31014585</v>
      </c>
    </row>
    <row r="198" spans="1:3">
      <c r="A198" s="12" t="s">
        <v>211</v>
      </c>
      <c r="B198" s="8">
        <v>2.59</v>
      </c>
      <c r="C198" s="3">
        <v>34589129</v>
      </c>
    </row>
    <row r="199" spans="1:3">
      <c r="A199" s="12" t="s">
        <v>212</v>
      </c>
      <c r="B199" s="8">
        <v>2.65</v>
      </c>
      <c r="C199" s="3">
        <v>31824160</v>
      </c>
    </row>
    <row r="200" spans="1:3">
      <c r="A200" s="12" t="s">
        <v>213</v>
      </c>
      <c r="B200" s="8">
        <v>2.52</v>
      </c>
      <c r="C200" s="3">
        <v>31916718</v>
      </c>
    </row>
    <row r="201" spans="1:3">
      <c r="A201" s="12" t="s">
        <v>214</v>
      </c>
      <c r="B201" s="8">
        <v>2.76</v>
      </c>
      <c r="C201" s="3">
        <v>31986385</v>
      </c>
    </row>
    <row r="202" spans="1:3">
      <c r="A202" s="12" t="s">
        <v>215</v>
      </c>
      <c r="B202" s="8">
        <v>2.74</v>
      </c>
      <c r="C202" s="3">
        <v>25673127</v>
      </c>
    </row>
    <row r="203" spans="1:3">
      <c r="A203" s="12" t="s">
        <v>216</v>
      </c>
      <c r="B203" s="8">
        <v>2.8</v>
      </c>
      <c r="C203" s="3">
        <v>14433571</v>
      </c>
    </row>
    <row r="204" spans="1:3">
      <c r="A204" s="12" t="s">
        <v>217</v>
      </c>
      <c r="B204" s="8">
        <v>2.79</v>
      </c>
      <c r="C204" s="3">
        <v>13860687</v>
      </c>
    </row>
    <row r="205" spans="1:3">
      <c r="A205" s="12" t="s">
        <v>218</v>
      </c>
      <c r="B205" s="8">
        <v>2.67</v>
      </c>
      <c r="C205" s="3">
        <v>14401088</v>
      </c>
    </row>
    <row r="206" spans="1:3">
      <c r="A206" s="12" t="s">
        <v>219</v>
      </c>
      <c r="B206" s="8">
        <v>2.69</v>
      </c>
      <c r="C206" s="3">
        <v>18798336</v>
      </c>
    </row>
    <row r="207" spans="1:3">
      <c r="A207" s="12" t="s">
        <v>220</v>
      </c>
      <c r="B207" s="8">
        <v>2.61</v>
      </c>
      <c r="C207" s="3">
        <v>26367398</v>
      </c>
    </row>
    <row r="208" spans="1:3">
      <c r="A208" s="12" t="s">
        <v>221</v>
      </c>
      <c r="B208" s="8">
        <v>2.65</v>
      </c>
      <c r="C208" s="3">
        <v>41030881</v>
      </c>
    </row>
    <row r="209" spans="1:3">
      <c r="A209" s="12" t="s">
        <v>222</v>
      </c>
      <c r="B209" s="8">
        <v>2.71</v>
      </c>
      <c r="C209" s="3">
        <v>26901835</v>
      </c>
    </row>
    <row r="210" spans="1:3">
      <c r="A210" s="12" t="s">
        <v>223</v>
      </c>
      <c r="B210" s="8">
        <v>2.71</v>
      </c>
      <c r="C210" s="3">
        <v>24848748</v>
      </c>
    </row>
    <row r="211" spans="1:3">
      <c r="A211" s="12" t="s">
        <v>224</v>
      </c>
      <c r="B211" s="8">
        <v>2.78</v>
      </c>
      <c r="C211" s="3">
        <v>20819830</v>
      </c>
    </row>
    <row r="212" spans="1:3">
      <c r="A212" s="12" t="s">
        <v>225</v>
      </c>
      <c r="B212" s="8">
        <v>2.75</v>
      </c>
      <c r="C212" s="3">
        <v>24306396</v>
      </c>
    </row>
    <row r="213" spans="1:3">
      <c r="A213" s="12" t="s">
        <v>226</v>
      </c>
      <c r="B213" s="8">
        <v>2.74</v>
      </c>
      <c r="C213" s="3">
        <v>18455202</v>
      </c>
    </row>
    <row r="214" spans="1:3">
      <c r="A214" s="12" t="s">
        <v>227</v>
      </c>
      <c r="B214" s="8">
        <v>2.83</v>
      </c>
      <c r="C214" s="3">
        <v>22496587</v>
      </c>
    </row>
    <row r="215" spans="1:3">
      <c r="A215" s="12" t="s">
        <v>228</v>
      </c>
      <c r="B215" s="8">
        <v>2.8</v>
      </c>
      <c r="C215" s="3">
        <v>14942316</v>
      </c>
    </row>
    <row r="216" spans="1:3">
      <c r="A216" s="12" t="s">
        <v>229</v>
      </c>
      <c r="B216" s="8">
        <v>2.84</v>
      </c>
      <c r="C216" s="3">
        <v>12190978</v>
      </c>
    </row>
    <row r="217" spans="1:3">
      <c r="A217" s="12" t="s">
        <v>230</v>
      </c>
      <c r="B217" s="8">
        <v>2.85</v>
      </c>
      <c r="C217" s="3">
        <v>19324690</v>
      </c>
    </row>
    <row r="218" spans="1:3">
      <c r="A218" s="12" t="s">
        <v>231</v>
      </c>
      <c r="B218" s="8">
        <v>2.82</v>
      </c>
      <c r="C218" s="3">
        <v>18959762</v>
      </c>
    </row>
    <row r="219" spans="1:3">
      <c r="A219" s="12" t="s">
        <v>232</v>
      </c>
      <c r="B219" s="8">
        <v>2.79</v>
      </c>
      <c r="C219" s="3">
        <v>14545805</v>
      </c>
    </row>
    <row r="220" spans="1:3">
      <c r="A220" s="12" t="s">
        <v>233</v>
      </c>
      <c r="B220" s="8">
        <v>2.87</v>
      </c>
      <c r="C220" s="3">
        <v>17068184</v>
      </c>
    </row>
    <row r="221" spans="1:3">
      <c r="A221" s="12" t="s">
        <v>234</v>
      </c>
      <c r="B221" s="8">
        <v>3.03</v>
      </c>
      <c r="C221" s="3">
        <v>24722308</v>
      </c>
    </row>
    <row r="222" spans="1:3">
      <c r="A222" s="12" t="s">
        <v>235</v>
      </c>
      <c r="B222" s="8">
        <v>2.99</v>
      </c>
      <c r="C222" s="3">
        <v>23298076</v>
      </c>
    </row>
    <row r="223" spans="1:3">
      <c r="A223" s="12" t="s">
        <v>236</v>
      </c>
      <c r="B223" s="8">
        <v>2.98</v>
      </c>
      <c r="C223" s="3">
        <v>15686418</v>
      </c>
    </row>
    <row r="224" spans="1:3">
      <c r="A224" s="12" t="s">
        <v>237</v>
      </c>
      <c r="B224" s="8">
        <v>2.96</v>
      </c>
      <c r="C224" s="3">
        <v>18821734</v>
      </c>
    </row>
    <row r="225" spans="1:3">
      <c r="A225" s="12" t="s">
        <v>238</v>
      </c>
      <c r="B225" s="8">
        <v>2.94</v>
      </c>
      <c r="C225" s="3">
        <v>15059447</v>
      </c>
    </row>
    <row r="226" spans="1:3">
      <c r="A226" s="12" t="s">
        <v>239</v>
      </c>
      <c r="B226" s="8">
        <v>3.06</v>
      </c>
      <c r="C226" s="3">
        <v>27135468</v>
      </c>
    </row>
    <row r="227" spans="1:3">
      <c r="A227" s="12" t="s">
        <v>240</v>
      </c>
      <c r="B227" s="8">
        <v>3.08</v>
      </c>
      <c r="C227" s="3">
        <v>24714335</v>
      </c>
    </row>
    <row r="228" spans="1:3">
      <c r="A228" s="12" t="s">
        <v>241</v>
      </c>
      <c r="B228" s="8">
        <v>3.09</v>
      </c>
      <c r="C228" s="3">
        <v>15803555</v>
      </c>
    </row>
    <row r="229" spans="1:3">
      <c r="A229" s="12" t="s">
        <v>242</v>
      </c>
      <c r="B229" s="8">
        <v>3.03</v>
      </c>
      <c r="C229" s="3">
        <v>11877854</v>
      </c>
    </row>
    <row r="230" spans="1:3">
      <c r="A230" s="12" t="s">
        <v>243</v>
      </c>
      <c r="B230" s="8">
        <v>3.05</v>
      </c>
      <c r="C230" s="3">
        <v>9879576</v>
      </c>
    </row>
    <row r="231" spans="1:3">
      <c r="A231" s="12" t="s">
        <v>244</v>
      </c>
      <c r="B231" s="8">
        <v>3.09</v>
      </c>
      <c r="C231" s="3">
        <v>16719868</v>
      </c>
    </row>
    <row r="232" spans="1:3">
      <c r="A232" s="12" t="s">
        <v>245</v>
      </c>
      <c r="B232" s="8">
        <v>3.07</v>
      </c>
      <c r="C232" s="3">
        <v>10117800</v>
      </c>
    </row>
    <row r="233" spans="1:3">
      <c r="A233" s="12" t="s">
        <v>246</v>
      </c>
      <c r="B233" s="8">
        <v>3.04</v>
      </c>
      <c r="C233" s="3">
        <v>22897184</v>
      </c>
    </row>
    <row r="234" spans="1:3">
      <c r="A234" s="12" t="s">
        <v>247</v>
      </c>
      <c r="B234" s="8">
        <v>3.05</v>
      </c>
      <c r="C234" s="3">
        <v>42713779</v>
      </c>
    </row>
    <row r="235" spans="1:3">
      <c r="A235" s="12" t="s">
        <v>248</v>
      </c>
      <c r="B235" s="8">
        <v>2.94</v>
      </c>
      <c r="C235" s="3">
        <v>14944262</v>
      </c>
    </row>
    <row r="236" spans="1:3">
      <c r="A236" s="12" t="s">
        <v>249</v>
      </c>
      <c r="B236" s="8">
        <v>2.95</v>
      </c>
      <c r="C236" s="3">
        <v>24625256</v>
      </c>
    </row>
    <row r="237" spans="1:3">
      <c r="A237" s="12" t="s">
        <v>250</v>
      </c>
      <c r="B237" s="8">
        <v>3.02</v>
      </c>
      <c r="C237" s="3">
        <v>18210151</v>
      </c>
    </row>
    <row r="238" spans="1:3">
      <c r="A238" s="12" t="s">
        <v>251</v>
      </c>
      <c r="B238" s="8">
        <v>3.02</v>
      </c>
      <c r="C238" s="3">
        <v>18891005</v>
      </c>
    </row>
    <row r="239" spans="1:3">
      <c r="A239" s="12" t="s">
        <v>252</v>
      </c>
      <c r="B239" s="8">
        <v>3.02</v>
      </c>
      <c r="C239" s="3">
        <v>20009112</v>
      </c>
    </row>
    <row r="240" spans="1:3">
      <c r="A240" s="12" t="s">
        <v>253</v>
      </c>
      <c r="B240" s="8">
        <v>3.04</v>
      </c>
      <c r="C240" s="3">
        <v>16051979</v>
      </c>
    </row>
    <row r="241" spans="1:3">
      <c r="A241" s="12" t="s">
        <v>254</v>
      </c>
      <c r="B241" s="8">
        <v>3.06</v>
      </c>
      <c r="C241" s="3">
        <v>15607002</v>
      </c>
    </row>
    <row r="242" spans="1:3">
      <c r="A242" s="12" t="s">
        <v>255</v>
      </c>
      <c r="B242" s="8">
        <v>3.01</v>
      </c>
      <c r="C242" s="3">
        <v>16823690</v>
      </c>
    </row>
    <row r="243" spans="1:3">
      <c r="A243" s="12" t="s">
        <v>256</v>
      </c>
      <c r="B243" s="8">
        <v>2.94</v>
      </c>
      <c r="C243" s="3">
        <v>12378428</v>
      </c>
    </row>
    <row r="244" spans="1:3">
      <c r="A244" s="12" t="s">
        <v>257</v>
      </c>
      <c r="B244" s="8">
        <v>3</v>
      </c>
      <c r="C244" s="3">
        <v>17660981</v>
      </c>
    </row>
    <row r="245" spans="1:3">
      <c r="A245" s="12" t="s">
        <v>258</v>
      </c>
      <c r="B245" s="8">
        <v>3.02</v>
      </c>
      <c r="C245" s="3">
        <v>14170059</v>
      </c>
    </row>
    <row r="246" spans="1:3">
      <c r="A246" s="12" t="s">
        <v>259</v>
      </c>
      <c r="B246" s="8">
        <v>2.98</v>
      </c>
      <c r="C246" s="3">
        <v>12910516</v>
      </c>
    </row>
    <row r="247" spans="1:3">
      <c r="A247" s="12" t="s">
        <v>260</v>
      </c>
      <c r="B247" s="8">
        <v>2.9</v>
      </c>
      <c r="C247" s="3">
        <v>12337762</v>
      </c>
    </row>
    <row r="248" spans="1:3">
      <c r="A248" s="12" t="s">
        <v>261</v>
      </c>
      <c r="B248" s="8">
        <v>2.88</v>
      </c>
      <c r="C248" s="3">
        <v>26354856</v>
      </c>
    </row>
    <row r="249" spans="1:3">
      <c r="A249" s="12" t="s">
        <v>262</v>
      </c>
      <c r="B249" s="8">
        <v>2.85</v>
      </c>
      <c r="C249" s="3">
        <v>9761579</v>
      </c>
    </row>
    <row r="250" spans="1:3">
      <c r="A250" s="12" t="s">
        <v>263</v>
      </c>
      <c r="B250" s="8">
        <v>2.92</v>
      </c>
      <c r="C250" s="3">
        <v>11070533</v>
      </c>
    </row>
    <row r="251" spans="1:3">
      <c r="A251" s="12" t="s">
        <v>264</v>
      </c>
      <c r="B251" s="8">
        <v>2.84</v>
      </c>
      <c r="C251" s="3">
        <v>18246117</v>
      </c>
    </row>
    <row r="252" spans="1:3">
      <c r="A252" s="12" t="s">
        <v>265</v>
      </c>
      <c r="B252" s="8">
        <v>2.9</v>
      </c>
      <c r="C252" s="3">
        <v>20132431</v>
      </c>
    </row>
    <row r="253" spans="1:3">
      <c r="A253" s="12" t="s">
        <v>266</v>
      </c>
      <c r="B253" s="8">
        <v>2.94</v>
      </c>
      <c r="C253" s="3">
        <v>26553801</v>
      </c>
    </row>
    <row r="254" spans="1:3">
      <c r="A254" s="12" t="s">
        <v>267</v>
      </c>
      <c r="B254" s="8">
        <v>2.91</v>
      </c>
      <c r="C254" s="3">
        <v>19839505</v>
      </c>
    </row>
    <row r="255" spans="1:3">
      <c r="C255" s="1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8D68-DFC0-4AE6-89E9-E5B4E474B018}">
  <dimension ref="A1:Y254"/>
  <sheetViews>
    <sheetView topLeftCell="F1" zoomScale="85" zoomScaleNormal="85" workbookViewId="0">
      <selection activeCell="L56" sqref="L56"/>
    </sheetView>
  </sheetViews>
  <sheetFormatPr defaultRowHeight="12.75"/>
  <cols>
    <col min="1" max="1" width="14.28515625" style="12" customWidth="1"/>
    <col min="2" max="2" width="7.140625" style="6" customWidth="1"/>
    <col min="3" max="3" width="9.85546875" style="9" customWidth="1"/>
    <col min="4" max="4" width="10.42578125" style="9" customWidth="1"/>
    <col min="5" max="5" width="10.7109375" style="9" customWidth="1"/>
  </cols>
  <sheetData>
    <row r="1" spans="1:5" ht="15">
      <c r="A1" s="11" t="s">
        <v>2</v>
      </c>
      <c r="B1" s="4" t="s">
        <v>3</v>
      </c>
      <c r="C1" s="7" t="s">
        <v>4</v>
      </c>
      <c r="D1" s="7" t="s">
        <v>5</v>
      </c>
      <c r="E1" s="7" t="s">
        <v>6</v>
      </c>
    </row>
    <row r="2" spans="1:5">
      <c r="A2" s="12" t="s">
        <v>15</v>
      </c>
      <c r="B2" s="5">
        <v>3.65</v>
      </c>
      <c r="C2" s="8">
        <v>3.72</v>
      </c>
      <c r="D2" s="8">
        <v>3.64</v>
      </c>
      <c r="E2" s="8">
        <v>3.71</v>
      </c>
    </row>
    <row r="3" spans="1:5">
      <c r="A3" s="12" t="s">
        <v>16</v>
      </c>
      <c r="B3" s="5">
        <v>3.75</v>
      </c>
      <c r="C3" s="8">
        <v>3.77</v>
      </c>
      <c r="D3" s="8">
        <v>3.6949999999999998</v>
      </c>
      <c r="E3" s="8">
        <v>3.73</v>
      </c>
    </row>
    <row r="4" spans="1:5">
      <c r="A4" s="12" t="s">
        <v>17</v>
      </c>
      <c r="B4" s="5">
        <v>3.79</v>
      </c>
      <c r="C4" s="8">
        <v>3.86</v>
      </c>
      <c r="D4" s="8">
        <v>3.77</v>
      </c>
      <c r="E4" s="8">
        <v>3.78</v>
      </c>
    </row>
    <row r="5" spans="1:5">
      <c r="A5" s="12" t="s">
        <v>18</v>
      </c>
      <c r="B5" s="5">
        <v>3.85</v>
      </c>
      <c r="C5" s="8">
        <v>3.86</v>
      </c>
      <c r="D5" s="8">
        <v>3.79</v>
      </c>
      <c r="E5" s="8">
        <v>3.85</v>
      </c>
    </row>
    <row r="6" spans="1:5">
      <c r="A6" s="12" t="s">
        <v>19</v>
      </c>
      <c r="B6" s="5">
        <v>3.85</v>
      </c>
      <c r="C6" s="8">
        <v>3.8650000000000002</v>
      </c>
      <c r="D6" s="8">
        <v>3.7949999999999999</v>
      </c>
      <c r="E6" s="8">
        <v>3.82</v>
      </c>
    </row>
    <row r="7" spans="1:5">
      <c r="A7" s="12" t="s">
        <v>20</v>
      </c>
      <c r="B7" s="5">
        <v>3.82</v>
      </c>
      <c r="C7" s="8">
        <v>3.83</v>
      </c>
      <c r="D7" s="8">
        <v>3.68</v>
      </c>
      <c r="E7" s="8">
        <v>3.7</v>
      </c>
    </row>
    <row r="8" spans="1:5">
      <c r="A8" s="12" t="s">
        <v>21</v>
      </c>
      <c r="B8" s="5">
        <v>3.75</v>
      </c>
      <c r="C8" s="8">
        <v>3.75</v>
      </c>
      <c r="D8" s="8">
        <v>3.67</v>
      </c>
      <c r="E8" s="8">
        <v>3.72</v>
      </c>
    </row>
    <row r="9" spans="1:5">
      <c r="A9" s="12" t="s">
        <v>22</v>
      </c>
      <c r="B9" s="5">
        <v>3.66</v>
      </c>
      <c r="C9" s="8">
        <v>3.67</v>
      </c>
      <c r="D9" s="8">
        <v>3.625</v>
      </c>
      <c r="E9" s="8">
        <v>3.64</v>
      </c>
    </row>
    <row r="10" spans="1:5">
      <c r="A10" s="12" t="s">
        <v>23</v>
      </c>
      <c r="B10" s="5">
        <v>3.67</v>
      </c>
      <c r="C10" s="8">
        <v>3.6749999999999998</v>
      </c>
      <c r="D10" s="8">
        <v>3.59</v>
      </c>
      <c r="E10" s="8">
        <v>3.62</v>
      </c>
    </row>
    <row r="11" spans="1:5">
      <c r="A11" s="12" t="s">
        <v>24</v>
      </c>
      <c r="B11" s="5">
        <v>3.64</v>
      </c>
      <c r="C11" s="8">
        <v>3.67</v>
      </c>
      <c r="D11" s="8">
        <v>3.61</v>
      </c>
      <c r="E11" s="8">
        <v>3.62</v>
      </c>
    </row>
    <row r="12" spans="1:5">
      <c r="A12" s="12" t="s">
        <v>25</v>
      </c>
      <c r="B12" s="5">
        <v>3.63</v>
      </c>
      <c r="C12" s="8">
        <v>3.64</v>
      </c>
      <c r="D12" s="8">
        <v>3.59</v>
      </c>
      <c r="E12" s="8">
        <v>3.62</v>
      </c>
    </row>
    <row r="13" spans="1:5">
      <c r="A13" s="12" t="s">
        <v>26</v>
      </c>
      <c r="B13" s="5">
        <v>3.6</v>
      </c>
      <c r="C13" s="8">
        <v>3.605</v>
      </c>
      <c r="D13" s="8">
        <v>3.5550000000000002</v>
      </c>
      <c r="E13" s="8">
        <v>3.57</v>
      </c>
    </row>
    <row r="14" spans="1:5">
      <c r="A14" s="12" t="s">
        <v>27</v>
      </c>
      <c r="B14" s="5">
        <v>3.59</v>
      </c>
      <c r="C14" s="8">
        <v>3.61</v>
      </c>
      <c r="D14" s="8">
        <v>3.54</v>
      </c>
      <c r="E14" s="8">
        <v>3.55</v>
      </c>
    </row>
    <row r="15" spans="1:5">
      <c r="A15" s="12" t="s">
        <v>28</v>
      </c>
      <c r="B15" s="5">
        <v>3.54</v>
      </c>
      <c r="C15" s="8">
        <v>3.5449999999999999</v>
      </c>
      <c r="D15" s="8">
        <v>3.47</v>
      </c>
      <c r="E15" s="8">
        <v>3.49</v>
      </c>
    </row>
    <row r="16" spans="1:5">
      <c r="A16" s="12" t="s">
        <v>29</v>
      </c>
      <c r="B16" s="5">
        <v>3.42</v>
      </c>
      <c r="C16" s="8">
        <v>3.43</v>
      </c>
      <c r="D16" s="8">
        <v>3.38</v>
      </c>
      <c r="E16" s="8">
        <v>3.42</v>
      </c>
    </row>
    <row r="17" spans="1:5">
      <c r="A17" s="12" t="s">
        <v>30</v>
      </c>
      <c r="B17" s="5">
        <v>3.14</v>
      </c>
      <c r="C17" s="8">
        <v>3.16</v>
      </c>
      <c r="D17" s="8">
        <v>2.9350000000000001</v>
      </c>
      <c r="E17" s="8">
        <v>2.99</v>
      </c>
    </row>
    <row r="18" spans="1:5">
      <c r="A18" s="12" t="s">
        <v>31</v>
      </c>
      <c r="B18" s="5">
        <v>2.99</v>
      </c>
      <c r="C18" s="8">
        <v>3.05</v>
      </c>
      <c r="D18" s="8">
        <v>2.94</v>
      </c>
      <c r="E18" s="8">
        <v>2.98</v>
      </c>
    </row>
    <row r="19" spans="1:5">
      <c r="A19" s="12" t="s">
        <v>32</v>
      </c>
      <c r="B19" s="5">
        <v>2.99</v>
      </c>
      <c r="C19" s="8">
        <v>2.99</v>
      </c>
      <c r="D19" s="8">
        <v>2.91</v>
      </c>
      <c r="E19" s="8">
        <v>2.96</v>
      </c>
    </row>
    <row r="20" spans="1:5">
      <c r="A20" s="12" t="s">
        <v>33</v>
      </c>
      <c r="B20" s="5">
        <v>2.91</v>
      </c>
      <c r="C20" s="8">
        <v>2.97</v>
      </c>
      <c r="D20" s="8">
        <v>2.89</v>
      </c>
      <c r="E20" s="8">
        <v>2.91</v>
      </c>
    </row>
    <row r="21" spans="1:5">
      <c r="A21" s="12" t="s">
        <v>34</v>
      </c>
      <c r="B21" s="5">
        <v>2.95</v>
      </c>
      <c r="C21" s="8">
        <v>2.99</v>
      </c>
      <c r="D21" s="8">
        <v>2.94</v>
      </c>
      <c r="E21" s="8">
        <v>2.98</v>
      </c>
    </row>
    <row r="22" spans="1:5">
      <c r="A22" s="12" t="s">
        <v>35</v>
      </c>
      <c r="B22" s="5">
        <v>3.03</v>
      </c>
      <c r="C22" s="8">
        <v>3.05</v>
      </c>
      <c r="D22" s="8">
        <v>3.01</v>
      </c>
      <c r="E22" s="8">
        <v>3.02</v>
      </c>
    </row>
    <row r="23" spans="1:5">
      <c r="A23" s="12" t="s">
        <v>36</v>
      </c>
      <c r="B23" s="5">
        <v>3</v>
      </c>
      <c r="C23" s="8">
        <v>3.03</v>
      </c>
      <c r="D23" s="8">
        <v>2.99</v>
      </c>
      <c r="E23" s="8">
        <v>3.01</v>
      </c>
    </row>
    <row r="24" spans="1:5">
      <c r="A24" s="12" t="s">
        <v>37</v>
      </c>
      <c r="B24" s="5">
        <v>3.05</v>
      </c>
      <c r="C24" s="8">
        <v>3.09</v>
      </c>
      <c r="D24" s="8">
        <v>3</v>
      </c>
      <c r="E24" s="8">
        <v>3.07</v>
      </c>
    </row>
    <row r="25" spans="1:5">
      <c r="A25" s="12" t="s">
        <v>38</v>
      </c>
      <c r="B25" s="5">
        <v>3.12</v>
      </c>
      <c r="C25" s="8">
        <v>3.15</v>
      </c>
      <c r="D25" s="8">
        <v>3.08</v>
      </c>
      <c r="E25" s="8">
        <v>3.14</v>
      </c>
    </row>
    <row r="26" spans="1:5">
      <c r="A26" s="12" t="s">
        <v>39</v>
      </c>
      <c r="B26" s="5">
        <v>3.05</v>
      </c>
      <c r="C26" s="8">
        <v>3.0750000000000002</v>
      </c>
      <c r="D26" s="8">
        <v>2.9950000000000001</v>
      </c>
      <c r="E26" s="8">
        <v>3.02</v>
      </c>
    </row>
    <row r="27" spans="1:5">
      <c r="A27" s="12" t="s">
        <v>40</v>
      </c>
      <c r="B27" s="5">
        <v>2.9</v>
      </c>
      <c r="C27" s="8">
        <v>2.9249999999999998</v>
      </c>
      <c r="D27" s="8">
        <v>2.84</v>
      </c>
      <c r="E27" s="8">
        <v>2.84</v>
      </c>
    </row>
    <row r="28" spans="1:5">
      <c r="A28" s="12" t="s">
        <v>41</v>
      </c>
      <c r="B28" s="5">
        <v>2.87</v>
      </c>
      <c r="C28" s="8">
        <v>2.93</v>
      </c>
      <c r="D28" s="8">
        <v>2.86</v>
      </c>
      <c r="E28" s="8">
        <v>2.86</v>
      </c>
    </row>
    <row r="29" spans="1:5">
      <c r="A29" s="12" t="s">
        <v>42</v>
      </c>
      <c r="B29" s="5">
        <v>2.86</v>
      </c>
      <c r="C29" s="8">
        <v>2.92</v>
      </c>
      <c r="D29" s="8">
        <v>2.84</v>
      </c>
      <c r="E29" s="8">
        <v>2.88</v>
      </c>
    </row>
    <row r="30" spans="1:5">
      <c r="A30" s="12" t="s">
        <v>43</v>
      </c>
      <c r="B30" s="5">
        <v>2.84</v>
      </c>
      <c r="C30" s="8">
        <v>2.86</v>
      </c>
      <c r="D30" s="8">
        <v>2.79</v>
      </c>
      <c r="E30" s="8">
        <v>2.83</v>
      </c>
    </row>
    <row r="31" spans="1:5">
      <c r="A31" s="12" t="s">
        <v>44</v>
      </c>
      <c r="B31" s="5">
        <v>2.85</v>
      </c>
      <c r="C31" s="8">
        <v>2.94</v>
      </c>
      <c r="D31" s="8">
        <v>2.84</v>
      </c>
      <c r="E31" s="8">
        <v>2.94</v>
      </c>
    </row>
    <row r="32" spans="1:5">
      <c r="A32" s="12" t="s">
        <v>45</v>
      </c>
      <c r="B32" s="5">
        <v>2.94</v>
      </c>
      <c r="C32" s="8">
        <v>2.95</v>
      </c>
      <c r="D32" s="8">
        <v>2.91</v>
      </c>
      <c r="E32" s="8">
        <v>2.93</v>
      </c>
    </row>
    <row r="33" spans="1:5">
      <c r="A33" s="12" t="s">
        <v>46</v>
      </c>
      <c r="B33" s="5">
        <v>2.96</v>
      </c>
      <c r="C33" s="8">
        <v>2.9750000000000001</v>
      </c>
      <c r="D33" s="8">
        <v>2.93</v>
      </c>
      <c r="E33" s="8">
        <v>2.96</v>
      </c>
    </row>
    <row r="34" spans="1:5">
      <c r="A34" s="12" t="s">
        <v>47</v>
      </c>
      <c r="B34" s="5">
        <v>2.97</v>
      </c>
      <c r="C34" s="8">
        <v>3</v>
      </c>
      <c r="D34" s="8">
        <v>2.89</v>
      </c>
      <c r="E34" s="8">
        <v>2.91</v>
      </c>
    </row>
    <row r="35" spans="1:5">
      <c r="A35" s="12" t="s">
        <v>48</v>
      </c>
      <c r="B35" s="5">
        <v>2.93</v>
      </c>
      <c r="C35" s="8">
        <v>2.95</v>
      </c>
      <c r="D35" s="8">
        <v>2.9</v>
      </c>
      <c r="E35" s="8">
        <v>2.92</v>
      </c>
    </row>
    <row r="36" spans="1:5">
      <c r="A36" s="12" t="s">
        <v>49</v>
      </c>
      <c r="B36" s="5">
        <v>2.96</v>
      </c>
      <c r="C36" s="8">
        <v>3</v>
      </c>
      <c r="D36" s="8">
        <v>2.94</v>
      </c>
      <c r="E36" s="8">
        <v>2.98</v>
      </c>
    </row>
    <row r="37" spans="1:5">
      <c r="A37" s="12" t="s">
        <v>50</v>
      </c>
      <c r="B37" s="5">
        <v>2.96</v>
      </c>
      <c r="C37" s="8">
        <v>2.9849999999999999</v>
      </c>
      <c r="D37" s="8">
        <v>2.9249999999999998</v>
      </c>
      <c r="E37" s="8">
        <v>2.96</v>
      </c>
    </row>
    <row r="38" spans="1:5">
      <c r="A38" s="12" t="s">
        <v>51</v>
      </c>
      <c r="B38" s="5">
        <v>3.03</v>
      </c>
      <c r="C38" s="8">
        <v>3.07</v>
      </c>
      <c r="D38" s="8">
        <v>3.01</v>
      </c>
      <c r="E38" s="8">
        <v>3.01</v>
      </c>
    </row>
    <row r="39" spans="1:5">
      <c r="A39" s="12" t="s">
        <v>52</v>
      </c>
      <c r="B39" s="5">
        <v>2.95</v>
      </c>
      <c r="C39" s="8">
        <v>3.0150000000000001</v>
      </c>
      <c r="D39" s="8">
        <v>2.94</v>
      </c>
      <c r="E39" s="8">
        <v>3.01</v>
      </c>
    </row>
    <row r="40" spans="1:5">
      <c r="A40" s="12" t="s">
        <v>53</v>
      </c>
      <c r="B40" s="5">
        <v>3.04</v>
      </c>
      <c r="C40" s="8">
        <v>3.07</v>
      </c>
      <c r="D40" s="8">
        <v>3.01</v>
      </c>
      <c r="E40" s="8">
        <v>3.04</v>
      </c>
    </row>
    <row r="41" spans="1:5">
      <c r="A41" s="12" t="s">
        <v>54</v>
      </c>
      <c r="B41" s="5">
        <v>2.96</v>
      </c>
      <c r="C41" s="8">
        <v>3.0449999999999999</v>
      </c>
      <c r="D41" s="8">
        <v>2.96</v>
      </c>
      <c r="E41" s="8">
        <v>3.03</v>
      </c>
    </row>
    <row r="42" spans="1:5">
      <c r="A42" s="12" t="s">
        <v>55</v>
      </c>
      <c r="B42" s="5">
        <v>3.04</v>
      </c>
      <c r="C42" s="8">
        <v>3.11</v>
      </c>
      <c r="D42" s="8">
        <v>3.04</v>
      </c>
      <c r="E42" s="8">
        <v>3.09</v>
      </c>
    </row>
    <row r="43" spans="1:5">
      <c r="A43" s="12" t="s">
        <v>56</v>
      </c>
      <c r="B43" s="5">
        <v>3.11</v>
      </c>
      <c r="C43" s="8">
        <v>3.125</v>
      </c>
      <c r="D43" s="8">
        <v>3.09</v>
      </c>
      <c r="E43" s="8">
        <v>3.1</v>
      </c>
    </row>
    <row r="44" spans="1:5">
      <c r="A44" s="12" t="s">
        <v>57</v>
      </c>
      <c r="B44" s="5">
        <v>3.08</v>
      </c>
      <c r="C44" s="8">
        <v>3.1</v>
      </c>
      <c r="D44" s="8">
        <v>3.0550000000000002</v>
      </c>
      <c r="E44" s="8">
        <v>3.08</v>
      </c>
    </row>
    <row r="45" spans="1:5">
      <c r="A45" s="12" t="s">
        <v>58</v>
      </c>
      <c r="B45" s="5">
        <v>3.02</v>
      </c>
      <c r="C45" s="8">
        <v>3.11</v>
      </c>
      <c r="D45" s="8">
        <v>3.02</v>
      </c>
      <c r="E45" s="8">
        <v>3.1</v>
      </c>
    </row>
    <row r="46" spans="1:5">
      <c r="A46" s="12" t="s">
        <v>59</v>
      </c>
      <c r="B46" s="5">
        <v>3.09</v>
      </c>
      <c r="C46" s="8">
        <v>3.16</v>
      </c>
      <c r="D46" s="8">
        <v>3.09</v>
      </c>
      <c r="E46" s="8">
        <v>3.14</v>
      </c>
    </row>
    <row r="47" spans="1:5">
      <c r="A47" s="12" t="s">
        <v>60</v>
      </c>
      <c r="B47" s="5">
        <v>3.06</v>
      </c>
      <c r="C47" s="8">
        <v>3.12</v>
      </c>
      <c r="D47" s="8">
        <v>3.06</v>
      </c>
      <c r="E47" s="8">
        <v>3.1</v>
      </c>
    </row>
    <row r="48" spans="1:5">
      <c r="A48" s="12" t="s">
        <v>61</v>
      </c>
      <c r="B48" s="5">
        <v>3.1</v>
      </c>
      <c r="C48" s="8">
        <v>3.17</v>
      </c>
      <c r="D48" s="8">
        <v>3.08</v>
      </c>
      <c r="E48" s="8">
        <v>3.1</v>
      </c>
    </row>
    <row r="49" spans="1:5">
      <c r="A49" s="12" t="s">
        <v>62</v>
      </c>
      <c r="B49" s="5">
        <v>3</v>
      </c>
      <c r="C49" s="8">
        <v>3.0150000000000001</v>
      </c>
      <c r="D49" s="8">
        <v>2.98</v>
      </c>
      <c r="E49" s="8">
        <v>3</v>
      </c>
    </row>
    <row r="50" spans="1:5">
      <c r="A50" s="12" t="s">
        <v>63</v>
      </c>
      <c r="B50" s="5">
        <v>3</v>
      </c>
      <c r="C50" s="8">
        <v>3.05</v>
      </c>
      <c r="D50" s="8">
        <v>2.9950000000000001</v>
      </c>
      <c r="E50" s="8">
        <v>3.04</v>
      </c>
    </row>
    <row r="51" spans="1:5">
      <c r="A51" s="12" t="s">
        <v>64</v>
      </c>
      <c r="B51" s="5">
        <v>3.03</v>
      </c>
      <c r="C51" s="8">
        <v>3.03</v>
      </c>
      <c r="D51" s="8">
        <v>2.95</v>
      </c>
      <c r="E51" s="8">
        <v>2.98</v>
      </c>
    </row>
    <row r="52" spans="1:5">
      <c r="A52" s="12" t="s">
        <v>65</v>
      </c>
      <c r="B52" s="5">
        <v>2.92</v>
      </c>
      <c r="C52" s="8">
        <v>2.9950000000000001</v>
      </c>
      <c r="D52" s="8">
        <v>2.91</v>
      </c>
      <c r="E52" s="8">
        <v>2.97</v>
      </c>
    </row>
    <row r="53" spans="1:5">
      <c r="A53" s="12" t="s">
        <v>66</v>
      </c>
      <c r="B53" s="5">
        <v>3.01</v>
      </c>
      <c r="C53" s="8">
        <v>3.03</v>
      </c>
      <c r="D53" s="8">
        <v>2.97</v>
      </c>
      <c r="E53" s="8">
        <v>2.99</v>
      </c>
    </row>
    <row r="54" spans="1:5">
      <c r="A54" s="12" t="s">
        <v>67</v>
      </c>
      <c r="B54" s="5">
        <v>2.96</v>
      </c>
      <c r="C54" s="8">
        <v>3.03</v>
      </c>
      <c r="D54" s="8">
        <v>2.95</v>
      </c>
      <c r="E54" s="8">
        <v>3.01</v>
      </c>
    </row>
    <row r="55" spans="1:5">
      <c r="A55" s="12" t="s">
        <v>68</v>
      </c>
      <c r="B55" s="5">
        <v>3.03</v>
      </c>
      <c r="C55" s="8">
        <v>3.11</v>
      </c>
      <c r="D55" s="8">
        <v>3.01</v>
      </c>
      <c r="E55" s="8">
        <v>3.08</v>
      </c>
    </row>
    <row r="56" spans="1:5">
      <c r="A56" s="12" t="s">
        <v>69</v>
      </c>
      <c r="B56" s="5">
        <v>3.18</v>
      </c>
      <c r="C56" s="8">
        <v>3.21</v>
      </c>
      <c r="D56" s="8">
        <v>3.16</v>
      </c>
      <c r="E56" s="8">
        <v>3.19</v>
      </c>
    </row>
    <row r="57" spans="1:5">
      <c r="A57" s="12" t="s">
        <v>70</v>
      </c>
      <c r="B57" s="5">
        <v>3.21</v>
      </c>
      <c r="C57" s="8">
        <v>3.22</v>
      </c>
      <c r="D57" s="8">
        <v>3.145</v>
      </c>
      <c r="E57" s="8">
        <v>3.17</v>
      </c>
    </row>
    <row r="58" spans="1:5">
      <c r="A58" s="12" t="s">
        <v>71</v>
      </c>
      <c r="B58" s="5">
        <v>3.22</v>
      </c>
      <c r="C58" s="8">
        <v>3.25</v>
      </c>
      <c r="D58" s="8">
        <v>3.18</v>
      </c>
      <c r="E58" s="8">
        <v>3.23</v>
      </c>
    </row>
    <row r="59" spans="1:5">
      <c r="A59" s="12" t="s">
        <v>72</v>
      </c>
      <c r="B59" s="5">
        <v>3.23</v>
      </c>
      <c r="C59" s="8">
        <v>3.2349999999999999</v>
      </c>
      <c r="D59" s="8">
        <v>3.165</v>
      </c>
      <c r="E59" s="8">
        <v>3.2</v>
      </c>
    </row>
    <row r="60" spans="1:5">
      <c r="A60" s="12" t="s">
        <v>73</v>
      </c>
      <c r="B60" s="5">
        <v>3.17</v>
      </c>
      <c r="C60" s="8">
        <v>3.23</v>
      </c>
      <c r="D60" s="8">
        <v>3.13</v>
      </c>
      <c r="E60" s="8">
        <v>3.2</v>
      </c>
    </row>
    <row r="61" spans="1:5">
      <c r="A61" s="12" t="s">
        <v>74</v>
      </c>
      <c r="B61" s="5">
        <v>3.21</v>
      </c>
      <c r="C61" s="8">
        <v>3.26</v>
      </c>
      <c r="D61" s="8">
        <v>3.19</v>
      </c>
      <c r="E61" s="8">
        <v>3.2</v>
      </c>
    </row>
    <row r="62" spans="1:5">
      <c r="A62" s="12" t="s">
        <v>75</v>
      </c>
      <c r="B62" s="5">
        <v>3.17</v>
      </c>
      <c r="C62" s="8">
        <v>3.24</v>
      </c>
      <c r="D62" s="8">
        <v>3.16</v>
      </c>
      <c r="E62" s="8">
        <v>3.2</v>
      </c>
    </row>
    <row r="63" spans="1:5">
      <c r="A63" s="12" t="s">
        <v>76</v>
      </c>
      <c r="B63" s="5">
        <v>3.24</v>
      </c>
      <c r="C63" s="8">
        <v>3.35</v>
      </c>
      <c r="D63" s="8">
        <v>3.2250000000000001</v>
      </c>
      <c r="E63" s="8">
        <v>3.33</v>
      </c>
    </row>
    <row r="64" spans="1:5">
      <c r="A64" s="12" t="s">
        <v>77</v>
      </c>
      <c r="B64" s="5">
        <v>3.4</v>
      </c>
      <c r="C64" s="8">
        <v>3.5</v>
      </c>
      <c r="D64" s="8">
        <v>3.4</v>
      </c>
      <c r="E64" s="8">
        <v>3.43</v>
      </c>
    </row>
    <row r="65" spans="1:25">
      <c r="A65" s="12" t="s">
        <v>78</v>
      </c>
      <c r="B65" s="5">
        <v>3.43</v>
      </c>
      <c r="C65" s="8">
        <v>3.54</v>
      </c>
      <c r="D65" s="8">
        <v>3.42</v>
      </c>
      <c r="E65" s="8">
        <v>3.53</v>
      </c>
      <c r="Y65" t="s">
        <v>268</v>
      </c>
    </row>
    <row r="66" spans="1:25">
      <c r="A66" s="12" t="s">
        <v>79</v>
      </c>
      <c r="B66" s="5">
        <v>3.65</v>
      </c>
      <c r="C66" s="8">
        <v>3.72</v>
      </c>
      <c r="D66" s="8">
        <v>3.61</v>
      </c>
      <c r="E66" s="8">
        <v>3.7</v>
      </c>
    </row>
    <row r="67" spans="1:25">
      <c r="A67" s="12" t="s">
        <v>80</v>
      </c>
      <c r="B67" s="5">
        <v>3.73</v>
      </c>
      <c r="C67" s="8">
        <v>3.81</v>
      </c>
      <c r="D67" s="8">
        <v>3.73</v>
      </c>
      <c r="E67" s="8">
        <v>3.77</v>
      </c>
    </row>
    <row r="68" spans="1:25">
      <c r="A68" s="12" t="s">
        <v>81</v>
      </c>
      <c r="B68" s="5">
        <v>3.69</v>
      </c>
      <c r="C68" s="8">
        <v>3.72</v>
      </c>
      <c r="D68" s="8">
        <v>3.64</v>
      </c>
      <c r="E68" s="8">
        <v>3.67</v>
      </c>
    </row>
    <row r="69" spans="1:25">
      <c r="A69" s="12" t="s">
        <v>82</v>
      </c>
      <c r="B69" s="5">
        <v>3.69</v>
      </c>
      <c r="C69" s="8">
        <v>3.75</v>
      </c>
      <c r="D69" s="8">
        <v>3.6549999999999998</v>
      </c>
      <c r="E69" s="8">
        <v>3.73</v>
      </c>
    </row>
    <row r="70" spans="1:25">
      <c r="A70" s="12" t="s">
        <v>83</v>
      </c>
      <c r="B70" s="5">
        <v>3.75</v>
      </c>
      <c r="C70" s="8">
        <v>3.75</v>
      </c>
      <c r="D70" s="8">
        <v>3.69</v>
      </c>
      <c r="E70" s="8">
        <v>3.74</v>
      </c>
    </row>
    <row r="71" spans="1:25">
      <c r="A71" s="12" t="s">
        <v>84</v>
      </c>
      <c r="B71" s="5">
        <v>3.64</v>
      </c>
      <c r="C71" s="8">
        <v>3.7</v>
      </c>
      <c r="D71" s="8">
        <v>3.63</v>
      </c>
      <c r="E71" s="8">
        <v>3.68</v>
      </c>
    </row>
    <row r="72" spans="1:25">
      <c r="A72" s="12" t="s">
        <v>85</v>
      </c>
      <c r="B72" s="5">
        <v>3.68</v>
      </c>
      <c r="C72" s="8">
        <v>3.72</v>
      </c>
      <c r="D72" s="8">
        <v>3.66</v>
      </c>
      <c r="E72" s="8">
        <v>3.7</v>
      </c>
    </row>
    <row r="73" spans="1:25">
      <c r="A73" s="12" t="s">
        <v>86</v>
      </c>
      <c r="B73" s="5">
        <v>3.66</v>
      </c>
      <c r="C73" s="8">
        <v>3.7650000000000001</v>
      </c>
      <c r="D73" s="8">
        <v>3.55</v>
      </c>
      <c r="E73" s="8">
        <v>3.6</v>
      </c>
    </row>
    <row r="74" spans="1:25">
      <c r="A74" s="12" t="s">
        <v>87</v>
      </c>
      <c r="B74" s="5">
        <v>3.51</v>
      </c>
      <c r="C74" s="8">
        <v>3.58</v>
      </c>
      <c r="D74" s="8">
        <v>3.4950000000000001</v>
      </c>
      <c r="E74" s="8">
        <v>3.53</v>
      </c>
    </row>
    <row r="75" spans="1:25">
      <c r="A75" s="12" t="s">
        <v>88</v>
      </c>
      <c r="B75" s="5">
        <v>3.58</v>
      </c>
      <c r="C75" s="8">
        <v>3.6150000000000002</v>
      </c>
      <c r="D75" s="8">
        <v>3.5449999999999999</v>
      </c>
      <c r="E75" s="8">
        <v>3.61</v>
      </c>
    </row>
    <row r="76" spans="1:25">
      <c r="A76" s="12" t="s">
        <v>89</v>
      </c>
      <c r="B76" s="5">
        <v>3.59</v>
      </c>
      <c r="C76" s="8">
        <v>3.6150000000000002</v>
      </c>
      <c r="D76" s="8">
        <v>3.5750000000000002</v>
      </c>
      <c r="E76" s="8">
        <v>3.6</v>
      </c>
    </row>
    <row r="77" spans="1:25">
      <c r="A77" s="12" t="s">
        <v>90</v>
      </c>
      <c r="B77" s="5">
        <v>3.66</v>
      </c>
      <c r="C77" s="8">
        <v>3.7850000000000001</v>
      </c>
      <c r="D77" s="8">
        <v>3.61</v>
      </c>
      <c r="E77" s="8">
        <v>3.73</v>
      </c>
    </row>
    <row r="78" spans="1:25">
      <c r="A78" s="12" t="s">
        <v>91</v>
      </c>
      <c r="B78" s="5">
        <v>3.69</v>
      </c>
      <c r="C78" s="8">
        <v>3.8</v>
      </c>
      <c r="D78" s="8">
        <v>3.68</v>
      </c>
      <c r="E78" s="8">
        <v>3.7</v>
      </c>
    </row>
    <row r="79" spans="1:25">
      <c r="A79" s="12" t="s">
        <v>92</v>
      </c>
      <c r="B79" s="5">
        <v>3.65</v>
      </c>
      <c r="C79" s="8">
        <v>3.71</v>
      </c>
      <c r="D79" s="8">
        <v>3.63</v>
      </c>
      <c r="E79" s="8">
        <v>3.67</v>
      </c>
    </row>
    <row r="80" spans="1:25">
      <c r="A80" s="12" t="s">
        <v>93</v>
      </c>
      <c r="B80" s="5">
        <v>3.79</v>
      </c>
      <c r="C80" s="8">
        <v>3.835</v>
      </c>
      <c r="D80" s="8">
        <v>3.76</v>
      </c>
      <c r="E80" s="8">
        <v>3.77</v>
      </c>
    </row>
    <row r="81" spans="1:5">
      <c r="A81" s="12" t="s">
        <v>94</v>
      </c>
      <c r="B81" s="5">
        <v>3.72</v>
      </c>
      <c r="C81" s="8">
        <v>3.78</v>
      </c>
      <c r="D81" s="8">
        <v>3.68</v>
      </c>
      <c r="E81" s="8">
        <v>3.7</v>
      </c>
    </row>
    <row r="82" spans="1:5">
      <c r="A82" s="12" t="s">
        <v>95</v>
      </c>
      <c r="B82" s="5">
        <v>3.75</v>
      </c>
      <c r="C82" s="8">
        <v>3.76</v>
      </c>
      <c r="D82" s="8">
        <v>3.6349999999999998</v>
      </c>
      <c r="E82" s="8">
        <v>3.69</v>
      </c>
    </row>
    <row r="83" spans="1:5">
      <c r="A83" s="12" t="s">
        <v>96</v>
      </c>
      <c r="B83" s="5">
        <v>3.61</v>
      </c>
      <c r="C83" s="8">
        <v>3.65</v>
      </c>
      <c r="D83" s="8">
        <v>3.5950000000000002</v>
      </c>
      <c r="E83" s="8">
        <v>3.62</v>
      </c>
    </row>
    <row r="84" spans="1:5">
      <c r="A84" s="12" t="s">
        <v>97</v>
      </c>
      <c r="B84" s="5">
        <v>3.64</v>
      </c>
      <c r="C84" s="8">
        <v>3.68</v>
      </c>
      <c r="D84" s="8">
        <v>3.6349999999999998</v>
      </c>
      <c r="E84" s="8">
        <v>3.65</v>
      </c>
    </row>
    <row r="85" spans="1:5">
      <c r="A85" s="12" t="s">
        <v>98</v>
      </c>
      <c r="B85" s="5">
        <v>3.64</v>
      </c>
      <c r="C85" s="8">
        <v>3.77</v>
      </c>
      <c r="D85" s="8">
        <v>3.62</v>
      </c>
      <c r="E85" s="8">
        <v>3.69</v>
      </c>
    </row>
    <row r="86" spans="1:5">
      <c r="A86" s="12" t="s">
        <v>99</v>
      </c>
      <c r="B86" s="5">
        <v>3.68</v>
      </c>
      <c r="C86" s="8">
        <v>3.75</v>
      </c>
      <c r="D86" s="8">
        <v>3.68</v>
      </c>
      <c r="E86" s="8">
        <v>3.71</v>
      </c>
    </row>
    <row r="87" spans="1:5">
      <c r="A87" s="12" t="s">
        <v>100</v>
      </c>
      <c r="B87" s="5">
        <v>3.73</v>
      </c>
      <c r="C87" s="8">
        <v>3.75</v>
      </c>
      <c r="D87" s="8">
        <v>3.69</v>
      </c>
      <c r="E87" s="8">
        <v>3.73</v>
      </c>
    </row>
    <row r="88" spans="1:5">
      <c r="A88" s="12" t="s">
        <v>101</v>
      </c>
      <c r="B88" s="5">
        <v>3.76</v>
      </c>
      <c r="C88" s="8">
        <v>3.77</v>
      </c>
      <c r="D88" s="8">
        <v>3.7</v>
      </c>
      <c r="E88" s="8">
        <v>3.72</v>
      </c>
    </row>
    <row r="89" spans="1:5">
      <c r="A89" s="12" t="s">
        <v>102</v>
      </c>
      <c r="B89" s="5">
        <v>3.71</v>
      </c>
      <c r="C89" s="8">
        <v>3.77</v>
      </c>
      <c r="D89" s="8">
        <v>3.64</v>
      </c>
      <c r="E89" s="8">
        <v>3.67</v>
      </c>
    </row>
    <row r="90" spans="1:5">
      <c r="A90" s="12" t="s">
        <v>103</v>
      </c>
      <c r="B90" s="5">
        <v>3.64</v>
      </c>
      <c r="C90" s="8">
        <v>3.68</v>
      </c>
      <c r="D90" s="8">
        <v>3.59</v>
      </c>
      <c r="E90" s="8">
        <v>3.68</v>
      </c>
    </row>
    <row r="91" spans="1:5">
      <c r="A91" s="12" t="s">
        <v>104</v>
      </c>
      <c r="B91" s="5">
        <v>3.61</v>
      </c>
      <c r="C91" s="8">
        <v>3.7349999999999999</v>
      </c>
      <c r="D91" s="8">
        <v>3.6</v>
      </c>
      <c r="E91" s="8">
        <v>3.72</v>
      </c>
    </row>
    <row r="92" spans="1:5">
      <c r="A92" s="12" t="s">
        <v>105</v>
      </c>
      <c r="B92" s="5">
        <v>3.72</v>
      </c>
      <c r="C92" s="8">
        <v>3.74</v>
      </c>
      <c r="D92" s="8">
        <v>3.67</v>
      </c>
      <c r="E92" s="8">
        <v>3.73</v>
      </c>
    </row>
    <row r="93" spans="1:5">
      <c r="A93" s="12" t="s">
        <v>106</v>
      </c>
      <c r="B93" s="5">
        <v>3.7</v>
      </c>
      <c r="C93" s="8">
        <v>3.78</v>
      </c>
      <c r="D93" s="8">
        <v>3.67</v>
      </c>
      <c r="E93" s="8">
        <v>3.75</v>
      </c>
    </row>
    <row r="94" spans="1:5">
      <c r="A94" s="12" t="s">
        <v>107</v>
      </c>
      <c r="B94" s="5">
        <v>3.79</v>
      </c>
      <c r="C94" s="8">
        <v>3.8149999999999999</v>
      </c>
      <c r="D94" s="8">
        <v>3.72</v>
      </c>
      <c r="E94" s="8">
        <v>3.76</v>
      </c>
    </row>
    <row r="95" spans="1:5">
      <c r="A95" s="12" t="s">
        <v>108</v>
      </c>
      <c r="B95" s="5">
        <v>3.8</v>
      </c>
      <c r="C95" s="8">
        <v>3.855</v>
      </c>
      <c r="D95" s="8">
        <v>3.7349999999999999</v>
      </c>
      <c r="E95" s="8">
        <v>3.83</v>
      </c>
    </row>
    <row r="96" spans="1:5">
      <c r="A96" s="12" t="s">
        <v>109</v>
      </c>
      <c r="B96" s="5">
        <v>3.89</v>
      </c>
      <c r="C96" s="8">
        <v>3.9449999999999998</v>
      </c>
      <c r="D96" s="8">
        <v>3.8</v>
      </c>
      <c r="E96" s="8">
        <v>3.8</v>
      </c>
    </row>
    <row r="97" spans="1:5">
      <c r="A97" s="12" t="s">
        <v>110</v>
      </c>
      <c r="B97" s="5">
        <v>3.72</v>
      </c>
      <c r="C97" s="8">
        <v>3.74</v>
      </c>
      <c r="D97" s="8">
        <v>3.68</v>
      </c>
      <c r="E97" s="8">
        <v>3.7</v>
      </c>
    </row>
    <row r="98" spans="1:5">
      <c r="A98" s="12" t="s">
        <v>111</v>
      </c>
      <c r="B98" s="5">
        <v>3.68</v>
      </c>
      <c r="C98" s="8">
        <v>3.73</v>
      </c>
      <c r="D98" s="8">
        <v>3.6</v>
      </c>
      <c r="E98" s="8">
        <v>3.61</v>
      </c>
    </row>
    <row r="99" spans="1:5">
      <c r="A99" s="12" t="s">
        <v>112</v>
      </c>
      <c r="B99" s="5">
        <v>3.54</v>
      </c>
      <c r="C99" s="8">
        <v>3.57</v>
      </c>
      <c r="D99" s="8">
        <v>3.5</v>
      </c>
      <c r="E99" s="8">
        <v>3.54</v>
      </c>
    </row>
    <row r="100" spans="1:5">
      <c r="A100" s="12" t="s">
        <v>113</v>
      </c>
      <c r="B100" s="5">
        <v>3.53</v>
      </c>
      <c r="C100" s="8">
        <v>3.5449999999999999</v>
      </c>
      <c r="D100" s="8">
        <v>3.49</v>
      </c>
      <c r="E100" s="8">
        <v>3.49</v>
      </c>
    </row>
    <row r="101" spans="1:5">
      <c r="A101" s="12" t="s">
        <v>114</v>
      </c>
      <c r="B101" s="5">
        <v>3.51</v>
      </c>
      <c r="C101" s="8">
        <v>3.56</v>
      </c>
      <c r="D101" s="8">
        <v>3.4950000000000001</v>
      </c>
      <c r="E101" s="8">
        <v>3.55</v>
      </c>
    </row>
    <row r="102" spans="1:5">
      <c r="A102" s="12" t="s">
        <v>115</v>
      </c>
      <c r="B102" s="5">
        <v>3.75</v>
      </c>
      <c r="C102" s="8">
        <v>3.79</v>
      </c>
      <c r="D102" s="8">
        <v>3.68</v>
      </c>
      <c r="E102" s="8">
        <v>3.77</v>
      </c>
    </row>
    <row r="103" spans="1:5">
      <c r="A103" s="12" t="s">
        <v>116</v>
      </c>
      <c r="B103" s="5">
        <v>3.72</v>
      </c>
      <c r="C103" s="8">
        <v>3.74</v>
      </c>
      <c r="D103" s="8">
        <v>3.67</v>
      </c>
      <c r="E103" s="8">
        <v>3.67</v>
      </c>
    </row>
    <row r="104" spans="1:5">
      <c r="A104" s="12" t="s">
        <v>117</v>
      </c>
      <c r="B104" s="5">
        <v>3.71</v>
      </c>
      <c r="C104" s="8">
        <v>3.76</v>
      </c>
      <c r="D104" s="8">
        <v>3.7</v>
      </c>
      <c r="E104" s="8">
        <v>3.7</v>
      </c>
    </row>
    <row r="105" spans="1:5">
      <c r="A105" s="12" t="s">
        <v>118</v>
      </c>
      <c r="B105" s="5">
        <v>3.72</v>
      </c>
      <c r="C105" s="8">
        <v>3.75</v>
      </c>
      <c r="D105" s="8">
        <v>3.7</v>
      </c>
      <c r="E105" s="8">
        <v>3.73</v>
      </c>
    </row>
    <row r="106" spans="1:5">
      <c r="A106" s="12" t="s">
        <v>119</v>
      </c>
      <c r="B106" s="5">
        <v>3.77</v>
      </c>
      <c r="C106" s="8">
        <v>3.86</v>
      </c>
      <c r="D106" s="8">
        <v>3.75</v>
      </c>
      <c r="E106" s="8">
        <v>3.83</v>
      </c>
    </row>
    <row r="107" spans="1:5">
      <c r="A107" s="12" t="s">
        <v>120</v>
      </c>
      <c r="B107" s="5">
        <v>3.84</v>
      </c>
      <c r="C107" s="8">
        <v>3.85</v>
      </c>
      <c r="D107" s="8">
        <v>3.74</v>
      </c>
      <c r="E107" s="8">
        <v>3.74</v>
      </c>
    </row>
    <row r="108" spans="1:5">
      <c r="A108" s="12" t="s">
        <v>121</v>
      </c>
      <c r="B108" s="5">
        <v>3.78</v>
      </c>
      <c r="C108" s="8">
        <v>3.84</v>
      </c>
      <c r="D108" s="8">
        <v>3.77</v>
      </c>
      <c r="E108" s="8">
        <v>3.78</v>
      </c>
    </row>
    <row r="109" spans="1:5">
      <c r="A109" s="12" t="s">
        <v>122</v>
      </c>
      <c r="B109" s="5">
        <v>3.8</v>
      </c>
      <c r="C109" s="8">
        <v>3.8149999999999999</v>
      </c>
      <c r="D109" s="8">
        <v>3.74</v>
      </c>
      <c r="E109" s="8">
        <v>3.77</v>
      </c>
    </row>
    <row r="110" spans="1:5">
      <c r="A110" s="12" t="s">
        <v>123</v>
      </c>
      <c r="B110" s="5">
        <v>3.78</v>
      </c>
      <c r="C110" s="8">
        <v>3.78</v>
      </c>
      <c r="D110" s="8">
        <v>3.74</v>
      </c>
      <c r="E110" s="8">
        <v>3.74</v>
      </c>
    </row>
    <row r="111" spans="1:5">
      <c r="A111" s="12" t="s">
        <v>124</v>
      </c>
      <c r="B111" s="5">
        <v>3.73</v>
      </c>
      <c r="C111" s="8">
        <v>3.74</v>
      </c>
      <c r="D111" s="8">
        <v>3.67</v>
      </c>
      <c r="E111" s="8">
        <v>3.72</v>
      </c>
    </row>
    <row r="112" spans="1:5">
      <c r="A112" s="12" t="s">
        <v>125</v>
      </c>
      <c r="B112" s="5">
        <v>3.75</v>
      </c>
      <c r="C112" s="8">
        <v>3.77</v>
      </c>
      <c r="D112" s="8">
        <v>3.68</v>
      </c>
      <c r="E112" s="8">
        <v>3.68</v>
      </c>
    </row>
    <row r="113" spans="1:5">
      <c r="A113" s="12" t="s">
        <v>126</v>
      </c>
      <c r="B113" s="5">
        <v>3.67</v>
      </c>
      <c r="C113" s="8">
        <v>3.68</v>
      </c>
      <c r="D113" s="8">
        <v>3.6</v>
      </c>
      <c r="E113" s="8">
        <v>3.62</v>
      </c>
    </row>
    <row r="114" spans="1:5">
      <c r="A114" s="12" t="s">
        <v>127</v>
      </c>
      <c r="B114" s="5">
        <v>3.62</v>
      </c>
      <c r="C114" s="8">
        <v>3.65</v>
      </c>
      <c r="D114" s="8">
        <v>3.56</v>
      </c>
      <c r="E114" s="8">
        <v>3.6</v>
      </c>
    </row>
    <row r="115" spans="1:5">
      <c r="A115" s="12" t="s">
        <v>128</v>
      </c>
      <c r="B115" s="5">
        <v>3.64</v>
      </c>
      <c r="C115" s="8">
        <v>3.72</v>
      </c>
      <c r="D115" s="8">
        <v>3.62</v>
      </c>
      <c r="E115" s="8">
        <v>3.7</v>
      </c>
    </row>
    <row r="116" spans="1:5">
      <c r="A116" s="12" t="s">
        <v>129</v>
      </c>
      <c r="B116" s="5">
        <v>3.69</v>
      </c>
      <c r="C116" s="8">
        <v>3.74</v>
      </c>
      <c r="D116" s="8">
        <v>3.62</v>
      </c>
      <c r="E116" s="8">
        <v>3.63</v>
      </c>
    </row>
    <row r="117" spans="1:5">
      <c r="A117" s="12" t="s">
        <v>130</v>
      </c>
      <c r="B117" s="5">
        <v>3.59</v>
      </c>
      <c r="C117" s="8">
        <v>3.62</v>
      </c>
      <c r="D117" s="8">
        <v>3.54</v>
      </c>
      <c r="E117" s="8">
        <v>3.6</v>
      </c>
    </row>
    <row r="118" spans="1:5">
      <c r="A118" s="12" t="s">
        <v>131</v>
      </c>
      <c r="B118" s="5">
        <v>3.72</v>
      </c>
      <c r="C118" s="8">
        <v>3.77</v>
      </c>
      <c r="D118" s="8">
        <v>3.64</v>
      </c>
      <c r="E118" s="8">
        <v>3.68</v>
      </c>
    </row>
    <row r="119" spans="1:5">
      <c r="A119" s="12" t="s">
        <v>132</v>
      </c>
      <c r="B119" s="5">
        <v>3.56</v>
      </c>
      <c r="C119" s="8">
        <v>3.59</v>
      </c>
      <c r="D119" s="8">
        <v>3.4849999999999999</v>
      </c>
      <c r="E119" s="8">
        <v>3.52</v>
      </c>
    </row>
    <row r="120" spans="1:5">
      <c r="A120" s="12" t="s">
        <v>133</v>
      </c>
      <c r="B120" s="5">
        <v>3.48</v>
      </c>
      <c r="C120" s="8">
        <v>3.49</v>
      </c>
      <c r="D120" s="8">
        <v>3.43</v>
      </c>
      <c r="E120" s="8">
        <v>3.44</v>
      </c>
    </row>
    <row r="121" spans="1:5">
      <c r="A121" s="12" t="s">
        <v>134</v>
      </c>
      <c r="B121" s="5">
        <v>3.41</v>
      </c>
      <c r="C121" s="8">
        <v>3.43</v>
      </c>
      <c r="D121" s="8">
        <v>3.35</v>
      </c>
      <c r="E121" s="8">
        <v>3.4</v>
      </c>
    </row>
    <row r="122" spans="1:5">
      <c r="A122" s="12" t="s">
        <v>135</v>
      </c>
      <c r="B122" s="5">
        <v>3.39</v>
      </c>
      <c r="C122" s="8">
        <v>3.4550000000000001</v>
      </c>
      <c r="D122" s="8">
        <v>3.35</v>
      </c>
      <c r="E122" s="8">
        <v>3.37</v>
      </c>
    </row>
    <row r="123" spans="1:5">
      <c r="A123" s="12" t="s">
        <v>136</v>
      </c>
      <c r="B123" s="5">
        <v>3.34</v>
      </c>
      <c r="C123" s="8">
        <v>3.43</v>
      </c>
      <c r="D123" s="8">
        <v>3.33</v>
      </c>
      <c r="E123" s="8">
        <v>3.4</v>
      </c>
    </row>
    <row r="124" spans="1:5">
      <c r="A124" s="12" t="s">
        <v>137</v>
      </c>
      <c r="B124" s="5">
        <v>3.36</v>
      </c>
      <c r="C124" s="8">
        <v>3.415</v>
      </c>
      <c r="D124" s="8">
        <v>3.32</v>
      </c>
      <c r="E124" s="8">
        <v>3.38</v>
      </c>
    </row>
    <row r="125" spans="1:5">
      <c r="A125" s="12" t="s">
        <v>138</v>
      </c>
      <c r="B125" s="5">
        <v>3.37</v>
      </c>
      <c r="C125" s="8">
        <v>3.37</v>
      </c>
      <c r="D125" s="8">
        <v>3.3050000000000002</v>
      </c>
      <c r="E125" s="8">
        <v>3.36</v>
      </c>
    </row>
    <row r="126" spans="1:5">
      <c r="A126" s="12" t="s">
        <v>139</v>
      </c>
      <c r="B126" s="5">
        <v>3.31</v>
      </c>
      <c r="C126" s="8">
        <v>3.35</v>
      </c>
      <c r="D126" s="8">
        <v>3.31</v>
      </c>
      <c r="E126" s="8">
        <v>3.34</v>
      </c>
    </row>
    <row r="127" spans="1:5">
      <c r="A127" s="12" t="s">
        <v>140</v>
      </c>
      <c r="B127" s="5">
        <v>3.37</v>
      </c>
      <c r="C127" s="8">
        <v>3.42</v>
      </c>
      <c r="D127" s="8">
        <v>3.3450000000000002</v>
      </c>
      <c r="E127" s="8">
        <v>3.41</v>
      </c>
    </row>
    <row r="128" spans="1:5">
      <c r="A128" s="12" t="s">
        <v>141</v>
      </c>
      <c r="B128" s="5">
        <v>3.38</v>
      </c>
      <c r="C128" s="8">
        <v>3.41</v>
      </c>
      <c r="D128" s="8">
        <v>3.375</v>
      </c>
      <c r="E128" s="8">
        <v>3.41</v>
      </c>
    </row>
    <row r="129" spans="1:5">
      <c r="A129" s="12" t="s">
        <v>142</v>
      </c>
      <c r="B129" s="5">
        <v>3.41</v>
      </c>
      <c r="C129" s="8">
        <v>3.45</v>
      </c>
      <c r="D129" s="8">
        <v>3.39</v>
      </c>
      <c r="E129" s="8">
        <v>3.4</v>
      </c>
    </row>
    <row r="130" spans="1:5">
      <c r="A130" s="12" t="s">
        <v>143</v>
      </c>
      <c r="B130" s="5">
        <v>3.38</v>
      </c>
      <c r="C130" s="8">
        <v>3.41</v>
      </c>
      <c r="D130" s="8">
        <v>3.37</v>
      </c>
      <c r="E130" s="8">
        <v>3.4</v>
      </c>
    </row>
    <row r="131" spans="1:5">
      <c r="A131" s="12" t="s">
        <v>144</v>
      </c>
      <c r="B131" s="5">
        <v>3.36</v>
      </c>
      <c r="C131" s="8">
        <v>3.43</v>
      </c>
      <c r="D131" s="8">
        <v>3.35</v>
      </c>
      <c r="E131" s="8">
        <v>3.4</v>
      </c>
    </row>
    <row r="132" spans="1:5">
      <c r="A132" s="12" t="s">
        <v>145</v>
      </c>
      <c r="B132" s="5">
        <v>3.4</v>
      </c>
      <c r="C132" s="8">
        <v>3.49</v>
      </c>
      <c r="D132" s="8">
        <v>3.395</v>
      </c>
      <c r="E132" s="8">
        <v>3.46</v>
      </c>
    </row>
    <row r="133" spans="1:5">
      <c r="A133" s="12" t="s">
        <v>146</v>
      </c>
      <c r="B133" s="5">
        <v>3.46</v>
      </c>
      <c r="C133" s="8">
        <v>3.49</v>
      </c>
      <c r="D133" s="8">
        <v>3.43</v>
      </c>
      <c r="E133" s="8">
        <v>3.46</v>
      </c>
    </row>
    <row r="134" spans="1:5">
      <c r="A134" s="12" t="s">
        <v>147</v>
      </c>
      <c r="B134" s="5">
        <v>3.46</v>
      </c>
      <c r="C134" s="8">
        <v>3.47</v>
      </c>
      <c r="D134" s="8">
        <v>3.37</v>
      </c>
      <c r="E134" s="8">
        <v>3.4</v>
      </c>
    </row>
    <row r="135" spans="1:5">
      <c r="A135" s="12" t="s">
        <v>148</v>
      </c>
      <c r="B135" s="5">
        <v>3.47</v>
      </c>
      <c r="C135" s="8">
        <v>3.48</v>
      </c>
      <c r="D135" s="8">
        <v>3.38</v>
      </c>
      <c r="E135" s="8">
        <v>3.4</v>
      </c>
    </row>
    <row r="136" spans="1:5">
      <c r="A136" s="12" t="s">
        <v>149</v>
      </c>
      <c r="B136" s="5">
        <v>3.42</v>
      </c>
      <c r="C136" s="8">
        <v>3.44</v>
      </c>
      <c r="D136" s="8">
        <v>3.38</v>
      </c>
      <c r="E136" s="8">
        <v>3.41</v>
      </c>
    </row>
    <row r="137" spans="1:5">
      <c r="A137" s="12" t="s">
        <v>150</v>
      </c>
      <c r="B137" s="5">
        <v>3.39</v>
      </c>
      <c r="C137" s="8">
        <v>3.39</v>
      </c>
      <c r="D137" s="8">
        <v>3.35</v>
      </c>
      <c r="E137" s="8">
        <v>3.38</v>
      </c>
    </row>
    <row r="138" spans="1:5">
      <c r="A138" s="12" t="s">
        <v>151</v>
      </c>
      <c r="B138" s="5">
        <v>3.38</v>
      </c>
      <c r="C138" s="8">
        <v>3.41</v>
      </c>
      <c r="D138" s="8">
        <v>3.36</v>
      </c>
      <c r="E138" s="8">
        <v>3.4</v>
      </c>
    </row>
    <row r="139" spans="1:5">
      <c r="A139" s="12" t="s">
        <v>152</v>
      </c>
      <c r="B139" s="5">
        <v>3.36</v>
      </c>
      <c r="C139" s="8">
        <v>3.415</v>
      </c>
      <c r="D139" s="8">
        <v>3.36</v>
      </c>
      <c r="E139" s="8">
        <v>3.37</v>
      </c>
    </row>
    <row r="140" spans="1:5">
      <c r="A140" s="12" t="s">
        <v>153</v>
      </c>
      <c r="B140" s="5">
        <v>3.43</v>
      </c>
      <c r="C140" s="8">
        <v>3.46</v>
      </c>
      <c r="D140" s="8">
        <v>3.4</v>
      </c>
      <c r="E140" s="8">
        <v>3.42</v>
      </c>
    </row>
    <row r="141" spans="1:5">
      <c r="A141" s="12" t="s">
        <v>154</v>
      </c>
      <c r="B141" s="5">
        <v>3.44</v>
      </c>
      <c r="C141" s="8">
        <v>3.45</v>
      </c>
      <c r="D141" s="8">
        <v>3.395</v>
      </c>
      <c r="E141" s="8">
        <v>3.42</v>
      </c>
    </row>
    <row r="142" spans="1:5">
      <c r="A142" s="12" t="s">
        <v>155</v>
      </c>
      <c r="B142" s="5">
        <v>3.46</v>
      </c>
      <c r="C142" s="8">
        <v>3.5150000000000001</v>
      </c>
      <c r="D142" s="8">
        <v>3.44</v>
      </c>
      <c r="E142" s="8">
        <v>3.49</v>
      </c>
    </row>
    <row r="143" spans="1:5">
      <c r="A143" s="12" t="s">
        <v>156</v>
      </c>
      <c r="B143" s="5">
        <v>3.47</v>
      </c>
      <c r="C143" s="8">
        <v>3.52</v>
      </c>
      <c r="D143" s="8">
        <v>3.45</v>
      </c>
      <c r="E143" s="8">
        <v>3.48</v>
      </c>
    </row>
    <row r="144" spans="1:5">
      <c r="A144" s="12" t="s">
        <v>157</v>
      </c>
      <c r="B144" s="5">
        <v>3.53</v>
      </c>
      <c r="C144" s="8">
        <v>3.54</v>
      </c>
      <c r="D144" s="8">
        <v>3.48</v>
      </c>
      <c r="E144" s="8">
        <v>3.51</v>
      </c>
    </row>
    <row r="145" spans="1:5">
      <c r="A145" s="12" t="s">
        <v>158</v>
      </c>
      <c r="B145" s="5">
        <v>3.55</v>
      </c>
      <c r="C145" s="8">
        <v>3.64</v>
      </c>
      <c r="D145" s="8">
        <v>3.53</v>
      </c>
      <c r="E145" s="8">
        <v>3.58</v>
      </c>
    </row>
    <row r="146" spans="1:5">
      <c r="A146" s="12" t="s">
        <v>159</v>
      </c>
      <c r="B146" s="5">
        <v>3.56</v>
      </c>
      <c r="C146" s="8">
        <v>3.6</v>
      </c>
      <c r="D146" s="8">
        <v>3.5449999999999999</v>
      </c>
      <c r="E146" s="8">
        <v>3.56</v>
      </c>
    </row>
    <row r="147" spans="1:5">
      <c r="A147" s="12" t="s">
        <v>160</v>
      </c>
      <c r="B147" s="5">
        <v>3.56</v>
      </c>
      <c r="C147" s="8">
        <v>3.57</v>
      </c>
      <c r="D147" s="8">
        <v>3.49</v>
      </c>
      <c r="E147" s="8">
        <v>3.53</v>
      </c>
    </row>
    <row r="148" spans="1:5">
      <c r="A148" s="12" t="s">
        <v>161</v>
      </c>
      <c r="B148" s="5">
        <v>3.53</v>
      </c>
      <c r="C148" s="8">
        <v>3.55</v>
      </c>
      <c r="D148" s="8">
        <v>3.5</v>
      </c>
      <c r="E148" s="8">
        <v>3.54</v>
      </c>
    </row>
    <row r="149" spans="1:5">
      <c r="A149" s="12" t="s">
        <v>162</v>
      </c>
      <c r="B149" s="5">
        <v>3.46</v>
      </c>
      <c r="C149" s="8">
        <v>3.51</v>
      </c>
      <c r="D149" s="8">
        <v>3.3650000000000002</v>
      </c>
      <c r="E149" s="8">
        <v>3.37</v>
      </c>
    </row>
    <row r="150" spans="1:5">
      <c r="A150" s="12" t="s">
        <v>163</v>
      </c>
      <c r="B150" s="5">
        <v>3.36</v>
      </c>
      <c r="C150" s="8">
        <v>3.375</v>
      </c>
      <c r="D150" s="8">
        <v>3.29</v>
      </c>
      <c r="E150" s="8">
        <v>3.29</v>
      </c>
    </row>
    <row r="151" spans="1:5">
      <c r="A151" s="12" t="s">
        <v>164</v>
      </c>
      <c r="B151" s="5">
        <v>3.34</v>
      </c>
      <c r="C151" s="8">
        <v>3.38</v>
      </c>
      <c r="D151" s="8">
        <v>3.31</v>
      </c>
      <c r="E151" s="8">
        <v>3.36</v>
      </c>
    </row>
    <row r="152" spans="1:5">
      <c r="A152" s="12" t="s">
        <v>165</v>
      </c>
      <c r="B152" s="5">
        <v>3.35</v>
      </c>
      <c r="C152" s="8">
        <v>3.4049999999999998</v>
      </c>
      <c r="D152" s="8">
        <v>3.35</v>
      </c>
      <c r="E152" s="8">
        <v>3.36</v>
      </c>
    </row>
    <row r="153" spans="1:5">
      <c r="A153" s="12" t="s">
        <v>166</v>
      </c>
      <c r="B153" s="5">
        <v>3.3</v>
      </c>
      <c r="C153" s="8">
        <v>3.335</v>
      </c>
      <c r="D153" s="8">
        <v>3.2549999999999999</v>
      </c>
      <c r="E153" s="8">
        <v>3.31</v>
      </c>
    </row>
    <row r="154" spans="1:5">
      <c r="A154" s="12" t="s">
        <v>167</v>
      </c>
      <c r="B154" s="5">
        <v>3.34</v>
      </c>
      <c r="C154" s="8">
        <v>3.39</v>
      </c>
      <c r="D154" s="8">
        <v>3.32</v>
      </c>
      <c r="E154" s="8">
        <v>3.38</v>
      </c>
    </row>
    <row r="155" spans="1:5">
      <c r="A155" s="12" t="s">
        <v>168</v>
      </c>
      <c r="B155" s="5">
        <v>3.4</v>
      </c>
      <c r="C155" s="8">
        <v>3.52</v>
      </c>
      <c r="D155" s="8">
        <v>3.4</v>
      </c>
      <c r="E155" s="8">
        <v>3.45</v>
      </c>
    </row>
    <row r="156" spans="1:5">
      <c r="A156" s="12" t="s">
        <v>169</v>
      </c>
      <c r="B156" s="5">
        <v>3.49</v>
      </c>
      <c r="C156" s="8">
        <v>3.5</v>
      </c>
      <c r="D156" s="8">
        <v>3.45</v>
      </c>
      <c r="E156" s="8">
        <v>3.47</v>
      </c>
    </row>
    <row r="157" spans="1:5">
      <c r="A157" s="12" t="s">
        <v>170</v>
      </c>
      <c r="B157" s="5">
        <v>3.5</v>
      </c>
      <c r="C157" s="8">
        <v>3.54</v>
      </c>
      <c r="D157" s="8">
        <v>3.4350000000000001</v>
      </c>
      <c r="E157" s="8">
        <v>3.5</v>
      </c>
    </row>
    <row r="158" spans="1:5">
      <c r="A158" s="12" t="s">
        <v>171</v>
      </c>
      <c r="B158" s="5">
        <v>3.46</v>
      </c>
      <c r="C158" s="8">
        <v>3.51</v>
      </c>
      <c r="D158" s="8">
        <v>3.43</v>
      </c>
      <c r="E158" s="8">
        <v>3.44</v>
      </c>
    </row>
    <row r="159" spans="1:5">
      <c r="A159" s="12" t="s">
        <v>172</v>
      </c>
      <c r="B159" s="5">
        <v>3.43</v>
      </c>
      <c r="C159" s="8">
        <v>3.46</v>
      </c>
      <c r="D159" s="8">
        <v>3.38</v>
      </c>
      <c r="E159" s="8">
        <v>3.43</v>
      </c>
    </row>
    <row r="160" spans="1:5">
      <c r="A160" s="12" t="s">
        <v>173</v>
      </c>
      <c r="B160" s="5">
        <v>3.41</v>
      </c>
      <c r="C160" s="8">
        <v>3.4350000000000001</v>
      </c>
      <c r="D160" s="8">
        <v>3.38</v>
      </c>
      <c r="E160" s="8">
        <v>3.43</v>
      </c>
    </row>
    <row r="161" spans="1:5">
      <c r="A161" s="12" t="s">
        <v>174</v>
      </c>
      <c r="B161" s="5">
        <v>3.5</v>
      </c>
      <c r="C161" s="8">
        <v>3.59</v>
      </c>
      <c r="D161" s="8">
        <v>3.4049999999999998</v>
      </c>
      <c r="E161" s="8">
        <v>3.57</v>
      </c>
    </row>
    <row r="162" spans="1:5">
      <c r="A162" s="12" t="s">
        <v>175</v>
      </c>
      <c r="B162" s="5">
        <v>3.65</v>
      </c>
      <c r="C162" s="8">
        <v>3.665</v>
      </c>
      <c r="D162" s="8">
        <v>3.5649999999999999</v>
      </c>
      <c r="E162" s="8">
        <v>3.65</v>
      </c>
    </row>
    <row r="163" spans="1:5">
      <c r="A163" s="12" t="s">
        <v>176</v>
      </c>
      <c r="B163" s="5">
        <v>3.67</v>
      </c>
      <c r="C163" s="8">
        <v>3.72</v>
      </c>
      <c r="D163" s="8">
        <v>3.65</v>
      </c>
      <c r="E163" s="8">
        <v>3.69</v>
      </c>
    </row>
    <row r="164" spans="1:5">
      <c r="A164" s="12" t="s">
        <v>177</v>
      </c>
      <c r="B164" s="5">
        <v>3.69</v>
      </c>
      <c r="C164" s="8">
        <v>3.69</v>
      </c>
      <c r="D164" s="8">
        <v>3.64</v>
      </c>
      <c r="E164" s="8">
        <v>3.67</v>
      </c>
    </row>
    <row r="165" spans="1:5">
      <c r="A165" s="12" t="s">
        <v>178</v>
      </c>
      <c r="B165" s="5">
        <v>3.68</v>
      </c>
      <c r="C165" s="8">
        <v>3.7</v>
      </c>
      <c r="D165" s="8">
        <v>3.625</v>
      </c>
      <c r="E165" s="8">
        <v>3.66</v>
      </c>
    </row>
    <row r="166" spans="1:5">
      <c r="A166" s="12" t="s">
        <v>179</v>
      </c>
      <c r="B166" s="5">
        <v>3.67</v>
      </c>
      <c r="C166" s="8">
        <v>3.71</v>
      </c>
      <c r="D166" s="8">
        <v>3.61</v>
      </c>
      <c r="E166" s="8">
        <v>3.71</v>
      </c>
    </row>
    <row r="167" spans="1:5">
      <c r="A167" s="12" t="s">
        <v>180</v>
      </c>
      <c r="B167" s="5">
        <v>3.74</v>
      </c>
      <c r="C167" s="8">
        <v>3.78</v>
      </c>
      <c r="D167" s="8">
        <v>3.72</v>
      </c>
      <c r="E167" s="8">
        <v>3.74</v>
      </c>
    </row>
    <row r="168" spans="1:5">
      <c r="A168" s="12" t="s">
        <v>181</v>
      </c>
      <c r="B168" s="5">
        <v>3.72</v>
      </c>
      <c r="C168" s="8">
        <v>3.74</v>
      </c>
      <c r="D168" s="8">
        <v>3.63</v>
      </c>
      <c r="E168" s="8">
        <v>3.67</v>
      </c>
    </row>
    <row r="169" spans="1:5">
      <c r="A169" s="12" t="s">
        <v>182</v>
      </c>
      <c r="B169" s="5">
        <v>3.63</v>
      </c>
      <c r="C169" s="8">
        <v>3.66</v>
      </c>
      <c r="D169" s="8">
        <v>3.61</v>
      </c>
      <c r="E169" s="8">
        <v>3.65</v>
      </c>
    </row>
    <row r="170" spans="1:5">
      <c r="A170" s="12" t="s">
        <v>183</v>
      </c>
      <c r="B170" s="5">
        <v>3.63</v>
      </c>
      <c r="C170" s="8">
        <v>3.67</v>
      </c>
      <c r="D170" s="8">
        <v>3.5750000000000002</v>
      </c>
      <c r="E170" s="8">
        <v>3.61</v>
      </c>
    </row>
    <row r="171" spans="1:5">
      <c r="A171" s="12" t="s">
        <v>184</v>
      </c>
      <c r="B171" s="5">
        <v>3.61</v>
      </c>
      <c r="C171" s="8">
        <v>3.7</v>
      </c>
      <c r="D171" s="8">
        <v>3.6</v>
      </c>
      <c r="E171" s="8">
        <v>3.64</v>
      </c>
    </row>
    <row r="172" spans="1:5">
      <c r="A172" s="12" t="s">
        <v>185</v>
      </c>
      <c r="B172" s="5">
        <v>3.61</v>
      </c>
      <c r="C172" s="8">
        <v>3.62</v>
      </c>
      <c r="D172" s="8">
        <v>3.5</v>
      </c>
      <c r="E172" s="8">
        <v>3.52</v>
      </c>
    </row>
    <row r="173" spans="1:5">
      <c r="A173" s="12" t="s">
        <v>186</v>
      </c>
      <c r="B173" s="5">
        <v>3.51</v>
      </c>
      <c r="C173" s="8">
        <v>3.63</v>
      </c>
      <c r="D173" s="8">
        <v>3.4950000000000001</v>
      </c>
      <c r="E173" s="8">
        <v>3.63</v>
      </c>
    </row>
    <row r="174" spans="1:5">
      <c r="A174" s="12" t="s">
        <v>187</v>
      </c>
      <c r="B174" s="5">
        <v>3.59</v>
      </c>
      <c r="C174" s="8">
        <v>3.6150000000000002</v>
      </c>
      <c r="D174" s="8">
        <v>3.51</v>
      </c>
      <c r="E174" s="8">
        <v>3.52</v>
      </c>
    </row>
    <row r="175" spans="1:5">
      <c r="A175" s="12" t="s">
        <v>188</v>
      </c>
      <c r="B175" s="5">
        <v>3.52</v>
      </c>
      <c r="C175" s="8">
        <v>3.55</v>
      </c>
      <c r="D175" s="8">
        <v>3.47</v>
      </c>
      <c r="E175" s="8">
        <v>3.51</v>
      </c>
    </row>
    <row r="176" spans="1:5">
      <c r="A176" s="12" t="s">
        <v>189</v>
      </c>
      <c r="B176" s="5">
        <v>3.55</v>
      </c>
      <c r="C176" s="8">
        <v>3.66</v>
      </c>
      <c r="D176" s="8">
        <v>3.55</v>
      </c>
      <c r="E176" s="8">
        <v>3.64</v>
      </c>
    </row>
    <row r="177" spans="1:5">
      <c r="A177" s="12" t="s">
        <v>190</v>
      </c>
      <c r="B177" s="5">
        <v>3.62</v>
      </c>
      <c r="C177" s="8">
        <v>3.65</v>
      </c>
      <c r="D177" s="8">
        <v>3.58</v>
      </c>
      <c r="E177" s="8">
        <v>3.59</v>
      </c>
    </row>
    <row r="178" spans="1:5">
      <c r="A178" s="12" t="s">
        <v>191</v>
      </c>
      <c r="B178" s="5">
        <v>3.59</v>
      </c>
      <c r="C178" s="8">
        <v>3.64</v>
      </c>
      <c r="D178" s="8">
        <v>3.59</v>
      </c>
      <c r="E178" s="8">
        <v>3.61</v>
      </c>
    </row>
    <row r="179" spans="1:5">
      <c r="A179" s="12" t="s">
        <v>192</v>
      </c>
      <c r="B179" s="5">
        <v>3.55</v>
      </c>
      <c r="C179" s="8">
        <v>3.61</v>
      </c>
      <c r="D179" s="8">
        <v>3.5150000000000001</v>
      </c>
      <c r="E179" s="8">
        <v>3.59</v>
      </c>
    </row>
    <row r="180" spans="1:5">
      <c r="A180" s="12" t="s">
        <v>193</v>
      </c>
      <c r="B180" s="5">
        <v>3.61</v>
      </c>
      <c r="C180" s="8">
        <v>3.65</v>
      </c>
      <c r="D180" s="8">
        <v>3.54</v>
      </c>
      <c r="E180" s="8">
        <v>3.58</v>
      </c>
    </row>
    <row r="181" spans="1:5">
      <c r="A181" s="12" t="s">
        <v>194</v>
      </c>
      <c r="B181" s="5">
        <v>3.57</v>
      </c>
      <c r="C181" s="8">
        <v>3.61</v>
      </c>
      <c r="D181" s="8">
        <v>3.5</v>
      </c>
      <c r="E181" s="8">
        <v>3.53</v>
      </c>
    </row>
    <row r="182" spans="1:5">
      <c r="A182" s="12" t="s">
        <v>195</v>
      </c>
      <c r="B182" s="5">
        <v>3.54</v>
      </c>
      <c r="C182" s="8">
        <v>3.57</v>
      </c>
      <c r="D182" s="8">
        <v>3.51</v>
      </c>
      <c r="E182" s="8">
        <v>3.53</v>
      </c>
    </row>
    <row r="183" spans="1:5">
      <c r="A183" s="12" t="s">
        <v>196</v>
      </c>
      <c r="B183" s="5">
        <v>3.54</v>
      </c>
      <c r="C183" s="8">
        <v>3.63</v>
      </c>
      <c r="D183" s="8">
        <v>3.54</v>
      </c>
      <c r="E183" s="8">
        <v>3.6</v>
      </c>
    </row>
    <row r="184" spans="1:5">
      <c r="A184" s="12" t="s">
        <v>197</v>
      </c>
      <c r="B184" s="5">
        <v>3.59</v>
      </c>
      <c r="C184" s="8">
        <v>3.62</v>
      </c>
      <c r="D184" s="8">
        <v>3.55</v>
      </c>
      <c r="E184" s="8">
        <v>3.61</v>
      </c>
    </row>
    <row r="185" spans="1:5">
      <c r="A185" s="12" t="s">
        <v>198</v>
      </c>
      <c r="B185" s="5">
        <v>3.58</v>
      </c>
      <c r="C185" s="8">
        <v>3.65</v>
      </c>
      <c r="D185" s="8">
        <v>3.5649999999999999</v>
      </c>
      <c r="E185" s="8">
        <v>3.61</v>
      </c>
    </row>
    <row r="186" spans="1:5">
      <c r="A186" s="12" t="s">
        <v>199</v>
      </c>
      <c r="B186" s="5">
        <v>3.66</v>
      </c>
      <c r="C186" s="8">
        <v>3.66</v>
      </c>
      <c r="D186" s="8">
        <v>3.57</v>
      </c>
      <c r="E186" s="8">
        <v>3.62</v>
      </c>
    </row>
    <row r="187" spans="1:5">
      <c r="A187" s="12" t="s">
        <v>200</v>
      </c>
      <c r="B187" s="5">
        <v>3.53</v>
      </c>
      <c r="C187" s="8">
        <v>3.54</v>
      </c>
      <c r="D187" s="8">
        <v>3.44</v>
      </c>
      <c r="E187" s="8">
        <v>3.53</v>
      </c>
    </row>
    <row r="188" spans="1:5">
      <c r="A188" s="12" t="s">
        <v>201</v>
      </c>
      <c r="B188" s="5">
        <v>3.47</v>
      </c>
      <c r="C188" s="8">
        <v>3.5</v>
      </c>
      <c r="D188" s="8">
        <v>3.41</v>
      </c>
      <c r="E188" s="8">
        <v>3.49</v>
      </c>
    </row>
    <row r="189" spans="1:5">
      <c r="A189" s="12" t="s">
        <v>202</v>
      </c>
      <c r="B189" s="5">
        <v>3.5</v>
      </c>
      <c r="C189" s="8">
        <v>3.54</v>
      </c>
      <c r="D189" s="8">
        <v>3.47</v>
      </c>
      <c r="E189" s="8">
        <v>3.51</v>
      </c>
    </row>
    <row r="190" spans="1:5">
      <c r="A190" s="12" t="s">
        <v>203</v>
      </c>
      <c r="B190" s="5">
        <v>3.55</v>
      </c>
      <c r="C190" s="8">
        <v>3.585</v>
      </c>
      <c r="D190" s="8">
        <v>3.51</v>
      </c>
      <c r="E190" s="8">
        <v>3.51</v>
      </c>
    </row>
    <row r="191" spans="1:5">
      <c r="A191" s="12" t="s">
        <v>204</v>
      </c>
      <c r="B191" s="5">
        <v>3.52</v>
      </c>
      <c r="C191" s="8">
        <v>3.53</v>
      </c>
      <c r="D191" s="8">
        <v>3.45</v>
      </c>
      <c r="E191" s="8">
        <v>3.47</v>
      </c>
    </row>
    <row r="192" spans="1:5">
      <c r="A192" s="12" t="s">
        <v>205</v>
      </c>
      <c r="B192" s="5">
        <v>3.4</v>
      </c>
      <c r="C192" s="8">
        <v>3.43</v>
      </c>
      <c r="D192" s="8">
        <v>3.37</v>
      </c>
      <c r="E192" s="8">
        <v>3.37</v>
      </c>
    </row>
    <row r="193" spans="1:5">
      <c r="A193" s="12" t="s">
        <v>206</v>
      </c>
      <c r="B193" s="5">
        <v>3.31</v>
      </c>
      <c r="C193" s="8">
        <v>3.33</v>
      </c>
      <c r="D193" s="8">
        <v>3.22</v>
      </c>
      <c r="E193" s="8">
        <v>3.22</v>
      </c>
    </row>
    <row r="194" spans="1:5">
      <c r="A194" s="12" t="s">
        <v>207</v>
      </c>
      <c r="B194" s="5">
        <v>3.26</v>
      </c>
      <c r="C194" s="8">
        <v>3.27</v>
      </c>
      <c r="D194" s="8">
        <v>3.2</v>
      </c>
      <c r="E194" s="8">
        <v>3.21</v>
      </c>
    </row>
    <row r="195" spans="1:5">
      <c r="A195" s="12" t="s">
        <v>208</v>
      </c>
      <c r="B195" s="5">
        <v>3.22</v>
      </c>
      <c r="C195" s="8">
        <v>3.23</v>
      </c>
      <c r="D195" s="8">
        <v>3.1</v>
      </c>
      <c r="E195" s="8">
        <v>3.12</v>
      </c>
    </row>
    <row r="196" spans="1:5">
      <c r="A196" s="12" t="s">
        <v>209</v>
      </c>
      <c r="B196" s="5">
        <v>3.04</v>
      </c>
      <c r="C196" s="8">
        <v>3.06</v>
      </c>
      <c r="D196" s="8">
        <v>2.96</v>
      </c>
      <c r="E196" s="8">
        <v>2.97</v>
      </c>
    </row>
    <row r="197" spans="1:5">
      <c r="A197" s="12" t="s">
        <v>210</v>
      </c>
      <c r="B197" s="5">
        <v>2.91</v>
      </c>
      <c r="C197" s="8">
        <v>2.91</v>
      </c>
      <c r="D197" s="8">
        <v>2.78</v>
      </c>
      <c r="E197" s="8">
        <v>2.81</v>
      </c>
    </row>
    <row r="198" spans="1:5">
      <c r="A198" s="12" t="s">
        <v>211</v>
      </c>
      <c r="B198" s="5">
        <v>2.52</v>
      </c>
      <c r="C198" s="8">
        <v>2.64</v>
      </c>
      <c r="D198" s="8">
        <v>2.4700000000000002</v>
      </c>
      <c r="E198" s="8">
        <v>2.59</v>
      </c>
    </row>
    <row r="199" spans="1:5">
      <c r="A199" s="12" t="s">
        <v>212</v>
      </c>
      <c r="B199" s="5">
        <v>2.65</v>
      </c>
      <c r="C199" s="8">
        <v>2.7050000000000001</v>
      </c>
      <c r="D199" s="8">
        <v>2.61</v>
      </c>
      <c r="E199" s="8">
        <v>2.65</v>
      </c>
    </row>
    <row r="200" spans="1:5">
      <c r="A200" s="12" t="s">
        <v>213</v>
      </c>
      <c r="B200" s="5">
        <v>2.5499999999999998</v>
      </c>
      <c r="C200" s="8">
        <v>2.58</v>
      </c>
      <c r="D200" s="8">
        <v>2.5099999999999998</v>
      </c>
      <c r="E200" s="8">
        <v>2.52</v>
      </c>
    </row>
    <row r="201" spans="1:5">
      <c r="A201" s="12" t="s">
        <v>214</v>
      </c>
      <c r="B201" s="5">
        <v>2.84</v>
      </c>
      <c r="C201" s="8">
        <v>2.85</v>
      </c>
      <c r="D201" s="8">
        <v>2.7149999999999999</v>
      </c>
      <c r="E201" s="8">
        <v>2.76</v>
      </c>
    </row>
    <row r="202" spans="1:5">
      <c r="A202" s="12" t="s">
        <v>215</v>
      </c>
      <c r="B202" s="5">
        <v>2.65</v>
      </c>
      <c r="C202" s="8">
        <v>2.74</v>
      </c>
      <c r="D202" s="8">
        <v>2.65</v>
      </c>
      <c r="E202" s="8">
        <v>2.74</v>
      </c>
    </row>
    <row r="203" spans="1:5">
      <c r="A203" s="12" t="s">
        <v>216</v>
      </c>
      <c r="B203" s="5">
        <v>2.78</v>
      </c>
      <c r="C203" s="8">
        <v>2.82</v>
      </c>
      <c r="D203" s="8">
        <v>2.75</v>
      </c>
      <c r="E203" s="8">
        <v>2.8</v>
      </c>
    </row>
    <row r="204" spans="1:5">
      <c r="A204" s="12" t="s">
        <v>217</v>
      </c>
      <c r="B204" s="5">
        <v>2.83</v>
      </c>
      <c r="C204" s="8">
        <v>2.83</v>
      </c>
      <c r="D204" s="8">
        <v>2.77</v>
      </c>
      <c r="E204" s="8">
        <v>2.79</v>
      </c>
    </row>
    <row r="205" spans="1:5">
      <c r="A205" s="12" t="s">
        <v>218</v>
      </c>
      <c r="B205" s="5">
        <v>2.75</v>
      </c>
      <c r="C205" s="8">
        <v>2.76</v>
      </c>
      <c r="D205" s="8">
        <v>2.65</v>
      </c>
      <c r="E205" s="8">
        <v>2.67</v>
      </c>
    </row>
    <row r="206" spans="1:5">
      <c r="A206" s="12" t="s">
        <v>219</v>
      </c>
      <c r="B206" s="5">
        <v>2.71</v>
      </c>
      <c r="C206" s="8">
        <v>2.72</v>
      </c>
      <c r="D206" s="8">
        <v>2.64</v>
      </c>
      <c r="E206" s="8">
        <v>2.69</v>
      </c>
    </row>
    <row r="207" spans="1:5">
      <c r="A207" s="12" t="s">
        <v>220</v>
      </c>
      <c r="B207" s="5">
        <v>2.67</v>
      </c>
      <c r="C207" s="8">
        <v>2.67</v>
      </c>
      <c r="D207" s="8">
        <v>2.58</v>
      </c>
      <c r="E207" s="8">
        <v>2.61</v>
      </c>
    </row>
    <row r="208" spans="1:5">
      <c r="A208" s="12" t="s">
        <v>221</v>
      </c>
      <c r="B208" s="5">
        <v>2.7</v>
      </c>
      <c r="C208" s="8">
        <v>2.72</v>
      </c>
      <c r="D208" s="8">
        <v>2.62</v>
      </c>
      <c r="E208" s="8">
        <v>2.65</v>
      </c>
    </row>
    <row r="209" spans="1:5">
      <c r="A209" s="12" t="s">
        <v>222</v>
      </c>
      <c r="B209" s="5">
        <v>2.65</v>
      </c>
      <c r="C209" s="8">
        <v>2.7349999999999999</v>
      </c>
      <c r="D209" s="8">
        <v>2.63</v>
      </c>
      <c r="E209" s="8">
        <v>2.71</v>
      </c>
    </row>
    <row r="210" spans="1:5">
      <c r="A210" s="12" t="s">
        <v>223</v>
      </c>
      <c r="B210" s="5">
        <v>2.7</v>
      </c>
      <c r="C210" s="8">
        <v>2.7349999999999999</v>
      </c>
      <c r="D210" s="8">
        <v>2.68</v>
      </c>
      <c r="E210" s="8">
        <v>2.71</v>
      </c>
    </row>
    <row r="211" spans="1:5">
      <c r="A211" s="12" t="s">
        <v>224</v>
      </c>
      <c r="B211" s="5">
        <v>2.71</v>
      </c>
      <c r="C211" s="8">
        <v>2.81</v>
      </c>
      <c r="D211" s="8">
        <v>2.71</v>
      </c>
      <c r="E211" s="8">
        <v>2.78</v>
      </c>
    </row>
    <row r="212" spans="1:5">
      <c r="A212" s="12" t="s">
        <v>225</v>
      </c>
      <c r="B212" s="5">
        <v>2.8</v>
      </c>
      <c r="C212" s="8">
        <v>2.8</v>
      </c>
      <c r="D212" s="8">
        <v>2.7149999999999999</v>
      </c>
      <c r="E212" s="8">
        <v>2.75</v>
      </c>
    </row>
    <row r="213" spans="1:5">
      <c r="A213" s="12" t="s">
        <v>226</v>
      </c>
      <c r="B213" s="5">
        <v>2.71</v>
      </c>
      <c r="C213" s="8">
        <v>2.7650000000000001</v>
      </c>
      <c r="D213" s="8">
        <v>2.71</v>
      </c>
      <c r="E213" s="8">
        <v>2.74</v>
      </c>
    </row>
    <row r="214" spans="1:5">
      <c r="A214" s="12" t="s">
        <v>227</v>
      </c>
      <c r="B214" s="5">
        <v>2.77</v>
      </c>
      <c r="C214" s="8">
        <v>2.87</v>
      </c>
      <c r="D214" s="8">
        <v>2.72</v>
      </c>
      <c r="E214" s="8">
        <v>2.83</v>
      </c>
    </row>
    <row r="215" spans="1:5">
      <c r="A215" s="12" t="s">
        <v>228</v>
      </c>
      <c r="B215" s="5">
        <v>2.82</v>
      </c>
      <c r="C215" s="8">
        <v>2.85</v>
      </c>
      <c r="D215" s="8">
        <v>2.79</v>
      </c>
      <c r="E215" s="8">
        <v>2.8</v>
      </c>
    </row>
    <row r="216" spans="1:5">
      <c r="A216" s="12" t="s">
        <v>229</v>
      </c>
      <c r="B216" s="5">
        <v>2.8</v>
      </c>
      <c r="C216" s="8">
        <v>2.84</v>
      </c>
      <c r="D216" s="8">
        <v>2.7949999999999999</v>
      </c>
      <c r="E216" s="8">
        <v>2.84</v>
      </c>
    </row>
    <row r="217" spans="1:5">
      <c r="A217" s="12" t="s">
        <v>230</v>
      </c>
      <c r="B217" s="5">
        <v>2.84</v>
      </c>
      <c r="C217" s="8">
        <v>2.91</v>
      </c>
      <c r="D217" s="8">
        <v>2.82</v>
      </c>
      <c r="E217" s="8">
        <v>2.85</v>
      </c>
    </row>
    <row r="218" spans="1:5">
      <c r="A218" s="12" t="s">
        <v>231</v>
      </c>
      <c r="B218" s="5">
        <v>2.81</v>
      </c>
      <c r="C218" s="8">
        <v>2.83</v>
      </c>
      <c r="D218" s="8">
        <v>2.77</v>
      </c>
      <c r="E218" s="8">
        <v>2.82</v>
      </c>
    </row>
    <row r="219" spans="1:5">
      <c r="A219" s="12" t="s">
        <v>232</v>
      </c>
      <c r="B219" s="5">
        <v>2.8</v>
      </c>
      <c r="C219" s="8">
        <v>2.83</v>
      </c>
      <c r="D219" s="8">
        <v>2.78</v>
      </c>
      <c r="E219" s="8">
        <v>2.79</v>
      </c>
    </row>
    <row r="220" spans="1:5">
      <c r="A220" s="12" t="s">
        <v>233</v>
      </c>
      <c r="B220" s="5">
        <v>2.82</v>
      </c>
      <c r="C220" s="8">
        <v>2.89</v>
      </c>
      <c r="D220" s="8">
        <v>2.81</v>
      </c>
      <c r="E220" s="8">
        <v>2.87</v>
      </c>
    </row>
    <row r="221" spans="1:5">
      <c r="A221" s="12" t="s">
        <v>234</v>
      </c>
      <c r="B221" s="5">
        <v>2.97</v>
      </c>
      <c r="C221" s="8">
        <v>3.05</v>
      </c>
      <c r="D221" s="8">
        <v>2.97</v>
      </c>
      <c r="E221" s="8">
        <v>3.03</v>
      </c>
    </row>
    <row r="222" spans="1:5">
      <c r="A222" s="12" t="s">
        <v>235</v>
      </c>
      <c r="B222" s="5">
        <v>3</v>
      </c>
      <c r="C222" s="8">
        <v>3.05</v>
      </c>
      <c r="D222" s="8">
        <v>2.97</v>
      </c>
      <c r="E222" s="8">
        <v>2.99</v>
      </c>
    </row>
    <row r="223" spans="1:5">
      <c r="A223" s="12" t="s">
        <v>236</v>
      </c>
      <c r="B223" s="5">
        <v>2.95</v>
      </c>
      <c r="C223" s="8">
        <v>2.98</v>
      </c>
      <c r="D223" s="8">
        <v>2.94</v>
      </c>
      <c r="E223" s="8">
        <v>2.98</v>
      </c>
    </row>
    <row r="224" spans="1:5">
      <c r="A224" s="12" t="s">
        <v>237</v>
      </c>
      <c r="B224" s="5">
        <v>2.99</v>
      </c>
      <c r="C224" s="8">
        <v>3.0049999999999999</v>
      </c>
      <c r="D224" s="8">
        <v>2.93</v>
      </c>
      <c r="E224" s="8">
        <v>2.96</v>
      </c>
    </row>
    <row r="225" spans="1:5">
      <c r="A225" s="12" t="s">
        <v>238</v>
      </c>
      <c r="B225" s="5">
        <v>2.97</v>
      </c>
      <c r="C225" s="8">
        <v>2.97</v>
      </c>
      <c r="D225" s="8">
        <v>2.91</v>
      </c>
      <c r="E225" s="8">
        <v>2.94</v>
      </c>
    </row>
    <row r="226" spans="1:5">
      <c r="A226" s="12" t="s">
        <v>239</v>
      </c>
      <c r="B226" s="5">
        <v>3</v>
      </c>
      <c r="C226" s="8">
        <v>3.07</v>
      </c>
      <c r="D226" s="8">
        <v>2.97</v>
      </c>
      <c r="E226" s="8">
        <v>3.06</v>
      </c>
    </row>
    <row r="227" spans="1:5">
      <c r="A227" s="12" t="s">
        <v>240</v>
      </c>
      <c r="B227" s="5">
        <v>3.07</v>
      </c>
      <c r="C227" s="8">
        <v>3.12</v>
      </c>
      <c r="D227" s="8">
        <v>3.0249999999999999</v>
      </c>
      <c r="E227" s="8">
        <v>3.08</v>
      </c>
    </row>
    <row r="228" spans="1:5">
      <c r="A228" s="12" t="s">
        <v>241</v>
      </c>
      <c r="B228" s="5">
        <v>3.03</v>
      </c>
      <c r="C228" s="8">
        <v>3.1</v>
      </c>
      <c r="D228" s="8">
        <v>3.03</v>
      </c>
      <c r="E228" s="8">
        <v>3.09</v>
      </c>
    </row>
    <row r="229" spans="1:5">
      <c r="A229" s="12" t="s">
        <v>242</v>
      </c>
      <c r="B229" s="5">
        <v>3.07</v>
      </c>
      <c r="C229" s="8">
        <v>3.08</v>
      </c>
      <c r="D229" s="8">
        <v>3.02</v>
      </c>
      <c r="E229" s="8">
        <v>3.03</v>
      </c>
    </row>
    <row r="230" spans="1:5">
      <c r="A230" s="12" t="s">
        <v>243</v>
      </c>
      <c r="B230" s="5">
        <v>3.04</v>
      </c>
      <c r="C230" s="8">
        <v>3.07</v>
      </c>
      <c r="D230" s="8">
        <v>3.02</v>
      </c>
      <c r="E230" s="8">
        <v>3.05</v>
      </c>
    </row>
    <row r="231" spans="1:5">
      <c r="A231" s="12" t="s">
        <v>244</v>
      </c>
      <c r="B231" s="5">
        <v>3.06</v>
      </c>
      <c r="C231" s="8">
        <v>3.1</v>
      </c>
      <c r="D231" s="8">
        <v>3.0350000000000001</v>
      </c>
      <c r="E231" s="8">
        <v>3.09</v>
      </c>
    </row>
    <row r="232" spans="1:5">
      <c r="A232" s="12" t="s">
        <v>245</v>
      </c>
      <c r="B232" s="5">
        <v>3.06</v>
      </c>
      <c r="C232" s="8">
        <v>3.08</v>
      </c>
      <c r="D232" s="8">
        <v>3.04</v>
      </c>
      <c r="E232" s="8">
        <v>3.07</v>
      </c>
    </row>
    <row r="233" spans="1:5">
      <c r="A233" s="12" t="s">
        <v>246</v>
      </c>
      <c r="B233" s="5">
        <v>3.08</v>
      </c>
      <c r="C233" s="8">
        <v>3.09</v>
      </c>
      <c r="D233" s="8">
        <v>3.0249999999999999</v>
      </c>
      <c r="E233" s="8">
        <v>3.04</v>
      </c>
    </row>
    <row r="234" spans="1:5">
      <c r="A234" s="12" t="s">
        <v>247</v>
      </c>
      <c r="B234" s="5">
        <v>3</v>
      </c>
      <c r="C234" s="8">
        <v>3.06</v>
      </c>
      <c r="D234" s="8">
        <v>2.98</v>
      </c>
      <c r="E234" s="8">
        <v>3.05</v>
      </c>
    </row>
    <row r="235" spans="1:5">
      <c r="A235" s="12" t="s">
        <v>248</v>
      </c>
      <c r="B235" s="5">
        <v>3.01</v>
      </c>
      <c r="C235" s="8">
        <v>3.03</v>
      </c>
      <c r="D235" s="8">
        <v>2.93</v>
      </c>
      <c r="E235" s="8">
        <v>2.94</v>
      </c>
    </row>
    <row r="236" spans="1:5">
      <c r="A236" s="12" t="s">
        <v>249</v>
      </c>
      <c r="B236" s="5">
        <v>2.99</v>
      </c>
      <c r="C236" s="8">
        <v>2.99</v>
      </c>
      <c r="D236" s="8">
        <v>2.93</v>
      </c>
      <c r="E236" s="8">
        <v>2.95</v>
      </c>
    </row>
    <row r="237" spans="1:5">
      <c r="A237" s="12" t="s">
        <v>250</v>
      </c>
      <c r="B237" s="5">
        <v>2.99</v>
      </c>
      <c r="C237" s="8">
        <v>3.04</v>
      </c>
      <c r="D237" s="8">
        <v>2.98</v>
      </c>
      <c r="E237" s="8">
        <v>3.02</v>
      </c>
    </row>
    <row r="238" spans="1:5">
      <c r="A238" s="12" t="s">
        <v>251</v>
      </c>
      <c r="B238" s="5">
        <v>3.05</v>
      </c>
      <c r="C238" s="8">
        <v>3.0649999999999999</v>
      </c>
      <c r="D238" s="8">
        <v>3.02</v>
      </c>
      <c r="E238" s="8">
        <v>3.02</v>
      </c>
    </row>
    <row r="239" spans="1:5">
      <c r="A239" s="12" t="s">
        <v>252</v>
      </c>
      <c r="B239" s="5">
        <v>3.05</v>
      </c>
      <c r="C239" s="8">
        <v>3.06</v>
      </c>
      <c r="D239" s="8">
        <v>3.01</v>
      </c>
      <c r="E239" s="8">
        <v>3.02</v>
      </c>
    </row>
    <row r="240" spans="1:5">
      <c r="A240" s="12" t="s">
        <v>253</v>
      </c>
      <c r="B240" s="5">
        <v>3.04</v>
      </c>
      <c r="C240" s="8">
        <v>3.09</v>
      </c>
      <c r="D240" s="8">
        <v>3.01</v>
      </c>
      <c r="E240" s="8">
        <v>3.04</v>
      </c>
    </row>
    <row r="241" spans="1:5">
      <c r="A241" s="12" t="s">
        <v>254</v>
      </c>
      <c r="B241" s="5">
        <v>3.06</v>
      </c>
      <c r="C241" s="8">
        <v>3.11</v>
      </c>
      <c r="D241" s="8">
        <v>3.05</v>
      </c>
      <c r="E241" s="8">
        <v>3.06</v>
      </c>
    </row>
    <row r="242" spans="1:5">
      <c r="A242" s="12" t="s">
        <v>255</v>
      </c>
      <c r="B242" s="5">
        <v>3.03</v>
      </c>
      <c r="C242" s="8">
        <v>3.0449999999999999</v>
      </c>
      <c r="D242" s="8">
        <v>2.9950000000000001</v>
      </c>
      <c r="E242" s="8">
        <v>3.01</v>
      </c>
    </row>
    <row r="243" spans="1:5">
      <c r="A243" s="12" t="s">
        <v>256</v>
      </c>
      <c r="B243" s="5">
        <v>3.02</v>
      </c>
      <c r="C243" s="8">
        <v>3.03</v>
      </c>
      <c r="D243" s="8">
        <v>2.91</v>
      </c>
      <c r="E243" s="8">
        <v>2.94</v>
      </c>
    </row>
    <row r="244" spans="1:5">
      <c r="A244" s="12" t="s">
        <v>257</v>
      </c>
      <c r="B244" s="5">
        <v>2.95</v>
      </c>
      <c r="C244" s="8">
        <v>3.02</v>
      </c>
      <c r="D244" s="8">
        <v>2.9350000000000001</v>
      </c>
      <c r="E244" s="8">
        <v>3</v>
      </c>
    </row>
    <row r="245" spans="1:5">
      <c r="A245" s="12" t="s">
        <v>258</v>
      </c>
      <c r="B245" s="5">
        <v>3</v>
      </c>
      <c r="C245" s="8">
        <v>3.05</v>
      </c>
      <c r="D245" s="8">
        <v>2.99</v>
      </c>
      <c r="E245" s="8">
        <v>3.02</v>
      </c>
    </row>
    <row r="246" spans="1:5">
      <c r="A246" s="12" t="s">
        <v>259</v>
      </c>
      <c r="B246" s="5">
        <v>3</v>
      </c>
      <c r="C246" s="8">
        <v>3.01</v>
      </c>
      <c r="D246" s="8">
        <v>2.96</v>
      </c>
      <c r="E246" s="8">
        <v>2.98</v>
      </c>
    </row>
    <row r="247" spans="1:5">
      <c r="A247" s="12" t="s">
        <v>260</v>
      </c>
      <c r="B247" s="5">
        <v>2.97</v>
      </c>
      <c r="C247" s="8">
        <v>2.97</v>
      </c>
      <c r="D247" s="8">
        <v>2.895</v>
      </c>
      <c r="E247" s="8">
        <v>2.9</v>
      </c>
    </row>
    <row r="248" spans="1:5">
      <c r="A248" s="12" t="s">
        <v>261</v>
      </c>
      <c r="B248" s="5">
        <v>2.9</v>
      </c>
      <c r="C248" s="8">
        <v>2.915</v>
      </c>
      <c r="D248" s="8">
        <v>2.87</v>
      </c>
      <c r="E248" s="8">
        <v>2.88</v>
      </c>
    </row>
    <row r="249" spans="1:5">
      <c r="A249" s="12" t="s">
        <v>262</v>
      </c>
      <c r="B249" s="5">
        <v>2.9</v>
      </c>
      <c r="C249" s="8">
        <v>2.9</v>
      </c>
      <c r="D249" s="8">
        <v>2.84</v>
      </c>
      <c r="E249" s="8">
        <v>2.85</v>
      </c>
    </row>
    <row r="250" spans="1:5">
      <c r="A250" s="12" t="s">
        <v>263</v>
      </c>
      <c r="B250" s="5">
        <v>2.9</v>
      </c>
      <c r="C250" s="8">
        <v>2.9249999999999998</v>
      </c>
      <c r="D250" s="8">
        <v>2.88</v>
      </c>
      <c r="E250" s="8">
        <v>2.92</v>
      </c>
    </row>
    <row r="251" spans="1:5">
      <c r="A251" s="12" t="s">
        <v>264</v>
      </c>
      <c r="B251" s="5">
        <v>2.89</v>
      </c>
      <c r="C251" s="8">
        <v>2.91</v>
      </c>
      <c r="D251" s="8">
        <v>2.82</v>
      </c>
      <c r="E251" s="8">
        <v>2.84</v>
      </c>
    </row>
    <row r="252" spans="1:5">
      <c r="A252" s="12" t="s">
        <v>265</v>
      </c>
      <c r="B252" s="5">
        <v>2.82</v>
      </c>
      <c r="C252" s="8">
        <v>2.9</v>
      </c>
      <c r="D252" s="8">
        <v>2.81</v>
      </c>
      <c r="E252" s="8">
        <v>2.9</v>
      </c>
    </row>
    <row r="253" spans="1:5">
      <c r="A253" s="12" t="s">
        <v>266</v>
      </c>
      <c r="B253" s="5">
        <v>2.95</v>
      </c>
      <c r="C253" s="8">
        <v>3.01</v>
      </c>
      <c r="D253" s="8">
        <v>2.94</v>
      </c>
      <c r="E253" s="8">
        <v>2.94</v>
      </c>
    </row>
    <row r="254" spans="1:5">
      <c r="A254" s="12" t="s">
        <v>267</v>
      </c>
      <c r="B254" s="5">
        <v>2.9</v>
      </c>
      <c r="C254" s="8">
        <v>2.93</v>
      </c>
      <c r="D254" s="8">
        <v>2.86</v>
      </c>
      <c r="E254" s="8">
        <v>2.91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13CB-B827-4626-AC7C-D17EB1E28289}">
  <dimension ref="A1:C254"/>
  <sheetViews>
    <sheetView topLeftCell="B1" zoomScale="85" zoomScaleNormal="85" workbookViewId="0">
      <selection activeCell="Z38" sqref="Z38"/>
    </sheetView>
  </sheetViews>
  <sheetFormatPr defaultRowHeight="12.75"/>
  <cols>
    <col min="1" max="1" width="14.28515625" style="12" customWidth="1"/>
    <col min="2" max="2" width="19" style="1" customWidth="1"/>
    <col min="3" max="3" width="26.5703125" style="9" customWidth="1"/>
  </cols>
  <sheetData>
    <row r="1" spans="1:3" ht="15">
      <c r="A1" s="11" t="s">
        <v>2</v>
      </c>
      <c r="B1" s="2" t="s">
        <v>10</v>
      </c>
      <c r="C1" s="7" t="s">
        <v>9</v>
      </c>
    </row>
    <row r="2" spans="1:3">
      <c r="A2" s="12" t="s">
        <v>15</v>
      </c>
      <c r="B2" s="3">
        <v>4529258568</v>
      </c>
      <c r="C2" s="8">
        <v>16803.55</v>
      </c>
    </row>
    <row r="3" spans="1:3">
      <c r="A3" s="12" t="s">
        <v>16</v>
      </c>
      <c r="B3" s="3">
        <v>4529258568</v>
      </c>
      <c r="C3" s="8">
        <v>16894.13</v>
      </c>
    </row>
    <row r="4" spans="1:3">
      <c r="A4" s="12" t="s">
        <v>17</v>
      </c>
      <c r="B4" s="3">
        <v>4529258568</v>
      </c>
      <c r="C4" s="8">
        <v>17120.599999999999</v>
      </c>
    </row>
    <row r="5" spans="1:3">
      <c r="A5" s="12" t="s">
        <v>18</v>
      </c>
      <c r="B5" s="3">
        <v>4529258568</v>
      </c>
      <c r="C5" s="8">
        <v>17437.650000000001</v>
      </c>
    </row>
    <row r="6" spans="1:3">
      <c r="A6" s="12" t="s">
        <v>19</v>
      </c>
      <c r="B6" s="3">
        <v>4529258568</v>
      </c>
      <c r="C6" s="8">
        <v>17301.77</v>
      </c>
    </row>
    <row r="7" spans="1:3">
      <c r="A7" s="12" t="s">
        <v>20</v>
      </c>
      <c r="B7" s="3">
        <v>4529258568</v>
      </c>
      <c r="C7" s="8">
        <v>16758.259999999998</v>
      </c>
    </row>
    <row r="8" spans="1:3">
      <c r="A8" s="12" t="s">
        <v>21</v>
      </c>
      <c r="B8" s="3">
        <v>4529258568</v>
      </c>
      <c r="C8" s="8">
        <v>16848.84</v>
      </c>
    </row>
    <row r="9" spans="1:3">
      <c r="A9" s="12" t="s">
        <v>22</v>
      </c>
      <c r="B9" s="3">
        <v>4529258568</v>
      </c>
      <c r="C9" s="8">
        <v>16486.5</v>
      </c>
    </row>
    <row r="10" spans="1:3">
      <c r="A10" s="12" t="s">
        <v>23</v>
      </c>
      <c r="B10" s="3">
        <v>4529258568</v>
      </c>
      <c r="C10" s="8">
        <v>16395.919999999998</v>
      </c>
    </row>
    <row r="11" spans="1:3">
      <c r="A11" s="12" t="s">
        <v>24</v>
      </c>
      <c r="B11" s="3">
        <v>4529258568</v>
      </c>
      <c r="C11" s="8">
        <v>16395.919999999998</v>
      </c>
    </row>
    <row r="12" spans="1:3">
      <c r="A12" s="12" t="s">
        <v>25</v>
      </c>
      <c r="B12" s="3">
        <v>4529258568</v>
      </c>
      <c r="C12" s="8">
        <v>16395.919999999998</v>
      </c>
    </row>
    <row r="13" spans="1:3">
      <c r="A13" s="12" t="s">
        <v>26</v>
      </c>
      <c r="B13" s="3">
        <v>4529258568</v>
      </c>
      <c r="C13" s="8">
        <v>16169.45</v>
      </c>
    </row>
    <row r="14" spans="1:3">
      <c r="A14" s="12" t="s">
        <v>27</v>
      </c>
      <c r="B14" s="3">
        <v>4529258568</v>
      </c>
      <c r="C14" s="8">
        <v>16078.87</v>
      </c>
    </row>
    <row r="15" spans="1:3">
      <c r="A15" s="12" t="s">
        <v>28</v>
      </c>
      <c r="B15" s="3">
        <v>4529258568</v>
      </c>
      <c r="C15" s="8">
        <v>15807.11</v>
      </c>
    </row>
    <row r="16" spans="1:3">
      <c r="A16" s="12" t="s">
        <v>29</v>
      </c>
      <c r="B16" s="3">
        <v>4529258568</v>
      </c>
      <c r="C16" s="8">
        <v>15490.06</v>
      </c>
    </row>
    <row r="17" spans="1:3">
      <c r="A17" s="12" t="s">
        <v>30</v>
      </c>
      <c r="B17" s="3">
        <v>4529258568</v>
      </c>
      <c r="C17" s="8">
        <v>13542.48</v>
      </c>
    </row>
    <row r="18" spans="1:3">
      <c r="A18" s="12" t="s">
        <v>31</v>
      </c>
      <c r="B18" s="3">
        <v>4529258568</v>
      </c>
      <c r="C18" s="8">
        <v>13497.19</v>
      </c>
    </row>
    <row r="19" spans="1:3">
      <c r="A19" s="12" t="s">
        <v>32</v>
      </c>
      <c r="B19" s="3">
        <v>4529258568</v>
      </c>
      <c r="C19" s="8">
        <v>13406.61</v>
      </c>
    </row>
    <row r="20" spans="1:3">
      <c r="A20" s="12" t="s">
        <v>33</v>
      </c>
      <c r="B20" s="3">
        <v>4529258568</v>
      </c>
      <c r="C20" s="8">
        <v>13180.14</v>
      </c>
    </row>
    <row r="21" spans="1:3">
      <c r="A21" s="12" t="s">
        <v>34</v>
      </c>
      <c r="B21" s="3">
        <v>4529258568</v>
      </c>
      <c r="C21" s="8">
        <v>13497.19</v>
      </c>
    </row>
    <row r="22" spans="1:3">
      <c r="A22" s="12" t="s">
        <v>35</v>
      </c>
      <c r="B22" s="3">
        <v>4529258568</v>
      </c>
      <c r="C22" s="8">
        <v>13678.36</v>
      </c>
    </row>
    <row r="23" spans="1:3">
      <c r="A23" s="12" t="s">
        <v>36</v>
      </c>
      <c r="B23" s="3">
        <v>4529258568</v>
      </c>
      <c r="C23" s="8">
        <v>13633.07</v>
      </c>
    </row>
    <row r="24" spans="1:3">
      <c r="A24" s="12" t="s">
        <v>37</v>
      </c>
      <c r="B24" s="3">
        <v>4529258568</v>
      </c>
      <c r="C24" s="8">
        <v>13904.82</v>
      </c>
    </row>
    <row r="25" spans="1:3">
      <c r="A25" s="12" t="s">
        <v>38</v>
      </c>
      <c r="B25" s="3">
        <v>4529258568</v>
      </c>
      <c r="C25" s="8">
        <v>14221.87</v>
      </c>
    </row>
    <row r="26" spans="1:3">
      <c r="A26" s="12" t="s">
        <v>39</v>
      </c>
      <c r="B26" s="3">
        <v>4529258568</v>
      </c>
      <c r="C26" s="8">
        <v>13678.36</v>
      </c>
    </row>
    <row r="27" spans="1:3">
      <c r="A27" s="12" t="s">
        <v>40</v>
      </c>
      <c r="B27" s="3">
        <v>4529258568</v>
      </c>
      <c r="C27" s="8">
        <v>12863.09</v>
      </c>
    </row>
    <row r="28" spans="1:3">
      <c r="A28" s="12" t="s">
        <v>41</v>
      </c>
      <c r="B28" s="3">
        <v>4529258568</v>
      </c>
      <c r="C28" s="8">
        <v>12953.68</v>
      </c>
    </row>
    <row r="29" spans="1:3">
      <c r="A29" s="12" t="s">
        <v>42</v>
      </c>
      <c r="B29" s="3">
        <v>4529258568</v>
      </c>
      <c r="C29" s="8">
        <v>13044.26</v>
      </c>
    </row>
    <row r="30" spans="1:3">
      <c r="A30" s="12" t="s">
        <v>43</v>
      </c>
      <c r="B30" s="3">
        <v>4529258568</v>
      </c>
      <c r="C30" s="8">
        <v>12817.8</v>
      </c>
    </row>
    <row r="31" spans="1:3">
      <c r="A31" s="12" t="s">
        <v>44</v>
      </c>
      <c r="B31" s="3">
        <v>4529258568</v>
      </c>
      <c r="C31" s="8">
        <v>13316.02</v>
      </c>
    </row>
    <row r="32" spans="1:3">
      <c r="A32" s="12" t="s">
        <v>45</v>
      </c>
      <c r="B32" s="3">
        <v>4529258568</v>
      </c>
      <c r="C32" s="8">
        <v>13270.73</v>
      </c>
    </row>
    <row r="33" spans="1:3">
      <c r="A33" s="12" t="s">
        <v>46</v>
      </c>
      <c r="B33" s="3">
        <v>4529258568</v>
      </c>
      <c r="C33" s="8">
        <v>13406.61</v>
      </c>
    </row>
    <row r="34" spans="1:3">
      <c r="A34" s="12" t="s">
        <v>47</v>
      </c>
      <c r="B34" s="3">
        <v>4529258568</v>
      </c>
      <c r="C34" s="8">
        <v>13180.14</v>
      </c>
    </row>
    <row r="35" spans="1:3">
      <c r="A35" s="12" t="s">
        <v>48</v>
      </c>
      <c r="B35" s="3">
        <v>4529258568</v>
      </c>
      <c r="C35" s="8">
        <v>13225.44</v>
      </c>
    </row>
    <row r="36" spans="1:3">
      <c r="A36" s="12" t="s">
        <v>49</v>
      </c>
      <c r="B36" s="3">
        <v>4529258568</v>
      </c>
      <c r="C36" s="8">
        <v>13497.19</v>
      </c>
    </row>
    <row r="37" spans="1:3">
      <c r="A37" s="12" t="s">
        <v>50</v>
      </c>
      <c r="B37" s="3">
        <v>4529258568</v>
      </c>
      <c r="C37" s="8">
        <v>13406.61</v>
      </c>
    </row>
    <row r="38" spans="1:3">
      <c r="A38" s="12" t="s">
        <v>51</v>
      </c>
      <c r="B38" s="3">
        <v>4529258568</v>
      </c>
      <c r="C38" s="8">
        <v>13633.07</v>
      </c>
    </row>
    <row r="39" spans="1:3">
      <c r="A39" s="12" t="s">
        <v>52</v>
      </c>
      <c r="B39" s="3">
        <v>4529258568</v>
      </c>
      <c r="C39" s="8">
        <v>13633.07</v>
      </c>
    </row>
    <row r="40" spans="1:3">
      <c r="A40" s="12" t="s">
        <v>53</v>
      </c>
      <c r="B40" s="3">
        <v>4529258568</v>
      </c>
      <c r="C40" s="8">
        <v>13768.95</v>
      </c>
    </row>
    <row r="41" spans="1:3">
      <c r="A41" s="12" t="s">
        <v>54</v>
      </c>
      <c r="B41" s="3">
        <v>4529258568</v>
      </c>
      <c r="C41" s="8">
        <v>13723.65</v>
      </c>
    </row>
    <row r="42" spans="1:3">
      <c r="A42" s="12" t="s">
        <v>55</v>
      </c>
      <c r="B42" s="3">
        <v>4529258568</v>
      </c>
      <c r="C42" s="8">
        <v>13995.41</v>
      </c>
    </row>
    <row r="43" spans="1:3">
      <c r="A43" s="12" t="s">
        <v>56</v>
      </c>
      <c r="B43" s="3">
        <v>4529258568</v>
      </c>
      <c r="C43" s="8">
        <v>14040.7</v>
      </c>
    </row>
    <row r="44" spans="1:3">
      <c r="A44" s="12" t="s">
        <v>57</v>
      </c>
      <c r="B44" s="3">
        <v>4529258568</v>
      </c>
      <c r="C44" s="8">
        <v>13950.12</v>
      </c>
    </row>
    <row r="45" spans="1:3">
      <c r="A45" s="12" t="s">
        <v>58</v>
      </c>
      <c r="B45" s="3">
        <v>4529258568</v>
      </c>
      <c r="C45" s="8">
        <v>14040.7</v>
      </c>
    </row>
    <row r="46" spans="1:3">
      <c r="A46" s="12" t="s">
        <v>59</v>
      </c>
      <c r="B46" s="3">
        <v>4529258568</v>
      </c>
      <c r="C46" s="8">
        <v>14221.87</v>
      </c>
    </row>
    <row r="47" spans="1:3">
      <c r="A47" s="12" t="s">
        <v>60</v>
      </c>
      <c r="B47" s="3">
        <v>4529258568</v>
      </c>
      <c r="C47" s="8">
        <v>14040.7</v>
      </c>
    </row>
    <row r="48" spans="1:3">
      <c r="A48" s="12" t="s">
        <v>61</v>
      </c>
      <c r="B48" s="3">
        <v>4529258568</v>
      </c>
      <c r="C48" s="8">
        <v>14040.7</v>
      </c>
    </row>
    <row r="49" spans="1:3">
      <c r="A49" s="12" t="s">
        <v>62</v>
      </c>
      <c r="B49" s="3">
        <v>4529258568</v>
      </c>
      <c r="C49" s="8">
        <v>13587.78</v>
      </c>
    </row>
    <row r="50" spans="1:3">
      <c r="A50" s="12" t="s">
        <v>63</v>
      </c>
      <c r="B50" s="3">
        <v>4529258568</v>
      </c>
      <c r="C50" s="8">
        <v>13768.95</v>
      </c>
    </row>
    <row r="51" spans="1:3">
      <c r="A51" s="12" t="s">
        <v>64</v>
      </c>
      <c r="B51" s="3">
        <v>4529258568</v>
      </c>
      <c r="C51" s="8">
        <v>13497.19</v>
      </c>
    </row>
    <row r="52" spans="1:3">
      <c r="A52" s="12" t="s">
        <v>65</v>
      </c>
      <c r="B52" s="3">
        <v>4529258568</v>
      </c>
      <c r="C52" s="8">
        <v>13451.9</v>
      </c>
    </row>
    <row r="53" spans="1:3">
      <c r="A53" s="12" t="s">
        <v>66</v>
      </c>
      <c r="B53" s="3">
        <v>4529258568</v>
      </c>
      <c r="C53" s="8">
        <v>13542.48</v>
      </c>
    </row>
    <row r="54" spans="1:3">
      <c r="A54" s="12" t="s">
        <v>67</v>
      </c>
      <c r="B54" s="3">
        <v>4529258568</v>
      </c>
      <c r="C54" s="8">
        <v>13633.07</v>
      </c>
    </row>
    <row r="55" spans="1:3">
      <c r="A55" s="12" t="s">
        <v>68</v>
      </c>
      <c r="B55" s="3">
        <v>4529258568</v>
      </c>
      <c r="C55" s="8">
        <v>13950.12</v>
      </c>
    </row>
    <row r="56" spans="1:3">
      <c r="A56" s="12" t="s">
        <v>69</v>
      </c>
      <c r="B56" s="3">
        <v>4529258568</v>
      </c>
      <c r="C56" s="8">
        <v>14448.33</v>
      </c>
    </row>
    <row r="57" spans="1:3">
      <c r="A57" s="12" t="s">
        <v>70</v>
      </c>
      <c r="B57" s="3">
        <v>4529258568</v>
      </c>
      <c r="C57" s="8">
        <v>14357.75</v>
      </c>
    </row>
    <row r="58" spans="1:3">
      <c r="A58" s="12" t="s">
        <v>71</v>
      </c>
      <c r="B58" s="3">
        <v>4529258568</v>
      </c>
      <c r="C58" s="8">
        <v>14629.51</v>
      </c>
    </row>
    <row r="59" spans="1:3">
      <c r="A59" s="12" t="s">
        <v>72</v>
      </c>
      <c r="B59" s="3">
        <v>4529258568</v>
      </c>
      <c r="C59" s="8">
        <v>14493.63</v>
      </c>
    </row>
    <row r="60" spans="1:3">
      <c r="A60" s="12" t="s">
        <v>73</v>
      </c>
      <c r="B60" s="3">
        <v>4529258568</v>
      </c>
      <c r="C60" s="8">
        <v>14493.63</v>
      </c>
    </row>
    <row r="61" spans="1:3">
      <c r="A61" s="12" t="s">
        <v>74</v>
      </c>
      <c r="B61" s="3">
        <v>4529258568</v>
      </c>
      <c r="C61" s="8">
        <v>14493.63</v>
      </c>
    </row>
    <row r="62" spans="1:3">
      <c r="A62" s="12" t="s">
        <v>75</v>
      </c>
      <c r="B62" s="3">
        <v>4529258568</v>
      </c>
      <c r="C62" s="8">
        <v>14493.63</v>
      </c>
    </row>
    <row r="63" spans="1:3">
      <c r="A63" s="12" t="s">
        <v>76</v>
      </c>
      <c r="B63" s="3">
        <v>4529258568</v>
      </c>
      <c r="C63" s="8">
        <v>15082.43</v>
      </c>
    </row>
    <row r="64" spans="1:3">
      <c r="A64" s="12" t="s">
        <v>77</v>
      </c>
      <c r="B64" s="3">
        <v>4529258568</v>
      </c>
      <c r="C64" s="8">
        <v>15535.36</v>
      </c>
    </row>
    <row r="65" spans="1:3">
      <c r="A65" s="12" t="s">
        <v>78</v>
      </c>
      <c r="B65" s="3">
        <v>4529258568</v>
      </c>
      <c r="C65" s="8">
        <v>15988.28</v>
      </c>
    </row>
    <row r="66" spans="1:3">
      <c r="A66" s="12" t="s">
        <v>79</v>
      </c>
      <c r="B66" s="3">
        <v>4529258568</v>
      </c>
      <c r="C66" s="8">
        <v>16758.259999999998</v>
      </c>
    </row>
    <row r="67" spans="1:3">
      <c r="A67" s="12" t="s">
        <v>80</v>
      </c>
      <c r="B67" s="3">
        <v>4529258568</v>
      </c>
      <c r="C67" s="8">
        <v>17075.3</v>
      </c>
    </row>
    <row r="68" spans="1:3">
      <c r="A68" s="12" t="s">
        <v>81</v>
      </c>
      <c r="B68" s="3">
        <v>4529258568</v>
      </c>
      <c r="C68" s="8">
        <v>16622.38</v>
      </c>
    </row>
    <row r="69" spans="1:3">
      <c r="A69" s="12" t="s">
        <v>82</v>
      </c>
      <c r="B69" s="3">
        <v>4529258568</v>
      </c>
      <c r="C69" s="8">
        <v>16894.13</v>
      </c>
    </row>
    <row r="70" spans="1:3">
      <c r="A70" s="12" t="s">
        <v>83</v>
      </c>
      <c r="B70" s="3">
        <v>4528343579</v>
      </c>
      <c r="C70" s="8">
        <v>16936</v>
      </c>
    </row>
    <row r="71" spans="1:3">
      <c r="A71" s="12" t="s">
        <v>84</v>
      </c>
      <c r="B71" s="3">
        <v>4528343579</v>
      </c>
      <c r="C71" s="8">
        <v>16664.3</v>
      </c>
    </row>
    <row r="72" spans="1:3">
      <c r="A72" s="12" t="s">
        <v>85</v>
      </c>
      <c r="B72" s="3">
        <v>4528343579</v>
      </c>
      <c r="C72" s="8">
        <v>16754.87</v>
      </c>
    </row>
    <row r="73" spans="1:3">
      <c r="A73" s="12" t="s">
        <v>86</v>
      </c>
      <c r="B73" s="3">
        <v>4528343579</v>
      </c>
      <c r="C73" s="8">
        <v>16302.04</v>
      </c>
    </row>
    <row r="74" spans="1:3">
      <c r="A74" s="12" t="s">
        <v>87</v>
      </c>
      <c r="B74" s="3">
        <v>4528343579</v>
      </c>
      <c r="C74" s="8">
        <v>15985.05</v>
      </c>
    </row>
    <row r="75" spans="1:3">
      <c r="A75" s="12" t="s">
        <v>88</v>
      </c>
      <c r="B75" s="3">
        <v>4528343579</v>
      </c>
      <c r="C75" s="8">
        <v>16347.32</v>
      </c>
    </row>
    <row r="76" spans="1:3">
      <c r="A76" s="12" t="s">
        <v>89</v>
      </c>
      <c r="B76" s="3">
        <v>4528343579</v>
      </c>
      <c r="C76" s="8">
        <v>16302.04</v>
      </c>
    </row>
    <row r="77" spans="1:3">
      <c r="A77" s="12" t="s">
        <v>90</v>
      </c>
      <c r="B77" s="3">
        <v>4528343579</v>
      </c>
      <c r="C77" s="8">
        <v>16890.72</v>
      </c>
    </row>
    <row r="78" spans="1:3">
      <c r="A78" s="12" t="s">
        <v>91</v>
      </c>
      <c r="B78" s="3">
        <v>4528343579</v>
      </c>
      <c r="C78" s="8">
        <v>16754.87</v>
      </c>
    </row>
    <row r="79" spans="1:3">
      <c r="A79" s="12" t="s">
        <v>92</v>
      </c>
      <c r="B79" s="3">
        <v>4528343579</v>
      </c>
      <c r="C79" s="8">
        <v>16619.02</v>
      </c>
    </row>
    <row r="80" spans="1:3">
      <c r="A80" s="12" t="s">
        <v>93</v>
      </c>
      <c r="B80" s="3">
        <v>4528343579</v>
      </c>
      <c r="C80" s="8">
        <v>17071.86</v>
      </c>
    </row>
    <row r="81" spans="1:3">
      <c r="A81" s="12" t="s">
        <v>94</v>
      </c>
      <c r="B81" s="3">
        <v>4528343579</v>
      </c>
      <c r="C81" s="8">
        <v>16754.87</v>
      </c>
    </row>
    <row r="82" spans="1:3">
      <c r="A82" s="12" t="s">
        <v>95</v>
      </c>
      <c r="B82" s="3">
        <v>4528343579</v>
      </c>
      <c r="C82" s="8">
        <v>16709.59</v>
      </c>
    </row>
    <row r="83" spans="1:3">
      <c r="A83" s="12" t="s">
        <v>96</v>
      </c>
      <c r="B83" s="3">
        <v>4528343579</v>
      </c>
      <c r="C83" s="8">
        <v>16392.599999999999</v>
      </c>
    </row>
    <row r="84" spans="1:3">
      <c r="A84" s="12" t="s">
        <v>97</v>
      </c>
      <c r="B84" s="3">
        <v>4528343579</v>
      </c>
      <c r="C84" s="8">
        <v>16528.45</v>
      </c>
    </row>
    <row r="85" spans="1:3">
      <c r="A85" s="12" t="s">
        <v>98</v>
      </c>
      <c r="B85" s="3">
        <v>4528343579</v>
      </c>
      <c r="C85" s="8">
        <v>16709.59</v>
      </c>
    </row>
    <row r="86" spans="1:3">
      <c r="A86" s="12" t="s">
        <v>99</v>
      </c>
      <c r="B86" s="3">
        <v>4528343579</v>
      </c>
      <c r="C86" s="8">
        <v>16800.150000000001</v>
      </c>
    </row>
    <row r="87" spans="1:3">
      <c r="A87" s="12" t="s">
        <v>100</v>
      </c>
      <c r="B87" s="3">
        <v>4528343579</v>
      </c>
      <c r="C87" s="8">
        <v>16890.72</v>
      </c>
    </row>
    <row r="88" spans="1:3">
      <c r="A88" s="12" t="s">
        <v>101</v>
      </c>
      <c r="B88" s="3">
        <v>4528343579</v>
      </c>
      <c r="C88" s="8">
        <v>16845.439999999999</v>
      </c>
    </row>
    <row r="89" spans="1:3">
      <c r="A89" s="12" t="s">
        <v>102</v>
      </c>
      <c r="B89" s="3">
        <v>4528343579</v>
      </c>
      <c r="C89" s="8">
        <v>16619.02</v>
      </c>
    </row>
    <row r="90" spans="1:3">
      <c r="A90" s="12" t="s">
        <v>103</v>
      </c>
      <c r="B90" s="3">
        <v>4528343579</v>
      </c>
      <c r="C90" s="8">
        <v>16664.3</v>
      </c>
    </row>
    <row r="91" spans="1:3">
      <c r="A91" s="12" t="s">
        <v>104</v>
      </c>
      <c r="B91" s="3">
        <v>4528343579</v>
      </c>
      <c r="C91" s="8">
        <v>16845.439999999999</v>
      </c>
    </row>
    <row r="92" spans="1:3">
      <c r="A92" s="12" t="s">
        <v>105</v>
      </c>
      <c r="B92" s="3">
        <v>4522029926</v>
      </c>
      <c r="C92" s="8">
        <v>16867.169999999998</v>
      </c>
    </row>
    <row r="93" spans="1:3">
      <c r="A93" s="12" t="s">
        <v>106</v>
      </c>
      <c r="B93" s="3">
        <v>4522029926</v>
      </c>
      <c r="C93" s="8">
        <v>16957.61</v>
      </c>
    </row>
    <row r="94" spans="1:3">
      <c r="A94" s="12" t="s">
        <v>107</v>
      </c>
      <c r="B94" s="3">
        <v>4522029926</v>
      </c>
      <c r="C94" s="8">
        <v>17002.830000000002</v>
      </c>
    </row>
    <row r="95" spans="1:3">
      <c r="A95" s="12" t="s">
        <v>108</v>
      </c>
      <c r="B95" s="3">
        <v>4522029926</v>
      </c>
      <c r="C95" s="8">
        <v>17319.37</v>
      </c>
    </row>
    <row r="96" spans="1:3">
      <c r="A96" s="12" t="s">
        <v>109</v>
      </c>
      <c r="B96" s="3">
        <v>4522029926</v>
      </c>
      <c r="C96" s="8">
        <v>17183.71</v>
      </c>
    </row>
    <row r="97" spans="1:3">
      <c r="A97" s="12" t="s">
        <v>110</v>
      </c>
      <c r="B97" s="3">
        <v>4522029926</v>
      </c>
      <c r="C97" s="8">
        <v>16731.509999999998</v>
      </c>
    </row>
    <row r="98" spans="1:3">
      <c r="A98" s="12" t="s">
        <v>111</v>
      </c>
      <c r="B98" s="3">
        <v>4522029926</v>
      </c>
      <c r="C98" s="8">
        <v>16324.53</v>
      </c>
    </row>
    <row r="99" spans="1:3">
      <c r="A99" s="12" t="s">
        <v>112</v>
      </c>
      <c r="B99" s="3">
        <v>4522029926</v>
      </c>
      <c r="C99" s="8">
        <v>16007.99</v>
      </c>
    </row>
    <row r="100" spans="1:3">
      <c r="A100" s="12" t="s">
        <v>113</v>
      </c>
      <c r="B100" s="3">
        <v>4522029926</v>
      </c>
      <c r="C100" s="8">
        <v>15781.88</v>
      </c>
    </row>
    <row r="101" spans="1:3">
      <c r="A101" s="12" t="s">
        <v>114</v>
      </c>
      <c r="B101" s="3">
        <v>4522029926</v>
      </c>
      <c r="C101" s="8">
        <v>16053.21</v>
      </c>
    </row>
    <row r="102" spans="1:3">
      <c r="A102" s="12" t="s">
        <v>115</v>
      </c>
      <c r="B102" s="3">
        <v>4522029926</v>
      </c>
      <c r="C102" s="8">
        <v>17048.05</v>
      </c>
    </row>
    <row r="103" spans="1:3">
      <c r="A103" s="12" t="s">
        <v>116</v>
      </c>
      <c r="B103" s="3">
        <v>4522029926</v>
      </c>
      <c r="C103" s="8">
        <v>16595.849999999999</v>
      </c>
    </row>
    <row r="104" spans="1:3">
      <c r="A104" s="12" t="s">
        <v>117</v>
      </c>
      <c r="B104" s="3">
        <v>4522029926</v>
      </c>
      <c r="C104" s="8">
        <v>16731.509999999998</v>
      </c>
    </row>
    <row r="105" spans="1:3">
      <c r="A105" s="12" t="s">
        <v>118</v>
      </c>
      <c r="B105" s="3">
        <v>4522029926</v>
      </c>
      <c r="C105" s="8">
        <v>16867.169999999998</v>
      </c>
    </row>
    <row r="106" spans="1:3">
      <c r="A106" s="12" t="s">
        <v>119</v>
      </c>
      <c r="B106" s="3">
        <v>4522029926</v>
      </c>
      <c r="C106" s="8">
        <v>17319.37</v>
      </c>
    </row>
    <row r="107" spans="1:3">
      <c r="A107" s="12" t="s">
        <v>120</v>
      </c>
      <c r="B107" s="3">
        <v>4522029926</v>
      </c>
      <c r="C107" s="8">
        <v>16912.39</v>
      </c>
    </row>
    <row r="108" spans="1:3">
      <c r="A108" s="12" t="s">
        <v>121</v>
      </c>
      <c r="B108" s="3">
        <v>4522029926</v>
      </c>
      <c r="C108" s="8">
        <v>17093.27</v>
      </c>
    </row>
    <row r="109" spans="1:3">
      <c r="A109" s="12" t="s">
        <v>122</v>
      </c>
      <c r="B109" s="3">
        <v>4522029926</v>
      </c>
      <c r="C109" s="8">
        <v>17048.05</v>
      </c>
    </row>
    <row r="110" spans="1:3">
      <c r="A110" s="12" t="s">
        <v>123</v>
      </c>
      <c r="B110" s="3">
        <v>4522029926</v>
      </c>
      <c r="C110" s="8">
        <v>16912.39</v>
      </c>
    </row>
    <row r="111" spans="1:3">
      <c r="A111" s="12" t="s">
        <v>124</v>
      </c>
      <c r="B111" s="3">
        <v>4522029926</v>
      </c>
      <c r="C111" s="8">
        <v>16821.95</v>
      </c>
    </row>
    <row r="112" spans="1:3">
      <c r="A112" s="12" t="s">
        <v>125</v>
      </c>
      <c r="B112" s="3">
        <v>4522029926</v>
      </c>
      <c r="C112" s="8">
        <v>16641.07</v>
      </c>
    </row>
    <row r="113" spans="1:3">
      <c r="A113" s="12" t="s">
        <v>126</v>
      </c>
      <c r="B113" s="3">
        <v>4522029926</v>
      </c>
      <c r="C113" s="8">
        <v>16369.75</v>
      </c>
    </row>
    <row r="114" spans="1:3">
      <c r="A114" s="12" t="s">
        <v>127</v>
      </c>
      <c r="B114" s="3">
        <v>4518328958</v>
      </c>
      <c r="C114" s="8">
        <v>16265.98</v>
      </c>
    </row>
    <row r="115" spans="1:3">
      <c r="A115" s="12" t="s">
        <v>128</v>
      </c>
      <c r="B115" s="3">
        <v>4518328958</v>
      </c>
      <c r="C115" s="8">
        <v>16717.82</v>
      </c>
    </row>
    <row r="116" spans="1:3">
      <c r="A116" s="12" t="s">
        <v>129</v>
      </c>
      <c r="B116" s="3">
        <v>4518328958</v>
      </c>
      <c r="C116" s="8">
        <v>16401.53</v>
      </c>
    </row>
    <row r="117" spans="1:3">
      <c r="A117" s="12" t="s">
        <v>130</v>
      </c>
      <c r="B117" s="3">
        <v>4518328958</v>
      </c>
      <c r="C117" s="8">
        <v>16265.98</v>
      </c>
    </row>
    <row r="118" spans="1:3">
      <c r="A118" s="12" t="s">
        <v>131</v>
      </c>
      <c r="B118" s="3">
        <v>4518328958</v>
      </c>
      <c r="C118" s="8">
        <v>16627.45</v>
      </c>
    </row>
    <row r="119" spans="1:3">
      <c r="A119" s="12" t="s">
        <v>132</v>
      </c>
      <c r="B119" s="3">
        <v>4518328958</v>
      </c>
      <c r="C119" s="8">
        <v>15904.52</v>
      </c>
    </row>
    <row r="120" spans="1:3">
      <c r="A120" s="12" t="s">
        <v>133</v>
      </c>
      <c r="B120" s="3">
        <v>4518328958</v>
      </c>
      <c r="C120" s="8">
        <v>15543.05</v>
      </c>
    </row>
    <row r="121" spans="1:3">
      <c r="A121" s="12" t="s">
        <v>134</v>
      </c>
      <c r="B121" s="3">
        <v>4518328958</v>
      </c>
      <c r="C121" s="8">
        <v>15362.32</v>
      </c>
    </row>
    <row r="122" spans="1:3">
      <c r="A122" s="12" t="s">
        <v>135</v>
      </c>
      <c r="B122" s="3">
        <v>4518328958</v>
      </c>
      <c r="C122" s="8">
        <v>15226.77</v>
      </c>
    </row>
    <row r="123" spans="1:3">
      <c r="A123" s="12" t="s">
        <v>136</v>
      </c>
      <c r="B123" s="3">
        <v>4518328958</v>
      </c>
      <c r="C123" s="8">
        <v>15362.32</v>
      </c>
    </row>
    <row r="124" spans="1:3">
      <c r="A124" s="12" t="s">
        <v>137</v>
      </c>
      <c r="B124" s="3">
        <v>4518328958</v>
      </c>
      <c r="C124" s="8">
        <v>15271.95</v>
      </c>
    </row>
    <row r="125" spans="1:3">
      <c r="A125" s="12" t="s">
        <v>138</v>
      </c>
      <c r="B125" s="3">
        <v>4518328958</v>
      </c>
      <c r="C125" s="8">
        <v>15181.59</v>
      </c>
    </row>
    <row r="126" spans="1:3">
      <c r="A126" s="12" t="s">
        <v>139</v>
      </c>
      <c r="B126" s="3">
        <v>4518328958</v>
      </c>
      <c r="C126" s="8">
        <v>15091.22</v>
      </c>
    </row>
    <row r="127" spans="1:3">
      <c r="A127" s="12" t="s">
        <v>140</v>
      </c>
      <c r="B127" s="3">
        <v>4518328958</v>
      </c>
      <c r="C127" s="8">
        <v>15407.5</v>
      </c>
    </row>
    <row r="128" spans="1:3">
      <c r="A128" s="12" t="s">
        <v>141</v>
      </c>
      <c r="B128" s="3">
        <v>4518328958</v>
      </c>
      <c r="C128" s="8">
        <v>15407.5</v>
      </c>
    </row>
    <row r="129" spans="1:3">
      <c r="A129" s="12" t="s">
        <v>142</v>
      </c>
      <c r="B129" s="3">
        <v>4518328958</v>
      </c>
      <c r="C129" s="8">
        <v>15362.32</v>
      </c>
    </row>
    <row r="130" spans="1:3">
      <c r="A130" s="12" t="s">
        <v>143</v>
      </c>
      <c r="B130" s="3">
        <v>4518328958</v>
      </c>
      <c r="C130" s="8">
        <v>15362.32</v>
      </c>
    </row>
    <row r="131" spans="1:3">
      <c r="A131" s="12" t="s">
        <v>144</v>
      </c>
      <c r="B131" s="3">
        <v>4518328958</v>
      </c>
      <c r="C131" s="8">
        <v>15362.32</v>
      </c>
    </row>
    <row r="132" spans="1:3">
      <c r="A132" s="12" t="s">
        <v>145</v>
      </c>
      <c r="B132" s="3">
        <v>4518328958</v>
      </c>
      <c r="C132" s="8">
        <v>15633.42</v>
      </c>
    </row>
    <row r="133" spans="1:3">
      <c r="A133" s="12" t="s">
        <v>146</v>
      </c>
      <c r="B133" s="3">
        <v>4517415782</v>
      </c>
      <c r="C133" s="8">
        <v>15630.26</v>
      </c>
    </row>
    <row r="134" spans="1:3">
      <c r="A134" s="12" t="s">
        <v>147</v>
      </c>
      <c r="B134" s="3">
        <v>4517415782</v>
      </c>
      <c r="C134" s="8">
        <v>15359.21</v>
      </c>
    </row>
    <row r="135" spans="1:3">
      <c r="A135" s="12" t="s">
        <v>148</v>
      </c>
      <c r="B135" s="3">
        <v>4517415782</v>
      </c>
      <c r="C135" s="8">
        <v>15359.21</v>
      </c>
    </row>
    <row r="136" spans="1:3">
      <c r="A136" s="12" t="s">
        <v>149</v>
      </c>
      <c r="B136" s="3">
        <v>4517415782</v>
      </c>
      <c r="C136" s="8">
        <v>15404.39</v>
      </c>
    </row>
    <row r="137" spans="1:3">
      <c r="A137" s="12" t="s">
        <v>150</v>
      </c>
      <c r="B137" s="3">
        <v>4517415782</v>
      </c>
      <c r="C137" s="8">
        <v>15268.87</v>
      </c>
    </row>
    <row r="138" spans="1:3">
      <c r="A138" s="12" t="s">
        <v>151</v>
      </c>
      <c r="B138" s="3">
        <v>4517415782</v>
      </c>
      <c r="C138" s="8">
        <v>15359.21</v>
      </c>
    </row>
    <row r="139" spans="1:3">
      <c r="A139" s="12" t="s">
        <v>152</v>
      </c>
      <c r="B139" s="3">
        <v>4517415782</v>
      </c>
      <c r="C139" s="8">
        <v>15223.69</v>
      </c>
    </row>
    <row r="140" spans="1:3">
      <c r="A140" s="12" t="s">
        <v>153</v>
      </c>
      <c r="B140" s="3">
        <v>4517415782</v>
      </c>
      <c r="C140" s="8">
        <v>15449.56</v>
      </c>
    </row>
    <row r="141" spans="1:3">
      <c r="A141" s="12" t="s">
        <v>154</v>
      </c>
      <c r="B141" s="3">
        <v>4517415782</v>
      </c>
      <c r="C141" s="8">
        <v>15449.56</v>
      </c>
    </row>
    <row r="142" spans="1:3">
      <c r="A142" s="12" t="s">
        <v>155</v>
      </c>
      <c r="B142" s="3">
        <v>4517415782</v>
      </c>
      <c r="C142" s="8">
        <v>15765.78</v>
      </c>
    </row>
    <row r="143" spans="1:3">
      <c r="A143" s="12" t="s">
        <v>156</v>
      </c>
      <c r="B143" s="3">
        <v>4517415782</v>
      </c>
      <c r="C143" s="8">
        <v>15720.61</v>
      </c>
    </row>
    <row r="144" spans="1:3">
      <c r="A144" s="12" t="s">
        <v>157</v>
      </c>
      <c r="B144" s="3">
        <v>4517415782</v>
      </c>
      <c r="C144" s="8">
        <v>15856.13</v>
      </c>
    </row>
    <row r="145" spans="1:3">
      <c r="A145" s="12" t="s">
        <v>158</v>
      </c>
      <c r="B145" s="3">
        <v>4517415782</v>
      </c>
      <c r="C145" s="8">
        <v>16172.35</v>
      </c>
    </row>
    <row r="146" spans="1:3">
      <c r="A146" s="12" t="s">
        <v>159</v>
      </c>
      <c r="B146" s="3">
        <v>4517415782</v>
      </c>
      <c r="C146" s="8">
        <v>16082</v>
      </c>
    </row>
    <row r="147" spans="1:3">
      <c r="A147" s="12" t="s">
        <v>160</v>
      </c>
      <c r="B147" s="3">
        <v>4517415782</v>
      </c>
      <c r="C147" s="8">
        <v>15946.48</v>
      </c>
    </row>
    <row r="148" spans="1:3">
      <c r="A148" s="12" t="s">
        <v>161</v>
      </c>
      <c r="B148" s="3">
        <v>4517415782</v>
      </c>
      <c r="C148" s="8">
        <v>15991.65</v>
      </c>
    </row>
    <row r="149" spans="1:3">
      <c r="A149" s="12" t="s">
        <v>162</v>
      </c>
      <c r="B149" s="3">
        <v>4517415782</v>
      </c>
      <c r="C149" s="8">
        <v>15223.69</v>
      </c>
    </row>
    <row r="150" spans="1:3">
      <c r="A150" s="12" t="s">
        <v>163</v>
      </c>
      <c r="B150" s="3">
        <v>4517415782</v>
      </c>
      <c r="C150" s="8">
        <v>14862.3</v>
      </c>
    </row>
    <row r="151" spans="1:3">
      <c r="A151" s="12" t="s">
        <v>164</v>
      </c>
      <c r="B151" s="3">
        <v>4517415782</v>
      </c>
      <c r="C151" s="8">
        <v>15178.52</v>
      </c>
    </row>
    <row r="152" spans="1:3">
      <c r="A152" s="12" t="s">
        <v>165</v>
      </c>
      <c r="B152" s="3">
        <v>4517415782</v>
      </c>
      <c r="C152" s="8">
        <v>15178.52</v>
      </c>
    </row>
    <row r="153" spans="1:3">
      <c r="A153" s="12" t="s">
        <v>166</v>
      </c>
      <c r="B153" s="3">
        <v>4517415782</v>
      </c>
      <c r="C153" s="8">
        <v>14952.65</v>
      </c>
    </row>
    <row r="154" spans="1:3">
      <c r="A154" s="12" t="s">
        <v>167</v>
      </c>
      <c r="B154" s="3">
        <v>4517415782</v>
      </c>
      <c r="C154" s="8">
        <v>15268.87</v>
      </c>
    </row>
    <row r="155" spans="1:3">
      <c r="A155" s="12" t="s">
        <v>168</v>
      </c>
      <c r="B155" s="3">
        <v>4517415782</v>
      </c>
      <c r="C155" s="8">
        <v>15585.08</v>
      </c>
    </row>
    <row r="156" spans="1:3">
      <c r="A156" s="12" t="s">
        <v>169</v>
      </c>
      <c r="B156" s="3">
        <v>4517415782</v>
      </c>
      <c r="C156" s="8">
        <v>15675.43</v>
      </c>
    </row>
    <row r="157" spans="1:3">
      <c r="A157" s="12" t="s">
        <v>170</v>
      </c>
      <c r="B157" s="3">
        <v>4517415782</v>
      </c>
      <c r="C157" s="8">
        <v>15810.96</v>
      </c>
    </row>
    <row r="158" spans="1:3">
      <c r="A158" s="12" t="s">
        <v>171</v>
      </c>
      <c r="B158" s="3">
        <v>4517415782</v>
      </c>
      <c r="C158" s="8">
        <v>15539.91</v>
      </c>
    </row>
    <row r="159" spans="1:3">
      <c r="A159" s="12" t="s">
        <v>172</v>
      </c>
      <c r="B159" s="3">
        <v>4517415782</v>
      </c>
      <c r="C159" s="8">
        <v>15494.74</v>
      </c>
    </row>
    <row r="160" spans="1:3">
      <c r="A160" s="12" t="s">
        <v>173</v>
      </c>
      <c r="B160" s="3">
        <v>4517415782</v>
      </c>
      <c r="C160" s="8">
        <v>15494.74</v>
      </c>
    </row>
    <row r="161" spans="1:3">
      <c r="A161" s="12" t="s">
        <v>174</v>
      </c>
      <c r="B161" s="3">
        <v>4517415782</v>
      </c>
      <c r="C161" s="8">
        <v>16127.17</v>
      </c>
    </row>
    <row r="162" spans="1:3">
      <c r="A162" s="12" t="s">
        <v>175</v>
      </c>
      <c r="B162" s="3">
        <v>4517415782</v>
      </c>
      <c r="C162" s="8">
        <v>16488.57</v>
      </c>
    </row>
    <row r="163" spans="1:3">
      <c r="A163" s="12" t="s">
        <v>176</v>
      </c>
      <c r="B163" s="3">
        <v>4517415782</v>
      </c>
      <c r="C163" s="8">
        <v>16669.259999999998</v>
      </c>
    </row>
    <row r="164" spans="1:3">
      <c r="A164" s="12" t="s">
        <v>177</v>
      </c>
      <c r="B164" s="3">
        <v>4517415782</v>
      </c>
      <c r="C164" s="8">
        <v>16578.919999999998</v>
      </c>
    </row>
    <row r="165" spans="1:3">
      <c r="A165" s="12" t="s">
        <v>178</v>
      </c>
      <c r="B165" s="3">
        <v>4517415782</v>
      </c>
      <c r="C165" s="8">
        <v>16533.740000000002</v>
      </c>
    </row>
    <row r="166" spans="1:3">
      <c r="A166" s="12" t="s">
        <v>179</v>
      </c>
      <c r="B166" s="3">
        <v>4517415782</v>
      </c>
      <c r="C166" s="8">
        <v>16759.61</v>
      </c>
    </row>
    <row r="167" spans="1:3">
      <c r="A167" s="12" t="s">
        <v>180</v>
      </c>
      <c r="B167" s="3">
        <v>4517415782</v>
      </c>
      <c r="C167" s="8">
        <v>16895.14</v>
      </c>
    </row>
    <row r="168" spans="1:3">
      <c r="A168" s="12" t="s">
        <v>181</v>
      </c>
      <c r="B168" s="3">
        <v>4517415782</v>
      </c>
      <c r="C168" s="8">
        <v>16578.919999999998</v>
      </c>
    </row>
    <row r="169" spans="1:3">
      <c r="A169" s="12" t="s">
        <v>182</v>
      </c>
      <c r="B169" s="3">
        <v>4517415782</v>
      </c>
      <c r="C169" s="8">
        <v>16488.57</v>
      </c>
    </row>
    <row r="170" spans="1:3">
      <c r="A170" s="12" t="s">
        <v>183</v>
      </c>
      <c r="B170" s="3">
        <v>4517415782</v>
      </c>
      <c r="C170" s="8">
        <v>16307.87</v>
      </c>
    </row>
    <row r="171" spans="1:3">
      <c r="A171" s="12" t="s">
        <v>184</v>
      </c>
      <c r="B171" s="3">
        <v>4517415782</v>
      </c>
      <c r="C171" s="8">
        <v>16443.39</v>
      </c>
    </row>
    <row r="172" spans="1:3">
      <c r="A172" s="12" t="s">
        <v>185</v>
      </c>
      <c r="B172" s="3">
        <v>4517415782</v>
      </c>
      <c r="C172" s="8">
        <v>15901.3</v>
      </c>
    </row>
    <row r="173" spans="1:3">
      <c r="A173" s="12" t="s">
        <v>186</v>
      </c>
      <c r="B173" s="3">
        <v>4516680274</v>
      </c>
      <c r="C173" s="8">
        <v>16395.55</v>
      </c>
    </row>
    <row r="174" spans="1:3">
      <c r="A174" s="12" t="s">
        <v>187</v>
      </c>
      <c r="B174" s="3">
        <v>4516680274</v>
      </c>
      <c r="C174" s="8">
        <v>15898.71</v>
      </c>
    </row>
    <row r="175" spans="1:3">
      <c r="A175" s="12" t="s">
        <v>188</v>
      </c>
      <c r="B175" s="3">
        <v>4516680274</v>
      </c>
      <c r="C175" s="8">
        <v>15853.55</v>
      </c>
    </row>
    <row r="176" spans="1:3">
      <c r="A176" s="12" t="s">
        <v>189</v>
      </c>
      <c r="B176" s="3">
        <v>4516680274</v>
      </c>
      <c r="C176" s="8">
        <v>16440.72</v>
      </c>
    </row>
    <row r="177" spans="1:3">
      <c r="A177" s="12" t="s">
        <v>190</v>
      </c>
      <c r="B177" s="3">
        <v>4516680274</v>
      </c>
      <c r="C177" s="8">
        <v>16214.88</v>
      </c>
    </row>
    <row r="178" spans="1:3">
      <c r="A178" s="12" t="s">
        <v>191</v>
      </c>
      <c r="B178" s="3">
        <v>4516680274</v>
      </c>
      <c r="C178" s="8">
        <v>16305.22</v>
      </c>
    </row>
    <row r="179" spans="1:3">
      <c r="A179" s="12" t="s">
        <v>192</v>
      </c>
      <c r="B179" s="3">
        <v>4516680274</v>
      </c>
      <c r="C179" s="8">
        <v>16214.88</v>
      </c>
    </row>
    <row r="180" spans="1:3">
      <c r="A180" s="12" t="s">
        <v>193</v>
      </c>
      <c r="B180" s="3">
        <v>4516680274</v>
      </c>
      <c r="C180" s="8">
        <v>16169.72</v>
      </c>
    </row>
    <row r="181" spans="1:3">
      <c r="A181" s="12" t="s">
        <v>194</v>
      </c>
      <c r="B181" s="3">
        <v>4516680274</v>
      </c>
      <c r="C181" s="8">
        <v>15943.88</v>
      </c>
    </row>
    <row r="182" spans="1:3">
      <c r="A182" s="12" t="s">
        <v>195</v>
      </c>
      <c r="B182" s="3">
        <v>4516680274</v>
      </c>
      <c r="C182" s="8">
        <v>15943.88</v>
      </c>
    </row>
    <row r="183" spans="1:3">
      <c r="A183" s="12" t="s">
        <v>196</v>
      </c>
      <c r="B183" s="3">
        <v>4516680274</v>
      </c>
      <c r="C183" s="8">
        <v>16260.05</v>
      </c>
    </row>
    <row r="184" spans="1:3">
      <c r="A184" s="12" t="s">
        <v>197</v>
      </c>
      <c r="B184" s="3">
        <v>4516680274</v>
      </c>
      <c r="C184" s="8">
        <v>16305.22</v>
      </c>
    </row>
    <row r="185" spans="1:3">
      <c r="A185" s="12" t="s">
        <v>198</v>
      </c>
      <c r="B185" s="3">
        <v>4516680274</v>
      </c>
      <c r="C185" s="8">
        <v>16305.22</v>
      </c>
    </row>
    <row r="186" spans="1:3">
      <c r="A186" s="12" t="s">
        <v>199</v>
      </c>
      <c r="B186" s="3">
        <v>4516680274</v>
      </c>
      <c r="C186" s="8">
        <v>16350.38</v>
      </c>
    </row>
    <row r="187" spans="1:3">
      <c r="A187" s="12" t="s">
        <v>200</v>
      </c>
      <c r="B187" s="3">
        <v>4516680274</v>
      </c>
      <c r="C187" s="8">
        <v>15943.88</v>
      </c>
    </row>
    <row r="188" spans="1:3">
      <c r="A188" s="12" t="s">
        <v>201</v>
      </c>
      <c r="B188" s="3">
        <v>4516680274</v>
      </c>
      <c r="C188" s="8">
        <v>15763.21</v>
      </c>
    </row>
    <row r="189" spans="1:3">
      <c r="A189" s="12" t="s">
        <v>202</v>
      </c>
      <c r="B189" s="3">
        <v>4516680274</v>
      </c>
      <c r="C189" s="8">
        <v>15853.55</v>
      </c>
    </row>
    <row r="190" spans="1:3">
      <c r="A190" s="12" t="s">
        <v>203</v>
      </c>
      <c r="B190" s="3">
        <v>4516680274</v>
      </c>
      <c r="C190" s="8">
        <v>15853.55</v>
      </c>
    </row>
    <row r="191" spans="1:3">
      <c r="A191" s="12" t="s">
        <v>204</v>
      </c>
      <c r="B191" s="3">
        <v>4516680274</v>
      </c>
      <c r="C191" s="8">
        <v>15672.88</v>
      </c>
    </row>
    <row r="192" spans="1:3">
      <c r="A192" s="12" t="s">
        <v>205</v>
      </c>
      <c r="B192" s="3">
        <v>4516680274</v>
      </c>
      <c r="C192" s="8">
        <v>15221.21</v>
      </c>
    </row>
    <row r="193" spans="1:3">
      <c r="A193" s="12" t="s">
        <v>206</v>
      </c>
      <c r="B193" s="3">
        <v>4516680274</v>
      </c>
      <c r="C193" s="8">
        <v>14543.71</v>
      </c>
    </row>
    <row r="194" spans="1:3">
      <c r="A194" s="12" t="s">
        <v>207</v>
      </c>
      <c r="B194" s="3">
        <v>4516680274</v>
      </c>
      <c r="C194" s="8">
        <v>14498.54</v>
      </c>
    </row>
    <row r="195" spans="1:3">
      <c r="A195" s="12" t="s">
        <v>208</v>
      </c>
      <c r="B195" s="3">
        <v>4512732493</v>
      </c>
      <c r="C195" s="8">
        <v>14079.73</v>
      </c>
    </row>
    <row r="196" spans="1:3">
      <c r="A196" s="12" t="s">
        <v>209</v>
      </c>
      <c r="B196" s="3">
        <v>4512732493</v>
      </c>
      <c r="C196" s="8">
        <v>13402.82</v>
      </c>
    </row>
    <row r="197" spans="1:3">
      <c r="A197" s="12" t="s">
        <v>210</v>
      </c>
      <c r="B197" s="3">
        <v>4512732493</v>
      </c>
      <c r="C197" s="8">
        <v>12680.78</v>
      </c>
    </row>
    <row r="198" spans="1:3">
      <c r="A198" s="12" t="s">
        <v>211</v>
      </c>
      <c r="B198" s="3">
        <v>4512732493</v>
      </c>
      <c r="C198" s="8">
        <v>11687.98</v>
      </c>
    </row>
    <row r="199" spans="1:3">
      <c r="A199" s="12" t="s">
        <v>212</v>
      </c>
      <c r="B199" s="3">
        <v>4512732493</v>
      </c>
      <c r="C199" s="8">
        <v>11958.74</v>
      </c>
    </row>
    <row r="200" spans="1:3">
      <c r="A200" s="12" t="s">
        <v>213</v>
      </c>
      <c r="B200" s="3">
        <v>4512732493</v>
      </c>
      <c r="C200" s="8">
        <v>11372.09</v>
      </c>
    </row>
    <row r="201" spans="1:3">
      <c r="A201" s="12" t="s">
        <v>214</v>
      </c>
      <c r="B201" s="3">
        <v>4512732493</v>
      </c>
      <c r="C201" s="8">
        <v>12455.14</v>
      </c>
    </row>
    <row r="202" spans="1:3">
      <c r="A202" s="12" t="s">
        <v>215</v>
      </c>
      <c r="B202" s="3">
        <v>4512732493</v>
      </c>
      <c r="C202" s="8">
        <v>12364.89</v>
      </c>
    </row>
    <row r="203" spans="1:3">
      <c r="A203" s="12" t="s">
        <v>216</v>
      </c>
      <c r="B203" s="3">
        <v>4512732493</v>
      </c>
      <c r="C203" s="8">
        <v>12635.65</v>
      </c>
    </row>
    <row r="204" spans="1:3">
      <c r="A204" s="12" t="s">
        <v>217</v>
      </c>
      <c r="B204" s="3">
        <v>4512732493</v>
      </c>
      <c r="C204" s="8">
        <v>12590.52</v>
      </c>
    </row>
    <row r="205" spans="1:3">
      <c r="A205" s="12" t="s">
        <v>218</v>
      </c>
      <c r="B205" s="3">
        <v>4512732493</v>
      </c>
      <c r="C205" s="8">
        <v>12049</v>
      </c>
    </row>
    <row r="206" spans="1:3">
      <c r="A206" s="12" t="s">
        <v>219</v>
      </c>
      <c r="B206" s="3">
        <v>4512732493</v>
      </c>
      <c r="C206" s="8">
        <v>12139.25</v>
      </c>
    </row>
    <row r="207" spans="1:3">
      <c r="A207" s="12" t="s">
        <v>220</v>
      </c>
      <c r="B207" s="3">
        <v>4512732493</v>
      </c>
      <c r="C207" s="8">
        <v>11778.23</v>
      </c>
    </row>
    <row r="208" spans="1:3">
      <c r="A208" s="12" t="s">
        <v>221</v>
      </c>
      <c r="B208" s="3">
        <v>4512732493</v>
      </c>
      <c r="C208" s="8">
        <v>11958.74</v>
      </c>
    </row>
    <row r="209" spans="1:3">
      <c r="A209" s="12" t="s">
        <v>222</v>
      </c>
      <c r="B209" s="3">
        <v>4512732493</v>
      </c>
      <c r="C209" s="8">
        <v>12229.51</v>
      </c>
    </row>
    <row r="210" spans="1:3">
      <c r="A210" s="12" t="s">
        <v>223</v>
      </c>
      <c r="B210" s="3">
        <v>4512732493</v>
      </c>
      <c r="C210" s="8">
        <v>12229.51</v>
      </c>
    </row>
    <row r="211" spans="1:3">
      <c r="A211" s="12" t="s">
        <v>224</v>
      </c>
      <c r="B211" s="3">
        <v>4512732493</v>
      </c>
      <c r="C211" s="8">
        <v>12545.4</v>
      </c>
    </row>
    <row r="212" spans="1:3">
      <c r="A212" s="12" t="s">
        <v>225</v>
      </c>
      <c r="B212" s="3">
        <v>4512732493</v>
      </c>
      <c r="C212" s="8">
        <v>12410.01</v>
      </c>
    </row>
    <row r="213" spans="1:3">
      <c r="A213" s="12" t="s">
        <v>226</v>
      </c>
      <c r="B213" s="3">
        <v>4512732493</v>
      </c>
      <c r="C213" s="8">
        <v>12364.89</v>
      </c>
    </row>
    <row r="214" spans="1:3">
      <c r="A214" s="12" t="s">
        <v>227</v>
      </c>
      <c r="B214" s="3">
        <v>4508486226</v>
      </c>
      <c r="C214" s="8">
        <v>12759.02</v>
      </c>
    </row>
    <row r="215" spans="1:3">
      <c r="A215" s="12" t="s">
        <v>228</v>
      </c>
      <c r="B215" s="3">
        <v>4508486226</v>
      </c>
      <c r="C215" s="8">
        <v>12623.76</v>
      </c>
    </row>
    <row r="216" spans="1:3">
      <c r="A216" s="12" t="s">
        <v>229</v>
      </c>
      <c r="B216" s="3">
        <v>4508486226</v>
      </c>
      <c r="C216" s="8">
        <v>12804.1</v>
      </c>
    </row>
    <row r="217" spans="1:3">
      <c r="A217" s="12" t="s">
        <v>230</v>
      </c>
      <c r="B217" s="3">
        <v>4508486226</v>
      </c>
      <c r="C217" s="8">
        <v>12849.19</v>
      </c>
    </row>
    <row r="218" spans="1:3">
      <c r="A218" s="12" t="s">
        <v>231</v>
      </c>
      <c r="B218" s="3">
        <v>4508486226</v>
      </c>
      <c r="C218" s="8">
        <v>12713.93</v>
      </c>
    </row>
    <row r="219" spans="1:3">
      <c r="A219" s="12" t="s">
        <v>232</v>
      </c>
      <c r="B219" s="3">
        <v>4508486226</v>
      </c>
      <c r="C219" s="8">
        <v>12578.68</v>
      </c>
    </row>
    <row r="220" spans="1:3">
      <c r="A220" s="12" t="s">
        <v>233</v>
      </c>
      <c r="B220" s="3">
        <v>4508486226</v>
      </c>
      <c r="C220" s="8">
        <v>12939.36</v>
      </c>
    </row>
    <row r="221" spans="1:3">
      <c r="A221" s="12" t="s">
        <v>234</v>
      </c>
      <c r="B221" s="3">
        <v>4508486226</v>
      </c>
      <c r="C221" s="8">
        <v>13660.71</v>
      </c>
    </row>
    <row r="222" spans="1:3">
      <c r="A222" s="12" t="s">
        <v>235</v>
      </c>
      <c r="B222" s="3">
        <v>4508486226</v>
      </c>
      <c r="C222" s="8">
        <v>13480.37</v>
      </c>
    </row>
    <row r="223" spans="1:3">
      <c r="A223" s="12" t="s">
        <v>236</v>
      </c>
      <c r="B223" s="3">
        <v>4508486226</v>
      </c>
      <c r="C223" s="8">
        <v>13435.29</v>
      </c>
    </row>
    <row r="224" spans="1:3">
      <c r="A224" s="12" t="s">
        <v>237</v>
      </c>
      <c r="B224" s="3">
        <v>4508486226</v>
      </c>
      <c r="C224" s="8">
        <v>13345.12</v>
      </c>
    </row>
    <row r="225" spans="1:3">
      <c r="A225" s="12" t="s">
        <v>238</v>
      </c>
      <c r="B225" s="3">
        <v>4508486226</v>
      </c>
      <c r="C225" s="8">
        <v>13254.95</v>
      </c>
    </row>
    <row r="226" spans="1:3">
      <c r="A226" s="12" t="s">
        <v>239</v>
      </c>
      <c r="B226" s="3">
        <v>4508486226</v>
      </c>
      <c r="C226" s="8">
        <v>13795.97</v>
      </c>
    </row>
    <row r="227" spans="1:3">
      <c r="A227" s="12" t="s">
        <v>240</v>
      </c>
      <c r="B227" s="3">
        <v>4508486226</v>
      </c>
      <c r="C227" s="8">
        <v>13886.14</v>
      </c>
    </row>
    <row r="228" spans="1:3">
      <c r="A228" s="12" t="s">
        <v>241</v>
      </c>
      <c r="B228" s="3">
        <v>4508486226</v>
      </c>
      <c r="C228" s="8">
        <v>13931.22</v>
      </c>
    </row>
    <row r="229" spans="1:3">
      <c r="A229" s="12" t="s">
        <v>242</v>
      </c>
      <c r="B229" s="3">
        <v>4508486226</v>
      </c>
      <c r="C229" s="8">
        <v>13660.71</v>
      </c>
    </row>
    <row r="230" spans="1:3">
      <c r="A230" s="12" t="s">
        <v>243</v>
      </c>
      <c r="B230" s="3">
        <v>4508486226</v>
      </c>
      <c r="C230" s="8">
        <v>13750.88</v>
      </c>
    </row>
    <row r="231" spans="1:3">
      <c r="A231" s="12" t="s">
        <v>244</v>
      </c>
      <c r="B231" s="3">
        <v>4508486226</v>
      </c>
      <c r="C231" s="8">
        <v>13931.22</v>
      </c>
    </row>
    <row r="232" spans="1:3">
      <c r="A232" s="12" t="s">
        <v>245</v>
      </c>
      <c r="B232" s="3">
        <v>4508486226</v>
      </c>
      <c r="C232" s="8">
        <v>13841.05</v>
      </c>
    </row>
    <row r="233" spans="1:3">
      <c r="A233" s="12" t="s">
        <v>246</v>
      </c>
      <c r="B233" s="3">
        <v>4508486226</v>
      </c>
      <c r="C233" s="8">
        <v>13705.8</v>
      </c>
    </row>
    <row r="234" spans="1:3">
      <c r="A234" s="12" t="s">
        <v>247</v>
      </c>
      <c r="B234" s="3">
        <v>4508486226</v>
      </c>
      <c r="C234" s="8">
        <v>13750.88</v>
      </c>
    </row>
    <row r="235" spans="1:3">
      <c r="A235" s="12" t="s">
        <v>248</v>
      </c>
      <c r="B235" s="3">
        <v>4508486226</v>
      </c>
      <c r="C235" s="8">
        <v>13254.95</v>
      </c>
    </row>
    <row r="236" spans="1:3">
      <c r="A236" s="12" t="s">
        <v>249</v>
      </c>
      <c r="B236" s="3">
        <v>4507267591</v>
      </c>
      <c r="C236" s="8">
        <v>13296.44</v>
      </c>
    </row>
    <row r="237" spans="1:3">
      <c r="A237" s="12" t="s">
        <v>250</v>
      </c>
      <c r="B237" s="3">
        <v>4507267591</v>
      </c>
      <c r="C237" s="8">
        <v>13611.95</v>
      </c>
    </row>
    <row r="238" spans="1:3">
      <c r="A238" s="12" t="s">
        <v>251</v>
      </c>
      <c r="B238" s="3">
        <v>4507267591</v>
      </c>
      <c r="C238" s="8">
        <v>13611.95</v>
      </c>
    </row>
    <row r="239" spans="1:3">
      <c r="A239" s="12" t="s">
        <v>252</v>
      </c>
      <c r="B239" s="3">
        <v>4507267591</v>
      </c>
      <c r="C239" s="8">
        <v>13611.95</v>
      </c>
    </row>
    <row r="240" spans="1:3">
      <c r="A240" s="12" t="s">
        <v>253</v>
      </c>
      <c r="B240" s="3">
        <v>4507267591</v>
      </c>
      <c r="C240" s="8">
        <v>13702.09</v>
      </c>
    </row>
    <row r="241" spans="1:3">
      <c r="A241" s="12" t="s">
        <v>254</v>
      </c>
      <c r="B241" s="3">
        <v>4507267591</v>
      </c>
      <c r="C241" s="8">
        <v>13792.24</v>
      </c>
    </row>
    <row r="242" spans="1:3">
      <c r="A242" s="12" t="s">
        <v>255</v>
      </c>
      <c r="B242" s="3">
        <v>4507267591</v>
      </c>
      <c r="C242" s="8">
        <v>13566.88</v>
      </c>
    </row>
    <row r="243" spans="1:3">
      <c r="A243" s="12" t="s">
        <v>256</v>
      </c>
      <c r="B243" s="3">
        <v>4507267591</v>
      </c>
      <c r="C243" s="8">
        <v>13251.37</v>
      </c>
    </row>
    <row r="244" spans="1:3">
      <c r="A244" s="12" t="s">
        <v>257</v>
      </c>
      <c r="B244" s="3">
        <v>4507267591</v>
      </c>
      <c r="C244" s="8">
        <v>13521.8</v>
      </c>
    </row>
    <row r="245" spans="1:3">
      <c r="A245" s="12" t="s">
        <v>258</v>
      </c>
      <c r="B245" s="3">
        <v>4507267591</v>
      </c>
      <c r="C245" s="8">
        <v>13611.95</v>
      </c>
    </row>
    <row r="246" spans="1:3">
      <c r="A246" s="12" t="s">
        <v>259</v>
      </c>
      <c r="B246" s="3">
        <v>4507267591</v>
      </c>
      <c r="C246" s="8">
        <v>13431.66</v>
      </c>
    </row>
    <row r="247" spans="1:3">
      <c r="A247" s="12" t="s">
        <v>260</v>
      </c>
      <c r="B247" s="3">
        <v>4507267591</v>
      </c>
      <c r="C247" s="8">
        <v>13071.08</v>
      </c>
    </row>
    <row r="248" spans="1:3">
      <c r="A248" s="12" t="s">
        <v>261</v>
      </c>
      <c r="B248" s="3">
        <v>4507267591</v>
      </c>
      <c r="C248" s="8">
        <v>12980.93</v>
      </c>
    </row>
    <row r="249" spans="1:3">
      <c r="A249" s="12" t="s">
        <v>262</v>
      </c>
      <c r="B249" s="3">
        <v>4507267591</v>
      </c>
      <c r="C249" s="8">
        <v>12845.71</v>
      </c>
    </row>
    <row r="250" spans="1:3">
      <c r="A250" s="12" t="s">
        <v>263</v>
      </c>
      <c r="B250" s="3">
        <v>4507267591</v>
      </c>
      <c r="C250" s="8">
        <v>13161.22</v>
      </c>
    </row>
    <row r="251" spans="1:3">
      <c r="A251" s="12" t="s">
        <v>264</v>
      </c>
      <c r="B251" s="3">
        <v>4507267591</v>
      </c>
      <c r="C251" s="8">
        <v>12800.64</v>
      </c>
    </row>
    <row r="252" spans="1:3">
      <c r="A252" s="12" t="s">
        <v>265</v>
      </c>
      <c r="B252" s="3">
        <v>4507267591</v>
      </c>
      <c r="C252" s="8">
        <v>13071.08</v>
      </c>
    </row>
    <row r="253" spans="1:3">
      <c r="A253" s="12" t="s">
        <v>266</v>
      </c>
      <c r="B253" s="3">
        <v>4507267591</v>
      </c>
      <c r="C253" s="8">
        <v>13251.37</v>
      </c>
    </row>
    <row r="254" spans="1:3">
      <c r="A254" s="12" t="s">
        <v>267</v>
      </c>
      <c r="B254" s="3">
        <v>4507267591</v>
      </c>
      <c r="C254" s="8">
        <v>13116.15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D851-341C-4F79-B0F6-D823983337DC}">
  <dimension ref="A1:D254"/>
  <sheetViews>
    <sheetView topLeftCell="A163" workbookViewId="0">
      <selection activeCell="C197" sqref="C197"/>
    </sheetView>
  </sheetViews>
  <sheetFormatPr defaultRowHeight="12.75"/>
  <cols>
    <col min="1" max="1" width="14.28515625" style="12" customWidth="1"/>
    <col min="2" max="2" width="10.7109375" style="9" customWidth="1"/>
    <col min="3" max="3" width="13.85546875" style="19" customWidth="1"/>
    <col min="4" max="4" width="11.28515625" style="14" customWidth="1"/>
  </cols>
  <sheetData>
    <row r="1" spans="1:4" ht="15">
      <c r="A1" s="11" t="s">
        <v>2</v>
      </c>
      <c r="B1" s="7" t="s">
        <v>6</v>
      </c>
      <c r="C1" s="20" t="s">
        <v>269</v>
      </c>
      <c r="D1" s="13" t="s">
        <v>11</v>
      </c>
    </row>
    <row r="2" spans="1:4">
      <c r="A2" s="12" t="s">
        <v>15</v>
      </c>
      <c r="B2" s="8">
        <v>3.71</v>
      </c>
      <c r="C2" s="19">
        <v>0</v>
      </c>
    </row>
    <row r="3" spans="1:4">
      <c r="A3" s="12" t="s">
        <v>16</v>
      </c>
      <c r="B3" s="8">
        <v>3.73</v>
      </c>
      <c r="C3" s="19">
        <v>0</v>
      </c>
    </row>
    <row r="4" spans="1:4">
      <c r="A4" s="12" t="s">
        <v>17</v>
      </c>
      <c r="B4" s="8">
        <v>3.78</v>
      </c>
      <c r="C4" s="19">
        <v>0</v>
      </c>
    </row>
    <row r="5" spans="1:4">
      <c r="A5" s="12" t="s">
        <v>18</v>
      </c>
      <c r="B5" s="8">
        <v>3.85</v>
      </c>
      <c r="C5" s="19">
        <v>0</v>
      </c>
    </row>
    <row r="6" spans="1:4">
      <c r="A6" s="12" t="s">
        <v>19</v>
      </c>
      <c r="B6" s="8">
        <v>3.82</v>
      </c>
      <c r="C6" s="19">
        <v>0</v>
      </c>
    </row>
    <row r="7" spans="1:4">
      <c r="A7" s="12" t="s">
        <v>20</v>
      </c>
      <c r="B7" s="8">
        <v>3.7</v>
      </c>
      <c r="C7" s="19">
        <v>0</v>
      </c>
    </row>
    <row r="8" spans="1:4">
      <c r="A8" s="12" t="s">
        <v>21</v>
      </c>
      <c r="B8" s="8">
        <v>3.72</v>
      </c>
      <c r="C8" s="19">
        <v>0</v>
      </c>
    </row>
    <row r="9" spans="1:4">
      <c r="A9" s="12" t="s">
        <v>22</v>
      </c>
      <c r="B9" s="8">
        <v>3.64</v>
      </c>
      <c r="C9" s="19">
        <v>0</v>
      </c>
    </row>
    <row r="10" spans="1:4">
      <c r="A10" s="12" t="s">
        <v>23</v>
      </c>
      <c r="B10" s="8">
        <v>3.62</v>
      </c>
      <c r="C10" s="19">
        <v>0</v>
      </c>
    </row>
    <row r="11" spans="1:4">
      <c r="A11" s="12" t="s">
        <v>24</v>
      </c>
      <c r="B11" s="8">
        <v>3.62</v>
      </c>
      <c r="C11" s="19">
        <v>0</v>
      </c>
    </row>
    <row r="12" spans="1:4">
      <c r="A12" s="12" t="s">
        <v>25</v>
      </c>
      <c r="B12" s="8">
        <v>3.62</v>
      </c>
      <c r="C12" s="19">
        <v>0</v>
      </c>
    </row>
    <row r="13" spans="1:4">
      <c r="A13" s="12" t="s">
        <v>26</v>
      </c>
      <c r="B13" s="8">
        <v>3.57</v>
      </c>
      <c r="C13" s="19">
        <v>0</v>
      </c>
    </row>
    <row r="14" spans="1:4">
      <c r="A14" s="12" t="s">
        <v>27</v>
      </c>
      <c r="B14" s="8">
        <v>3.55</v>
      </c>
      <c r="C14" s="19">
        <v>0</v>
      </c>
    </row>
    <row r="15" spans="1:4">
      <c r="A15" s="12" t="s">
        <v>28</v>
      </c>
      <c r="B15" s="8">
        <v>3.49</v>
      </c>
      <c r="C15" s="19">
        <v>0</v>
      </c>
    </row>
    <row r="16" spans="1:4">
      <c r="A16" s="12" t="s">
        <v>29</v>
      </c>
      <c r="B16" s="8">
        <v>3.42</v>
      </c>
      <c r="C16" s="19">
        <v>0</v>
      </c>
    </row>
    <row r="17" spans="1:3">
      <c r="A17" s="12" t="s">
        <v>30</v>
      </c>
      <c r="B17" s="8">
        <v>2.99</v>
      </c>
      <c r="C17" s="19">
        <v>0</v>
      </c>
    </row>
    <row r="18" spans="1:3">
      <c r="A18" s="12" t="s">
        <v>31</v>
      </c>
      <c r="B18" s="8">
        <v>2.98</v>
      </c>
      <c r="C18" s="19">
        <v>0</v>
      </c>
    </row>
    <row r="19" spans="1:3">
      <c r="A19" s="12" t="s">
        <v>32</v>
      </c>
      <c r="B19" s="8">
        <v>2.96</v>
      </c>
      <c r="C19" s="19">
        <v>0</v>
      </c>
    </row>
    <row r="20" spans="1:3">
      <c r="A20" s="12" t="s">
        <v>33</v>
      </c>
      <c r="B20" s="8">
        <v>2.91</v>
      </c>
      <c r="C20" s="19">
        <v>0</v>
      </c>
    </row>
    <row r="21" spans="1:3">
      <c r="A21" s="12" t="s">
        <v>34</v>
      </c>
      <c r="B21" s="8">
        <v>2.98</v>
      </c>
      <c r="C21" s="19">
        <v>0</v>
      </c>
    </row>
    <row r="22" spans="1:3">
      <c r="A22" s="12" t="s">
        <v>35</v>
      </c>
      <c r="B22" s="8">
        <v>3.02</v>
      </c>
      <c r="C22" s="19">
        <v>0</v>
      </c>
    </row>
    <row r="23" spans="1:3">
      <c r="A23" s="12" t="s">
        <v>36</v>
      </c>
      <c r="B23" s="8">
        <v>3.01</v>
      </c>
      <c r="C23" s="19">
        <v>0</v>
      </c>
    </row>
    <row r="24" spans="1:3">
      <c r="A24" s="12" t="s">
        <v>37</v>
      </c>
      <c r="B24" s="8">
        <v>3.07</v>
      </c>
      <c r="C24" s="19">
        <v>0</v>
      </c>
    </row>
    <row r="25" spans="1:3">
      <c r="A25" s="12" t="s">
        <v>38</v>
      </c>
      <c r="B25" s="8">
        <v>3.14</v>
      </c>
      <c r="C25" s="19">
        <v>0</v>
      </c>
    </row>
    <row r="26" spans="1:3">
      <c r="A26" s="12" t="s">
        <v>39</v>
      </c>
      <c r="B26" s="8">
        <v>3.02</v>
      </c>
      <c r="C26" s="19">
        <v>0</v>
      </c>
    </row>
    <row r="27" spans="1:3">
      <c r="A27" s="12" t="s">
        <v>40</v>
      </c>
      <c r="B27" s="8">
        <v>2.84</v>
      </c>
      <c r="C27" s="19">
        <v>0</v>
      </c>
    </row>
    <row r="28" spans="1:3">
      <c r="A28" s="12" t="s">
        <v>41</v>
      </c>
      <c r="B28" s="8">
        <v>2.86</v>
      </c>
      <c r="C28" s="19">
        <v>0</v>
      </c>
    </row>
    <row r="29" spans="1:3">
      <c r="A29" s="12" t="s">
        <v>42</v>
      </c>
      <c r="B29" s="8">
        <v>2.88</v>
      </c>
      <c r="C29" s="19">
        <v>0</v>
      </c>
    </row>
    <row r="30" spans="1:3">
      <c r="A30" s="12" t="s">
        <v>43</v>
      </c>
      <c r="B30" s="8">
        <v>2.83</v>
      </c>
      <c r="C30" s="19">
        <v>0</v>
      </c>
    </row>
    <row r="31" spans="1:3">
      <c r="A31" s="12" t="s">
        <v>44</v>
      </c>
      <c r="B31" s="8">
        <v>2.94</v>
      </c>
      <c r="C31" s="19">
        <v>0</v>
      </c>
    </row>
    <row r="32" spans="1:3">
      <c r="A32" s="12" t="s">
        <v>45</v>
      </c>
      <c r="B32" s="8">
        <v>2.93</v>
      </c>
      <c r="C32" s="19">
        <v>0</v>
      </c>
    </row>
    <row r="33" spans="1:3">
      <c r="A33" s="12" t="s">
        <v>46</v>
      </c>
      <c r="B33" s="8">
        <v>2.96</v>
      </c>
      <c r="C33" s="19">
        <v>0</v>
      </c>
    </row>
    <row r="34" spans="1:3">
      <c r="A34" s="12" t="s">
        <v>47</v>
      </c>
      <c r="B34" s="8">
        <v>2.91</v>
      </c>
      <c r="C34" s="19">
        <v>0</v>
      </c>
    </row>
    <row r="35" spans="1:3">
      <c r="A35" s="12" t="s">
        <v>48</v>
      </c>
      <c r="B35" s="8">
        <v>2.92</v>
      </c>
      <c r="C35" s="19">
        <v>0</v>
      </c>
    </row>
    <row r="36" spans="1:3">
      <c r="A36" s="12" t="s">
        <v>49</v>
      </c>
      <c r="B36" s="8">
        <v>2.98</v>
      </c>
      <c r="C36" s="19">
        <v>0</v>
      </c>
    </row>
    <row r="37" spans="1:3">
      <c r="A37" s="12" t="s">
        <v>50</v>
      </c>
      <c r="B37" s="8">
        <v>2.96</v>
      </c>
      <c r="C37" s="19">
        <v>0</v>
      </c>
    </row>
    <row r="38" spans="1:3">
      <c r="A38" s="12" t="s">
        <v>51</v>
      </c>
      <c r="B38" s="8">
        <v>3.01</v>
      </c>
      <c r="C38" s="19">
        <v>0</v>
      </c>
    </row>
    <row r="39" spans="1:3">
      <c r="A39" s="12" t="s">
        <v>52</v>
      </c>
      <c r="B39" s="8">
        <v>3.01</v>
      </c>
      <c r="C39" s="19">
        <v>0</v>
      </c>
    </row>
    <row r="40" spans="1:3">
      <c r="A40" s="12" t="s">
        <v>53</v>
      </c>
      <c r="B40" s="8">
        <v>3.04</v>
      </c>
      <c r="C40" s="19">
        <v>0</v>
      </c>
    </row>
    <row r="41" spans="1:3">
      <c r="A41" s="12" t="s">
        <v>54</v>
      </c>
      <c r="B41" s="8">
        <v>3.03</v>
      </c>
      <c r="C41" s="19">
        <v>0</v>
      </c>
    </row>
    <row r="42" spans="1:3">
      <c r="A42" s="12" t="s">
        <v>55</v>
      </c>
      <c r="B42" s="8">
        <v>3.09</v>
      </c>
      <c r="C42" s="19">
        <v>0</v>
      </c>
    </row>
    <row r="43" spans="1:3">
      <c r="A43" s="12" t="s">
        <v>56</v>
      </c>
      <c r="B43" s="8">
        <v>3.1</v>
      </c>
      <c r="C43" s="19">
        <v>0</v>
      </c>
    </row>
    <row r="44" spans="1:3">
      <c r="A44" s="12" t="s">
        <v>57</v>
      </c>
      <c r="B44" s="8">
        <v>3.08</v>
      </c>
      <c r="C44" s="19">
        <v>0</v>
      </c>
    </row>
    <row r="45" spans="1:3">
      <c r="A45" s="12" t="s">
        <v>58</v>
      </c>
      <c r="B45" s="8">
        <v>3.1</v>
      </c>
      <c r="C45" s="19">
        <v>0</v>
      </c>
    </row>
    <row r="46" spans="1:3">
      <c r="A46" s="12" t="s">
        <v>59</v>
      </c>
      <c r="B46" s="8">
        <v>3.14</v>
      </c>
      <c r="C46" s="19">
        <v>0</v>
      </c>
    </row>
    <row r="47" spans="1:3">
      <c r="A47" s="12" t="s">
        <v>60</v>
      </c>
      <c r="B47" s="8">
        <v>3.1</v>
      </c>
      <c r="C47" s="19">
        <v>0</v>
      </c>
    </row>
    <row r="48" spans="1:3">
      <c r="A48" s="12" t="s">
        <v>61</v>
      </c>
      <c r="B48" s="8">
        <v>3.1</v>
      </c>
      <c r="C48" s="19">
        <v>0</v>
      </c>
    </row>
    <row r="49" spans="1:3">
      <c r="A49" s="12" t="s">
        <v>62</v>
      </c>
      <c r="B49" s="8">
        <v>3</v>
      </c>
      <c r="C49" s="19">
        <v>0</v>
      </c>
    </row>
    <row r="50" spans="1:3">
      <c r="A50" s="12" t="s">
        <v>63</v>
      </c>
      <c r="B50" s="8">
        <v>3.04</v>
      </c>
      <c r="C50" s="19">
        <v>0</v>
      </c>
    </row>
    <row r="51" spans="1:3">
      <c r="A51" s="12" t="s">
        <v>64</v>
      </c>
      <c r="B51" s="8">
        <v>2.98</v>
      </c>
      <c r="C51" s="19">
        <v>0</v>
      </c>
    </row>
    <row r="52" spans="1:3">
      <c r="A52" s="12" t="s">
        <v>65</v>
      </c>
      <c r="B52" s="8">
        <v>2.97</v>
      </c>
      <c r="C52" s="19">
        <v>0</v>
      </c>
    </row>
    <row r="53" spans="1:3">
      <c r="A53" s="12" t="s">
        <v>66</v>
      </c>
      <c r="B53" s="8">
        <v>2.99</v>
      </c>
      <c r="C53" s="19">
        <v>0</v>
      </c>
    </row>
    <row r="54" spans="1:3">
      <c r="A54" s="12" t="s">
        <v>67</v>
      </c>
      <c r="B54" s="8">
        <v>3.01</v>
      </c>
      <c r="C54" s="19">
        <v>0</v>
      </c>
    </row>
    <row r="55" spans="1:3">
      <c r="A55" s="12" t="s">
        <v>68</v>
      </c>
      <c r="B55" s="8">
        <v>3.08</v>
      </c>
      <c r="C55" s="19">
        <v>0</v>
      </c>
    </row>
    <row r="56" spans="1:3">
      <c r="A56" s="12" t="s">
        <v>69</v>
      </c>
      <c r="B56" s="8">
        <v>3.19</v>
      </c>
      <c r="C56" s="19">
        <v>0</v>
      </c>
    </row>
    <row r="57" spans="1:3">
      <c r="A57" s="12" t="s">
        <v>70</v>
      </c>
      <c r="B57" s="8">
        <v>3.17</v>
      </c>
      <c r="C57" s="19">
        <v>0</v>
      </c>
    </row>
    <row r="58" spans="1:3">
      <c r="A58" s="12" t="s">
        <v>71</v>
      </c>
      <c r="B58" s="8">
        <v>3.23</v>
      </c>
      <c r="C58" s="19">
        <v>0</v>
      </c>
    </row>
    <row r="59" spans="1:3">
      <c r="A59" s="12" t="s">
        <v>72</v>
      </c>
      <c r="B59" s="8">
        <v>3.2</v>
      </c>
      <c r="C59" s="19">
        <v>0</v>
      </c>
    </row>
    <row r="60" spans="1:3">
      <c r="A60" s="12" t="s">
        <v>73</v>
      </c>
      <c r="B60" s="8">
        <v>3.2</v>
      </c>
      <c r="C60" s="19">
        <v>0</v>
      </c>
    </row>
    <row r="61" spans="1:3">
      <c r="A61" s="12" t="s">
        <v>74</v>
      </c>
      <c r="B61" s="8">
        <v>3.2</v>
      </c>
      <c r="C61" s="19">
        <v>0</v>
      </c>
    </row>
    <row r="62" spans="1:3">
      <c r="A62" s="12" t="s">
        <v>75</v>
      </c>
      <c r="B62" s="8">
        <v>3.2</v>
      </c>
      <c r="C62" s="19">
        <v>0</v>
      </c>
    </row>
    <row r="63" spans="1:3">
      <c r="A63" s="12" t="s">
        <v>76</v>
      </c>
      <c r="B63" s="8">
        <v>3.33</v>
      </c>
      <c r="C63" s="19">
        <v>0</v>
      </c>
    </row>
    <row r="64" spans="1:3">
      <c r="A64" s="12" t="s">
        <v>77</v>
      </c>
      <c r="B64" s="8">
        <v>3.43</v>
      </c>
      <c r="C64" s="19">
        <v>0</v>
      </c>
    </row>
    <row r="65" spans="1:4">
      <c r="A65" s="12" t="s">
        <v>78</v>
      </c>
      <c r="B65" s="8">
        <v>3.53</v>
      </c>
      <c r="C65" s="19">
        <v>0</v>
      </c>
    </row>
    <row r="66" spans="1:4">
      <c r="A66" s="12" t="s">
        <v>79</v>
      </c>
      <c r="B66" s="8">
        <v>3.7</v>
      </c>
      <c r="C66" s="19">
        <v>0</v>
      </c>
    </row>
    <row r="67" spans="1:4">
      <c r="A67" s="12" t="s">
        <v>80</v>
      </c>
      <c r="B67" s="8">
        <v>3.77</v>
      </c>
      <c r="C67" s="19">
        <v>0</v>
      </c>
    </row>
    <row r="68" spans="1:4">
      <c r="A68" s="12" t="s">
        <v>81</v>
      </c>
      <c r="B68" s="8">
        <v>3.67</v>
      </c>
      <c r="C68" s="19">
        <v>0</v>
      </c>
    </row>
    <row r="69" spans="1:4">
      <c r="A69" s="12" t="s">
        <v>82</v>
      </c>
      <c r="B69" s="8">
        <v>3.73</v>
      </c>
      <c r="C69" s="19">
        <v>0</v>
      </c>
    </row>
    <row r="70" spans="1:4">
      <c r="A70" s="12" t="s">
        <v>83</v>
      </c>
      <c r="B70" s="8">
        <v>3.74</v>
      </c>
      <c r="C70" s="19">
        <v>0</v>
      </c>
    </row>
    <row r="71" spans="1:4">
      <c r="A71" s="12" t="s">
        <v>84</v>
      </c>
      <c r="B71" s="8">
        <v>3.68</v>
      </c>
      <c r="C71" s="19">
        <v>0</v>
      </c>
    </row>
    <row r="72" spans="1:4">
      <c r="A72" s="12" t="s">
        <v>85</v>
      </c>
      <c r="B72" s="8">
        <v>3.7</v>
      </c>
      <c r="C72" s="19">
        <v>0</v>
      </c>
    </row>
    <row r="73" spans="1:4">
      <c r="A73" s="12" t="s">
        <v>86</v>
      </c>
      <c r="B73" s="8">
        <v>3.6</v>
      </c>
      <c r="C73" s="19">
        <v>0</v>
      </c>
    </row>
    <row r="74" spans="1:4">
      <c r="A74" s="12" t="s">
        <v>87</v>
      </c>
      <c r="B74" s="8">
        <v>3.53</v>
      </c>
      <c r="C74" s="19">
        <v>0</v>
      </c>
    </row>
    <row r="75" spans="1:4">
      <c r="A75" s="12" t="s">
        <v>88</v>
      </c>
      <c r="B75" s="8">
        <v>3.61</v>
      </c>
      <c r="C75" s="19">
        <v>0</v>
      </c>
    </row>
    <row r="76" spans="1:4">
      <c r="A76" s="12" t="s">
        <v>89</v>
      </c>
      <c r="B76" s="8">
        <v>3.6</v>
      </c>
      <c r="C76" s="19">
        <v>0</v>
      </c>
    </row>
    <row r="77" spans="1:4">
      <c r="A77" s="12" t="s">
        <v>90</v>
      </c>
      <c r="B77" s="8">
        <v>3.73</v>
      </c>
      <c r="C77" s="19">
        <v>0</v>
      </c>
    </row>
    <row r="78" spans="1:4">
      <c r="A78" s="12" t="s">
        <v>91</v>
      </c>
      <c r="B78" s="8">
        <v>3.7</v>
      </c>
      <c r="C78" s="19">
        <v>0</v>
      </c>
    </row>
    <row r="79" spans="1:4">
      <c r="A79" s="12" t="s">
        <v>92</v>
      </c>
      <c r="B79" s="8">
        <v>3.67</v>
      </c>
      <c r="C79" s="19">
        <v>0</v>
      </c>
    </row>
    <row r="80" spans="1:4">
      <c r="A80" s="12" t="s">
        <v>93</v>
      </c>
      <c r="B80" s="8">
        <v>3.77</v>
      </c>
      <c r="C80" s="19">
        <v>1.220159151193634E-2</v>
      </c>
      <c r="D80" s="14">
        <v>4.5999999999999999E-2</v>
      </c>
    </row>
    <row r="81" spans="1:3">
      <c r="A81" s="12" t="s">
        <v>94</v>
      </c>
      <c r="B81" s="8">
        <v>3.7</v>
      </c>
      <c r="C81" s="19">
        <v>0</v>
      </c>
    </row>
    <row r="82" spans="1:3">
      <c r="A82" s="12" t="s">
        <v>95</v>
      </c>
      <c r="B82" s="8">
        <v>3.69</v>
      </c>
      <c r="C82" s="19">
        <v>0</v>
      </c>
    </row>
    <row r="83" spans="1:3">
      <c r="A83" s="12" t="s">
        <v>96</v>
      </c>
      <c r="B83" s="8">
        <v>3.62</v>
      </c>
      <c r="C83" s="19">
        <v>0</v>
      </c>
    </row>
    <row r="84" spans="1:3">
      <c r="A84" s="12" t="s">
        <v>97</v>
      </c>
      <c r="B84" s="8">
        <v>3.65</v>
      </c>
      <c r="C84" s="19">
        <v>0</v>
      </c>
    </row>
    <row r="85" spans="1:3">
      <c r="A85" s="12" t="s">
        <v>98</v>
      </c>
      <c r="B85" s="8">
        <v>3.69</v>
      </c>
      <c r="C85" s="19">
        <v>0</v>
      </c>
    </row>
    <row r="86" spans="1:3">
      <c r="A86" s="12" t="s">
        <v>99</v>
      </c>
      <c r="B86" s="8">
        <v>3.71</v>
      </c>
      <c r="C86" s="19">
        <v>0</v>
      </c>
    </row>
    <row r="87" spans="1:3">
      <c r="A87" s="12" t="s">
        <v>100</v>
      </c>
      <c r="B87" s="8">
        <v>3.73</v>
      </c>
      <c r="C87" s="19">
        <v>0</v>
      </c>
    </row>
    <row r="88" spans="1:3">
      <c r="A88" s="12" t="s">
        <v>101</v>
      </c>
      <c r="B88" s="8">
        <v>3.72</v>
      </c>
      <c r="C88" s="19">
        <v>0</v>
      </c>
    </row>
    <row r="89" spans="1:3">
      <c r="A89" s="12" t="s">
        <v>102</v>
      </c>
      <c r="B89" s="8">
        <v>3.67</v>
      </c>
      <c r="C89" s="19">
        <v>0</v>
      </c>
    </row>
    <row r="90" spans="1:3">
      <c r="A90" s="12" t="s">
        <v>103</v>
      </c>
      <c r="B90" s="8">
        <v>3.68</v>
      </c>
      <c r="C90" s="19">
        <v>0</v>
      </c>
    </row>
    <row r="91" spans="1:3">
      <c r="A91" s="12" t="s">
        <v>104</v>
      </c>
      <c r="B91" s="8">
        <v>3.72</v>
      </c>
      <c r="C91" s="19">
        <v>0</v>
      </c>
    </row>
    <row r="92" spans="1:3">
      <c r="A92" s="12" t="s">
        <v>105</v>
      </c>
      <c r="B92" s="8">
        <v>3.73</v>
      </c>
      <c r="C92" s="19">
        <v>0</v>
      </c>
    </row>
    <row r="93" spans="1:3">
      <c r="A93" s="12" t="s">
        <v>106</v>
      </c>
      <c r="B93" s="8">
        <v>3.75</v>
      </c>
      <c r="C93" s="19">
        <v>0</v>
      </c>
    </row>
    <row r="94" spans="1:3">
      <c r="A94" s="12" t="s">
        <v>107</v>
      </c>
      <c r="B94" s="8">
        <v>3.76</v>
      </c>
      <c r="C94" s="19">
        <v>0</v>
      </c>
    </row>
    <row r="95" spans="1:3">
      <c r="A95" s="12" t="s">
        <v>108</v>
      </c>
      <c r="B95" s="8">
        <v>3.83</v>
      </c>
      <c r="C95" s="19">
        <v>0</v>
      </c>
    </row>
    <row r="96" spans="1:3">
      <c r="A96" s="12" t="s">
        <v>109</v>
      </c>
      <c r="B96" s="8">
        <v>3.8</v>
      </c>
      <c r="C96" s="19">
        <v>0</v>
      </c>
    </row>
    <row r="97" spans="1:3">
      <c r="A97" s="12" t="s">
        <v>110</v>
      </c>
      <c r="B97" s="8">
        <v>3.7</v>
      </c>
      <c r="C97" s="19">
        <v>0</v>
      </c>
    </row>
    <row r="98" spans="1:3">
      <c r="A98" s="12" t="s">
        <v>111</v>
      </c>
      <c r="B98" s="8">
        <v>3.61</v>
      </c>
      <c r="C98" s="19">
        <v>0</v>
      </c>
    </row>
    <row r="99" spans="1:3">
      <c r="A99" s="12" t="s">
        <v>112</v>
      </c>
      <c r="B99" s="8">
        <v>3.54</v>
      </c>
      <c r="C99" s="19">
        <v>0</v>
      </c>
    </row>
    <row r="100" spans="1:3">
      <c r="A100" s="12" t="s">
        <v>113</v>
      </c>
      <c r="B100" s="8">
        <v>3.49</v>
      </c>
      <c r="C100" s="19">
        <v>0</v>
      </c>
    </row>
    <row r="101" spans="1:3">
      <c r="A101" s="12" t="s">
        <v>114</v>
      </c>
      <c r="B101" s="8">
        <v>3.55</v>
      </c>
      <c r="C101" s="19">
        <v>0</v>
      </c>
    </row>
    <row r="102" spans="1:3">
      <c r="A102" s="12" t="s">
        <v>115</v>
      </c>
      <c r="B102" s="8">
        <v>3.77</v>
      </c>
      <c r="C102" s="19">
        <v>0</v>
      </c>
    </row>
    <row r="103" spans="1:3">
      <c r="A103" s="12" t="s">
        <v>116</v>
      </c>
      <c r="B103" s="8">
        <v>3.67</v>
      </c>
      <c r="C103" s="19">
        <v>0</v>
      </c>
    </row>
    <row r="104" spans="1:3">
      <c r="A104" s="12" t="s">
        <v>117</v>
      </c>
      <c r="B104" s="8">
        <v>3.7</v>
      </c>
      <c r="C104" s="19">
        <v>0</v>
      </c>
    </row>
    <row r="105" spans="1:3">
      <c r="A105" s="12" t="s">
        <v>118</v>
      </c>
      <c r="B105" s="8">
        <v>3.73</v>
      </c>
      <c r="C105" s="19">
        <v>0</v>
      </c>
    </row>
    <row r="106" spans="1:3">
      <c r="A106" s="12" t="s">
        <v>119</v>
      </c>
      <c r="B106" s="8">
        <v>3.83</v>
      </c>
      <c r="C106" s="19">
        <v>0</v>
      </c>
    </row>
    <row r="107" spans="1:3">
      <c r="A107" s="12" t="s">
        <v>120</v>
      </c>
      <c r="B107" s="8">
        <v>3.74</v>
      </c>
      <c r="C107" s="19">
        <v>0</v>
      </c>
    </row>
    <row r="108" spans="1:3">
      <c r="A108" s="12" t="s">
        <v>121</v>
      </c>
      <c r="B108" s="8">
        <v>3.78</v>
      </c>
      <c r="C108" s="19">
        <v>0</v>
      </c>
    </row>
    <row r="109" spans="1:3">
      <c r="A109" s="12" t="s">
        <v>122</v>
      </c>
      <c r="B109" s="8">
        <v>3.77</v>
      </c>
      <c r="C109" s="19">
        <v>0</v>
      </c>
    </row>
    <row r="110" spans="1:3">
      <c r="A110" s="12" t="s">
        <v>123</v>
      </c>
      <c r="B110" s="8">
        <v>3.74</v>
      </c>
      <c r="C110" s="19">
        <v>0</v>
      </c>
    </row>
    <row r="111" spans="1:3">
      <c r="A111" s="12" t="s">
        <v>124</v>
      </c>
      <c r="B111" s="8">
        <v>3.72</v>
      </c>
      <c r="C111" s="19">
        <v>0</v>
      </c>
    </row>
    <row r="112" spans="1:3">
      <c r="A112" s="12" t="s">
        <v>125</v>
      </c>
      <c r="B112" s="8">
        <v>3.68</v>
      </c>
      <c r="C112" s="19">
        <v>0</v>
      </c>
    </row>
    <row r="113" spans="1:3">
      <c r="A113" s="12" t="s">
        <v>126</v>
      </c>
      <c r="B113" s="8">
        <v>3.62</v>
      </c>
      <c r="C113" s="19">
        <v>0</v>
      </c>
    </row>
    <row r="114" spans="1:3">
      <c r="A114" s="12" t="s">
        <v>127</v>
      </c>
      <c r="B114" s="8">
        <v>3.6</v>
      </c>
      <c r="C114" s="19">
        <v>0</v>
      </c>
    </row>
    <row r="115" spans="1:3">
      <c r="A115" s="12" t="s">
        <v>128</v>
      </c>
      <c r="B115" s="8">
        <v>3.7</v>
      </c>
      <c r="C115" s="19">
        <v>0</v>
      </c>
    </row>
    <row r="116" spans="1:3">
      <c r="A116" s="12" t="s">
        <v>129</v>
      </c>
      <c r="B116" s="8">
        <v>3.63</v>
      </c>
      <c r="C116" s="19">
        <v>0</v>
      </c>
    </row>
    <row r="117" spans="1:3">
      <c r="A117" s="12" t="s">
        <v>130</v>
      </c>
      <c r="B117" s="8">
        <v>3.6</v>
      </c>
      <c r="C117" s="19">
        <v>0</v>
      </c>
    </row>
    <row r="118" spans="1:3">
      <c r="A118" s="12" t="s">
        <v>131</v>
      </c>
      <c r="B118" s="8">
        <v>3.68</v>
      </c>
      <c r="C118" s="19">
        <v>0</v>
      </c>
    </row>
    <row r="119" spans="1:3">
      <c r="A119" s="12" t="s">
        <v>132</v>
      </c>
      <c r="B119" s="8">
        <v>3.52</v>
      </c>
      <c r="C119" s="19">
        <v>0</v>
      </c>
    </row>
    <row r="120" spans="1:3">
      <c r="A120" s="12" t="s">
        <v>133</v>
      </c>
      <c r="B120" s="8">
        <v>3.44</v>
      </c>
      <c r="C120" s="19">
        <v>0</v>
      </c>
    </row>
    <row r="121" spans="1:3">
      <c r="A121" s="12" t="s">
        <v>134</v>
      </c>
      <c r="B121" s="8">
        <v>3.4</v>
      </c>
      <c r="C121" s="19">
        <v>0</v>
      </c>
    </row>
    <row r="122" spans="1:3">
      <c r="A122" s="12" t="s">
        <v>135</v>
      </c>
      <c r="B122" s="8">
        <v>3.37</v>
      </c>
      <c r="C122" s="19">
        <v>0</v>
      </c>
    </row>
    <row r="123" spans="1:3">
      <c r="A123" s="12" t="s">
        <v>136</v>
      </c>
      <c r="B123" s="8">
        <v>3.4</v>
      </c>
      <c r="C123" s="19">
        <v>0</v>
      </c>
    </row>
    <row r="124" spans="1:3">
      <c r="A124" s="12" t="s">
        <v>137</v>
      </c>
      <c r="B124" s="8">
        <v>3.38</v>
      </c>
      <c r="C124" s="19">
        <v>0</v>
      </c>
    </row>
    <row r="125" spans="1:3">
      <c r="A125" s="12" t="s">
        <v>138</v>
      </c>
      <c r="B125" s="8">
        <v>3.36</v>
      </c>
      <c r="C125" s="19">
        <v>0</v>
      </c>
    </row>
    <row r="126" spans="1:3">
      <c r="A126" s="12" t="s">
        <v>139</v>
      </c>
      <c r="B126" s="8">
        <v>3.34</v>
      </c>
      <c r="C126" s="19">
        <v>0</v>
      </c>
    </row>
    <row r="127" spans="1:3">
      <c r="A127" s="12" t="s">
        <v>140</v>
      </c>
      <c r="B127" s="8">
        <v>3.41</v>
      </c>
      <c r="C127" s="19">
        <v>0</v>
      </c>
    </row>
    <row r="128" spans="1:3">
      <c r="A128" s="12" t="s">
        <v>141</v>
      </c>
      <c r="B128" s="8">
        <v>3.41</v>
      </c>
      <c r="C128" s="19">
        <v>0</v>
      </c>
    </row>
    <row r="129" spans="1:3">
      <c r="A129" s="12" t="s">
        <v>142</v>
      </c>
      <c r="B129" s="8">
        <v>3.4</v>
      </c>
      <c r="C129" s="19">
        <v>0</v>
      </c>
    </row>
    <row r="130" spans="1:3">
      <c r="A130" s="12" t="s">
        <v>143</v>
      </c>
      <c r="B130" s="8">
        <v>3.4</v>
      </c>
      <c r="C130" s="19">
        <v>0</v>
      </c>
    </row>
    <row r="131" spans="1:3">
      <c r="A131" s="12" t="s">
        <v>144</v>
      </c>
      <c r="B131" s="8">
        <v>3.4</v>
      </c>
      <c r="C131" s="19">
        <v>0</v>
      </c>
    </row>
    <row r="132" spans="1:3">
      <c r="A132" s="12" t="s">
        <v>145</v>
      </c>
      <c r="B132" s="8">
        <v>3.46</v>
      </c>
      <c r="C132" s="19">
        <v>0</v>
      </c>
    </row>
    <row r="133" spans="1:3">
      <c r="A133" s="12" t="s">
        <v>146</v>
      </c>
      <c r="B133" s="8">
        <v>3.46</v>
      </c>
      <c r="C133" s="19">
        <v>0</v>
      </c>
    </row>
    <row r="134" spans="1:3">
      <c r="A134" s="12" t="s">
        <v>147</v>
      </c>
      <c r="B134" s="8">
        <v>3.4</v>
      </c>
      <c r="C134" s="19">
        <v>0</v>
      </c>
    </row>
    <row r="135" spans="1:3">
      <c r="A135" s="12" t="s">
        <v>148</v>
      </c>
      <c r="B135" s="8">
        <v>3.4</v>
      </c>
      <c r="C135" s="19">
        <v>0</v>
      </c>
    </row>
    <row r="136" spans="1:3">
      <c r="A136" s="12" t="s">
        <v>149</v>
      </c>
      <c r="B136" s="8">
        <v>3.41</v>
      </c>
      <c r="C136" s="19">
        <v>0</v>
      </c>
    </row>
    <row r="137" spans="1:3">
      <c r="A137" s="12" t="s">
        <v>150</v>
      </c>
      <c r="B137" s="8">
        <v>3.38</v>
      </c>
      <c r="C137" s="19">
        <v>0</v>
      </c>
    </row>
    <row r="138" spans="1:3">
      <c r="A138" s="12" t="s">
        <v>151</v>
      </c>
      <c r="B138" s="8">
        <v>3.4</v>
      </c>
      <c r="C138" s="19">
        <v>0</v>
      </c>
    </row>
    <row r="139" spans="1:3">
      <c r="A139" s="12" t="s">
        <v>152</v>
      </c>
      <c r="B139" s="8">
        <v>3.37</v>
      </c>
      <c r="C139" s="19">
        <v>0</v>
      </c>
    </row>
    <row r="140" spans="1:3">
      <c r="A140" s="12" t="s">
        <v>153</v>
      </c>
      <c r="B140" s="8">
        <v>3.42</v>
      </c>
      <c r="C140" s="19">
        <v>0</v>
      </c>
    </row>
    <row r="141" spans="1:3">
      <c r="A141" s="12" t="s">
        <v>154</v>
      </c>
      <c r="B141" s="8">
        <v>3.42</v>
      </c>
      <c r="C141" s="19">
        <v>0</v>
      </c>
    </row>
    <row r="142" spans="1:3">
      <c r="A142" s="12" t="s">
        <v>155</v>
      </c>
      <c r="B142" s="8">
        <v>3.49</v>
      </c>
      <c r="C142" s="19">
        <v>0</v>
      </c>
    </row>
    <row r="143" spans="1:3">
      <c r="A143" s="12" t="s">
        <v>156</v>
      </c>
      <c r="B143" s="8">
        <v>3.48</v>
      </c>
      <c r="C143" s="19">
        <v>0</v>
      </c>
    </row>
    <row r="144" spans="1:3">
      <c r="A144" s="12" t="s">
        <v>157</v>
      </c>
      <c r="B144" s="8">
        <v>3.51</v>
      </c>
      <c r="C144" s="19">
        <v>0</v>
      </c>
    </row>
    <row r="145" spans="1:3">
      <c r="A145" s="12" t="s">
        <v>158</v>
      </c>
      <c r="B145" s="8">
        <v>3.58</v>
      </c>
      <c r="C145" s="19">
        <v>0</v>
      </c>
    </row>
    <row r="146" spans="1:3">
      <c r="A146" s="12" t="s">
        <v>159</v>
      </c>
      <c r="B146" s="8">
        <v>3.56</v>
      </c>
      <c r="C146" s="19">
        <v>0</v>
      </c>
    </row>
    <row r="147" spans="1:3">
      <c r="A147" s="12" t="s">
        <v>160</v>
      </c>
      <c r="B147" s="8">
        <v>3.53</v>
      </c>
      <c r="C147" s="19">
        <v>0</v>
      </c>
    </row>
    <row r="148" spans="1:3">
      <c r="A148" s="12" t="s">
        <v>161</v>
      </c>
      <c r="B148" s="8">
        <v>3.54</v>
      </c>
      <c r="C148" s="19">
        <v>0</v>
      </c>
    </row>
    <row r="149" spans="1:3">
      <c r="A149" s="12" t="s">
        <v>162</v>
      </c>
      <c r="B149" s="8">
        <v>3.37</v>
      </c>
      <c r="C149" s="19">
        <v>0</v>
      </c>
    </row>
    <row r="150" spans="1:3">
      <c r="A150" s="12" t="s">
        <v>163</v>
      </c>
      <c r="B150" s="8">
        <v>3.29</v>
      </c>
      <c r="C150" s="19">
        <v>0</v>
      </c>
    </row>
    <row r="151" spans="1:3">
      <c r="A151" s="12" t="s">
        <v>164</v>
      </c>
      <c r="B151" s="8">
        <v>3.36</v>
      </c>
      <c r="C151" s="19">
        <v>0</v>
      </c>
    </row>
    <row r="152" spans="1:3">
      <c r="A152" s="12" t="s">
        <v>165</v>
      </c>
      <c r="B152" s="8">
        <v>3.36</v>
      </c>
      <c r="C152" s="19">
        <v>0</v>
      </c>
    </row>
    <row r="153" spans="1:3">
      <c r="A153" s="12" t="s">
        <v>166</v>
      </c>
      <c r="B153" s="8">
        <v>3.31</v>
      </c>
      <c r="C153" s="19">
        <v>0</v>
      </c>
    </row>
    <row r="154" spans="1:3">
      <c r="A154" s="12" t="s">
        <v>167</v>
      </c>
      <c r="B154" s="8">
        <v>3.38</v>
      </c>
      <c r="C154" s="19">
        <v>0</v>
      </c>
    </row>
    <row r="155" spans="1:3">
      <c r="A155" s="12" t="s">
        <v>168</v>
      </c>
      <c r="B155" s="8">
        <v>3.45</v>
      </c>
      <c r="C155" s="19">
        <v>0</v>
      </c>
    </row>
    <row r="156" spans="1:3">
      <c r="A156" s="12" t="s">
        <v>169</v>
      </c>
      <c r="B156" s="8">
        <v>3.47</v>
      </c>
      <c r="C156" s="19">
        <v>0</v>
      </c>
    </row>
    <row r="157" spans="1:3">
      <c r="A157" s="12" t="s">
        <v>170</v>
      </c>
      <c r="B157" s="8">
        <v>3.5</v>
      </c>
      <c r="C157" s="19">
        <v>0</v>
      </c>
    </row>
    <row r="158" spans="1:3">
      <c r="A158" s="12" t="s">
        <v>171</v>
      </c>
      <c r="B158" s="8">
        <v>3.44</v>
      </c>
      <c r="C158" s="19">
        <v>0</v>
      </c>
    </row>
    <row r="159" spans="1:3">
      <c r="A159" s="12" t="s">
        <v>172</v>
      </c>
      <c r="B159" s="8">
        <v>3.43</v>
      </c>
      <c r="C159" s="19">
        <v>0</v>
      </c>
    </row>
    <row r="160" spans="1:3">
      <c r="A160" s="12" t="s">
        <v>173</v>
      </c>
      <c r="B160" s="8">
        <v>3.43</v>
      </c>
      <c r="C160" s="19">
        <v>0</v>
      </c>
    </row>
    <row r="161" spans="1:3">
      <c r="A161" s="12" t="s">
        <v>174</v>
      </c>
      <c r="B161" s="8">
        <v>3.57</v>
      </c>
      <c r="C161" s="19">
        <v>0</v>
      </c>
    </row>
    <row r="162" spans="1:3">
      <c r="A162" s="12" t="s">
        <v>175</v>
      </c>
      <c r="B162" s="8">
        <v>3.65</v>
      </c>
      <c r="C162" s="19">
        <v>0</v>
      </c>
    </row>
    <row r="163" spans="1:3">
      <c r="A163" s="12" t="s">
        <v>176</v>
      </c>
      <c r="B163" s="8">
        <v>3.69</v>
      </c>
      <c r="C163" s="19">
        <v>0</v>
      </c>
    </row>
    <row r="164" spans="1:3">
      <c r="A164" s="12" t="s">
        <v>177</v>
      </c>
      <c r="B164" s="8">
        <v>3.67</v>
      </c>
      <c r="C164" s="19">
        <v>0</v>
      </c>
    </row>
    <row r="165" spans="1:3">
      <c r="A165" s="12" t="s">
        <v>178</v>
      </c>
      <c r="B165" s="8">
        <v>3.66</v>
      </c>
      <c r="C165" s="19">
        <v>0</v>
      </c>
    </row>
    <row r="166" spans="1:3">
      <c r="A166" s="12" t="s">
        <v>179</v>
      </c>
      <c r="B166" s="8">
        <v>3.71</v>
      </c>
      <c r="C166" s="19">
        <v>0</v>
      </c>
    </row>
    <row r="167" spans="1:3">
      <c r="A167" s="12" t="s">
        <v>180</v>
      </c>
      <c r="B167" s="8">
        <v>3.74</v>
      </c>
      <c r="C167" s="19">
        <v>0</v>
      </c>
    </row>
    <row r="168" spans="1:3">
      <c r="A168" s="12" t="s">
        <v>181</v>
      </c>
      <c r="B168" s="8">
        <v>3.67</v>
      </c>
      <c r="C168" s="19">
        <v>0</v>
      </c>
    </row>
    <row r="169" spans="1:3">
      <c r="A169" s="12" t="s">
        <v>182</v>
      </c>
      <c r="B169" s="8">
        <v>3.65</v>
      </c>
      <c r="C169" s="19">
        <v>0</v>
      </c>
    </row>
    <row r="170" spans="1:3">
      <c r="A170" s="12" t="s">
        <v>183</v>
      </c>
      <c r="B170" s="8">
        <v>3.61</v>
      </c>
      <c r="C170" s="19">
        <v>0</v>
      </c>
    </row>
    <row r="171" spans="1:3">
      <c r="A171" s="12" t="s">
        <v>184</v>
      </c>
      <c r="B171" s="8">
        <v>3.64</v>
      </c>
      <c r="C171" s="19">
        <v>0</v>
      </c>
    </row>
    <row r="172" spans="1:3">
      <c r="A172" s="12" t="s">
        <v>185</v>
      </c>
      <c r="B172" s="8">
        <v>3.52</v>
      </c>
      <c r="C172" s="19">
        <v>0</v>
      </c>
    </row>
    <row r="173" spans="1:3">
      <c r="A173" s="12" t="s">
        <v>186</v>
      </c>
      <c r="B173" s="8">
        <v>3.63</v>
      </c>
      <c r="C173" s="19">
        <v>0</v>
      </c>
    </row>
    <row r="174" spans="1:3">
      <c r="A174" s="12" t="s">
        <v>187</v>
      </c>
      <c r="B174" s="8">
        <v>3.52</v>
      </c>
      <c r="C174" s="19">
        <v>0</v>
      </c>
    </row>
    <row r="175" spans="1:3">
      <c r="A175" s="12" t="s">
        <v>188</v>
      </c>
      <c r="B175" s="8">
        <v>3.51</v>
      </c>
      <c r="C175" s="19">
        <v>0</v>
      </c>
    </row>
    <row r="176" spans="1:3">
      <c r="A176" s="12" t="s">
        <v>189</v>
      </c>
      <c r="B176" s="8">
        <v>3.64</v>
      </c>
      <c r="C176" s="19">
        <v>0</v>
      </c>
    </row>
    <row r="177" spans="1:3">
      <c r="A177" s="12" t="s">
        <v>190</v>
      </c>
      <c r="B177" s="8">
        <v>3.59</v>
      </c>
      <c r="C177" s="19">
        <v>0</v>
      </c>
    </row>
    <row r="178" spans="1:3">
      <c r="A178" s="12" t="s">
        <v>191</v>
      </c>
      <c r="B178" s="8">
        <v>3.61</v>
      </c>
      <c r="C178" s="19">
        <v>0</v>
      </c>
    </row>
    <row r="179" spans="1:3">
      <c r="A179" s="12" t="s">
        <v>192</v>
      </c>
      <c r="B179" s="8">
        <v>3.59</v>
      </c>
      <c r="C179" s="19">
        <v>0</v>
      </c>
    </row>
    <row r="180" spans="1:3">
      <c r="A180" s="12" t="s">
        <v>193</v>
      </c>
      <c r="B180" s="8">
        <v>3.58</v>
      </c>
      <c r="C180" s="19">
        <v>0</v>
      </c>
    </row>
    <row r="181" spans="1:3">
      <c r="A181" s="12" t="s">
        <v>194</v>
      </c>
      <c r="B181" s="8">
        <v>3.53</v>
      </c>
      <c r="C181" s="19">
        <v>0</v>
      </c>
    </row>
    <row r="182" spans="1:3">
      <c r="A182" s="12" t="s">
        <v>195</v>
      </c>
      <c r="B182" s="8">
        <v>3.53</v>
      </c>
      <c r="C182" s="19">
        <v>0</v>
      </c>
    </row>
    <row r="183" spans="1:3">
      <c r="A183" s="12" t="s">
        <v>196</v>
      </c>
      <c r="B183" s="8">
        <v>3.6</v>
      </c>
      <c r="C183" s="19">
        <v>0</v>
      </c>
    </row>
    <row r="184" spans="1:3">
      <c r="A184" s="12" t="s">
        <v>197</v>
      </c>
      <c r="B184" s="8">
        <v>3.61</v>
      </c>
      <c r="C184" s="19">
        <v>0</v>
      </c>
    </row>
    <row r="185" spans="1:3">
      <c r="A185" s="12" t="s">
        <v>198</v>
      </c>
      <c r="B185" s="8">
        <v>3.61</v>
      </c>
      <c r="C185" s="19">
        <v>0</v>
      </c>
    </row>
    <row r="186" spans="1:3">
      <c r="A186" s="12" t="s">
        <v>199</v>
      </c>
      <c r="B186" s="8">
        <v>3.62</v>
      </c>
      <c r="C186" s="19">
        <v>0</v>
      </c>
    </row>
    <row r="187" spans="1:3">
      <c r="A187" s="12" t="s">
        <v>200</v>
      </c>
      <c r="B187" s="8">
        <v>3.53</v>
      </c>
      <c r="C187" s="19">
        <v>0</v>
      </c>
    </row>
    <row r="188" spans="1:3">
      <c r="A188" s="12" t="s">
        <v>201</v>
      </c>
      <c r="B188" s="8">
        <v>3.49</v>
      </c>
      <c r="C188" s="19">
        <v>0</v>
      </c>
    </row>
    <row r="189" spans="1:3">
      <c r="A189" s="12" t="s">
        <v>202</v>
      </c>
      <c r="B189" s="8">
        <v>3.51</v>
      </c>
      <c r="C189" s="19">
        <v>0</v>
      </c>
    </row>
    <row r="190" spans="1:3">
      <c r="A190" s="12" t="s">
        <v>203</v>
      </c>
      <c r="B190" s="8">
        <v>3.51</v>
      </c>
      <c r="C190" s="19">
        <v>0</v>
      </c>
    </row>
    <row r="191" spans="1:3">
      <c r="A191" s="12" t="s">
        <v>204</v>
      </c>
      <c r="B191" s="8">
        <v>3.47</v>
      </c>
      <c r="C191" s="19">
        <v>0</v>
      </c>
    </row>
    <row r="192" spans="1:3">
      <c r="A192" s="12" t="s">
        <v>205</v>
      </c>
      <c r="B192" s="8">
        <v>3.37</v>
      </c>
      <c r="C192" s="19">
        <v>0</v>
      </c>
    </row>
    <row r="193" spans="1:4">
      <c r="A193" s="12" t="s">
        <v>206</v>
      </c>
      <c r="B193" s="8">
        <v>3.22</v>
      </c>
      <c r="C193" s="19">
        <v>0</v>
      </c>
    </row>
    <row r="194" spans="1:4">
      <c r="A194" s="12" t="s">
        <v>207</v>
      </c>
      <c r="B194" s="8">
        <v>3.21</v>
      </c>
      <c r="C194" s="19">
        <v>0</v>
      </c>
    </row>
    <row r="195" spans="1:4">
      <c r="A195" s="12" t="s">
        <v>208</v>
      </c>
      <c r="B195" s="8">
        <v>3.12</v>
      </c>
      <c r="C195" s="19">
        <v>0</v>
      </c>
    </row>
    <row r="196" spans="1:4">
      <c r="A196" s="12" t="s">
        <v>209</v>
      </c>
      <c r="B196" s="8">
        <v>2.97</v>
      </c>
      <c r="C196" s="19">
        <v>1.8181818181818198E-2</v>
      </c>
      <c r="D196" s="14">
        <v>5.3999999999999999E-2</v>
      </c>
    </row>
    <row r="197" spans="1:4">
      <c r="A197" s="12" t="s">
        <v>210</v>
      </c>
      <c r="B197" s="8">
        <v>2.81</v>
      </c>
      <c r="C197" s="19">
        <v>0</v>
      </c>
    </row>
    <row r="198" spans="1:4">
      <c r="A198" s="12" t="s">
        <v>211</v>
      </c>
      <c r="B198" s="8">
        <v>2.59</v>
      </c>
      <c r="C198" s="19">
        <v>0</v>
      </c>
    </row>
    <row r="199" spans="1:4">
      <c r="A199" s="12" t="s">
        <v>212</v>
      </c>
      <c r="B199" s="8">
        <v>2.65</v>
      </c>
      <c r="C199" s="19">
        <v>0</v>
      </c>
    </row>
    <row r="200" spans="1:4">
      <c r="A200" s="12" t="s">
        <v>213</v>
      </c>
      <c r="B200" s="8">
        <v>2.52</v>
      </c>
      <c r="C200" s="19">
        <v>0</v>
      </c>
    </row>
    <row r="201" spans="1:4">
      <c r="A201" s="12" t="s">
        <v>214</v>
      </c>
      <c r="B201" s="8">
        <v>2.76</v>
      </c>
      <c r="C201" s="19">
        <v>0</v>
      </c>
    </row>
    <row r="202" spans="1:4">
      <c r="A202" s="12" t="s">
        <v>215</v>
      </c>
      <c r="B202" s="8">
        <v>2.74</v>
      </c>
      <c r="C202" s="19">
        <v>0</v>
      </c>
    </row>
    <row r="203" spans="1:4">
      <c r="A203" s="12" t="s">
        <v>216</v>
      </c>
      <c r="B203" s="8">
        <v>2.8</v>
      </c>
      <c r="C203" s="19">
        <v>0</v>
      </c>
    </row>
    <row r="204" spans="1:4">
      <c r="A204" s="12" t="s">
        <v>217</v>
      </c>
      <c r="B204" s="8">
        <v>2.79</v>
      </c>
      <c r="C204" s="19">
        <v>0</v>
      </c>
    </row>
    <row r="205" spans="1:4">
      <c r="A205" s="12" t="s">
        <v>218</v>
      </c>
      <c r="B205" s="8">
        <v>2.67</v>
      </c>
      <c r="C205" s="19">
        <v>0</v>
      </c>
    </row>
    <row r="206" spans="1:4">
      <c r="A206" s="12" t="s">
        <v>219</v>
      </c>
      <c r="B206" s="8">
        <v>2.69</v>
      </c>
      <c r="C206" s="19">
        <v>0</v>
      </c>
    </row>
    <row r="207" spans="1:4">
      <c r="A207" s="12" t="s">
        <v>220</v>
      </c>
      <c r="B207" s="8">
        <v>2.61</v>
      </c>
      <c r="C207" s="19">
        <v>0</v>
      </c>
    </row>
    <row r="208" spans="1:4">
      <c r="A208" s="12" t="s">
        <v>221</v>
      </c>
      <c r="B208" s="8">
        <v>2.65</v>
      </c>
      <c r="C208" s="19">
        <v>0</v>
      </c>
    </row>
    <row r="209" spans="1:3">
      <c r="A209" s="12" t="s">
        <v>222</v>
      </c>
      <c r="B209" s="8">
        <v>2.71</v>
      </c>
      <c r="C209" s="19">
        <v>0</v>
      </c>
    </row>
    <row r="210" spans="1:3">
      <c r="A210" s="12" t="s">
        <v>223</v>
      </c>
      <c r="B210" s="8">
        <v>2.71</v>
      </c>
      <c r="C210" s="19">
        <v>0</v>
      </c>
    </row>
    <row r="211" spans="1:3">
      <c r="A211" s="12" t="s">
        <v>224</v>
      </c>
      <c r="B211" s="8">
        <v>2.78</v>
      </c>
      <c r="C211" s="19">
        <v>0</v>
      </c>
    </row>
    <row r="212" spans="1:3">
      <c r="A212" s="12" t="s">
        <v>225</v>
      </c>
      <c r="B212" s="8">
        <v>2.75</v>
      </c>
      <c r="C212" s="19">
        <v>0</v>
      </c>
    </row>
    <row r="213" spans="1:3">
      <c r="A213" s="12" t="s">
        <v>226</v>
      </c>
      <c r="B213" s="8">
        <v>2.74</v>
      </c>
      <c r="C213" s="19">
        <v>0</v>
      </c>
    </row>
    <row r="214" spans="1:3">
      <c r="A214" s="12" t="s">
        <v>227</v>
      </c>
      <c r="B214" s="8">
        <v>2.83</v>
      </c>
      <c r="C214" s="19">
        <v>0</v>
      </c>
    </row>
    <row r="215" spans="1:3">
      <c r="A215" s="12" t="s">
        <v>228</v>
      </c>
      <c r="B215" s="8">
        <v>2.8</v>
      </c>
      <c r="C215" s="19">
        <v>0</v>
      </c>
    </row>
    <row r="216" spans="1:3">
      <c r="A216" s="12" t="s">
        <v>229</v>
      </c>
      <c r="B216" s="8">
        <v>2.84</v>
      </c>
      <c r="C216" s="19">
        <v>0</v>
      </c>
    </row>
    <row r="217" spans="1:3">
      <c r="A217" s="12" t="s">
        <v>230</v>
      </c>
      <c r="B217" s="8">
        <v>2.85</v>
      </c>
      <c r="C217" s="19">
        <v>0</v>
      </c>
    </row>
    <row r="218" spans="1:3">
      <c r="A218" s="12" t="s">
        <v>231</v>
      </c>
      <c r="B218" s="8">
        <v>2.82</v>
      </c>
      <c r="C218" s="19">
        <v>0</v>
      </c>
    </row>
    <row r="219" spans="1:3">
      <c r="A219" s="12" t="s">
        <v>232</v>
      </c>
      <c r="B219" s="8">
        <v>2.79</v>
      </c>
      <c r="C219" s="19">
        <v>0</v>
      </c>
    </row>
    <row r="220" spans="1:3">
      <c r="A220" s="12" t="s">
        <v>233</v>
      </c>
      <c r="B220" s="8">
        <v>2.87</v>
      </c>
      <c r="C220" s="19">
        <v>0</v>
      </c>
    </row>
    <row r="221" spans="1:3">
      <c r="A221" s="12" t="s">
        <v>234</v>
      </c>
      <c r="B221" s="8">
        <v>3.03</v>
      </c>
      <c r="C221" s="19">
        <v>0</v>
      </c>
    </row>
    <row r="222" spans="1:3">
      <c r="A222" s="12" t="s">
        <v>235</v>
      </c>
      <c r="B222" s="8">
        <v>2.99</v>
      </c>
      <c r="C222" s="19">
        <v>0</v>
      </c>
    </row>
    <row r="223" spans="1:3">
      <c r="A223" s="12" t="s">
        <v>236</v>
      </c>
      <c r="B223" s="8">
        <v>2.98</v>
      </c>
      <c r="C223" s="19">
        <v>0</v>
      </c>
    </row>
    <row r="224" spans="1:3">
      <c r="A224" s="12" t="s">
        <v>237</v>
      </c>
      <c r="B224" s="8">
        <v>2.96</v>
      </c>
      <c r="C224" s="19">
        <v>0</v>
      </c>
    </row>
    <row r="225" spans="1:3">
      <c r="A225" s="12" t="s">
        <v>238</v>
      </c>
      <c r="B225" s="8">
        <v>2.94</v>
      </c>
      <c r="C225" s="19">
        <v>0</v>
      </c>
    </row>
    <row r="226" spans="1:3">
      <c r="A226" s="12" t="s">
        <v>239</v>
      </c>
      <c r="B226" s="8">
        <v>3.06</v>
      </c>
      <c r="C226" s="19">
        <v>0</v>
      </c>
    </row>
    <row r="227" spans="1:3">
      <c r="A227" s="12" t="s">
        <v>240</v>
      </c>
      <c r="B227" s="8">
        <v>3.08</v>
      </c>
      <c r="C227" s="19">
        <v>0</v>
      </c>
    </row>
    <row r="228" spans="1:3">
      <c r="A228" s="12" t="s">
        <v>241</v>
      </c>
      <c r="B228" s="8">
        <v>3.09</v>
      </c>
      <c r="C228" s="19">
        <v>0</v>
      </c>
    </row>
    <row r="229" spans="1:3">
      <c r="A229" s="12" t="s">
        <v>242</v>
      </c>
      <c r="B229" s="8">
        <v>3.03</v>
      </c>
      <c r="C229" s="19">
        <v>0</v>
      </c>
    </row>
    <row r="230" spans="1:3">
      <c r="A230" s="12" t="s">
        <v>243</v>
      </c>
      <c r="B230" s="8">
        <v>3.05</v>
      </c>
      <c r="C230" s="19">
        <v>0</v>
      </c>
    </row>
    <row r="231" spans="1:3">
      <c r="A231" s="12" t="s">
        <v>244</v>
      </c>
      <c r="B231" s="8">
        <v>3.09</v>
      </c>
      <c r="C231" s="19">
        <v>0</v>
      </c>
    </row>
    <row r="232" spans="1:3">
      <c r="A232" s="12" t="s">
        <v>245</v>
      </c>
      <c r="B232" s="8">
        <v>3.07</v>
      </c>
      <c r="C232" s="19">
        <v>0</v>
      </c>
    </row>
    <row r="233" spans="1:3">
      <c r="A233" s="12" t="s">
        <v>246</v>
      </c>
      <c r="B233" s="8">
        <v>3.04</v>
      </c>
      <c r="C233" s="19">
        <v>0</v>
      </c>
    </row>
    <row r="234" spans="1:3">
      <c r="A234" s="12" t="s">
        <v>247</v>
      </c>
      <c r="B234" s="8">
        <v>3.05</v>
      </c>
      <c r="C234" s="19">
        <v>0</v>
      </c>
    </row>
    <row r="235" spans="1:3">
      <c r="A235" s="12" t="s">
        <v>248</v>
      </c>
      <c r="B235" s="8">
        <v>2.94</v>
      </c>
      <c r="C235" s="19">
        <v>0</v>
      </c>
    </row>
    <row r="236" spans="1:3">
      <c r="A236" s="12" t="s">
        <v>249</v>
      </c>
      <c r="B236" s="8">
        <v>2.95</v>
      </c>
      <c r="C236" s="19">
        <v>0</v>
      </c>
    </row>
    <row r="237" spans="1:3">
      <c r="A237" s="12" t="s">
        <v>250</v>
      </c>
      <c r="B237" s="8">
        <v>3.02</v>
      </c>
      <c r="C237" s="19">
        <v>0</v>
      </c>
    </row>
    <row r="238" spans="1:3">
      <c r="A238" s="12" t="s">
        <v>251</v>
      </c>
      <c r="B238" s="8">
        <v>3.02</v>
      </c>
      <c r="C238" s="19">
        <v>0</v>
      </c>
    </row>
    <row r="239" spans="1:3">
      <c r="A239" s="12" t="s">
        <v>252</v>
      </c>
      <c r="B239" s="8">
        <v>3.02</v>
      </c>
      <c r="C239" s="19">
        <v>0</v>
      </c>
    </row>
    <row r="240" spans="1:3">
      <c r="A240" s="12" t="s">
        <v>253</v>
      </c>
      <c r="B240" s="8">
        <v>3.04</v>
      </c>
      <c r="C240" s="19">
        <v>0</v>
      </c>
    </row>
    <row r="241" spans="1:3">
      <c r="A241" s="12" t="s">
        <v>254</v>
      </c>
      <c r="B241" s="8">
        <v>3.06</v>
      </c>
      <c r="C241" s="19">
        <v>0</v>
      </c>
    </row>
    <row r="242" spans="1:3">
      <c r="A242" s="12" t="s">
        <v>255</v>
      </c>
      <c r="B242" s="8">
        <v>3.01</v>
      </c>
      <c r="C242" s="19">
        <v>0</v>
      </c>
    </row>
    <row r="243" spans="1:3">
      <c r="A243" s="12" t="s">
        <v>256</v>
      </c>
      <c r="B243" s="8">
        <v>2.94</v>
      </c>
      <c r="C243" s="19">
        <v>0</v>
      </c>
    </row>
    <row r="244" spans="1:3">
      <c r="A244" s="12" t="s">
        <v>257</v>
      </c>
      <c r="B244" s="8">
        <v>3</v>
      </c>
      <c r="C244" s="19">
        <v>0</v>
      </c>
    </row>
    <row r="245" spans="1:3">
      <c r="A245" s="12" t="s">
        <v>258</v>
      </c>
      <c r="B245" s="8">
        <v>3.02</v>
      </c>
      <c r="C245" s="19">
        <v>0</v>
      </c>
    </row>
    <row r="246" spans="1:3">
      <c r="A246" s="12" t="s">
        <v>259</v>
      </c>
      <c r="B246" s="8">
        <v>2.98</v>
      </c>
      <c r="C246" s="19">
        <v>0</v>
      </c>
    </row>
    <row r="247" spans="1:3">
      <c r="A247" s="12" t="s">
        <v>260</v>
      </c>
      <c r="B247" s="8">
        <v>2.9</v>
      </c>
      <c r="C247" s="19">
        <v>0</v>
      </c>
    </row>
    <row r="248" spans="1:3">
      <c r="A248" s="12" t="s">
        <v>261</v>
      </c>
      <c r="B248" s="8">
        <v>2.88</v>
      </c>
      <c r="C248" s="19">
        <v>0</v>
      </c>
    </row>
    <row r="249" spans="1:3">
      <c r="A249" s="12" t="s">
        <v>262</v>
      </c>
      <c r="B249" s="8">
        <v>2.85</v>
      </c>
      <c r="C249" s="19">
        <v>0</v>
      </c>
    </row>
    <row r="250" spans="1:3">
      <c r="A250" s="12" t="s">
        <v>263</v>
      </c>
      <c r="B250" s="8">
        <v>2.92</v>
      </c>
      <c r="C250" s="19">
        <v>0</v>
      </c>
    </row>
    <row r="251" spans="1:3">
      <c r="A251" s="12" t="s">
        <v>264</v>
      </c>
      <c r="B251" s="8">
        <v>2.84</v>
      </c>
      <c r="C251" s="19">
        <v>0</v>
      </c>
    </row>
    <row r="252" spans="1:3">
      <c r="A252" s="12" t="s">
        <v>265</v>
      </c>
      <c r="B252" s="8">
        <v>2.9</v>
      </c>
      <c r="C252" s="19">
        <v>0</v>
      </c>
    </row>
    <row r="253" spans="1:3">
      <c r="A253" s="12" t="s">
        <v>266</v>
      </c>
      <c r="B253" s="8">
        <v>2.94</v>
      </c>
      <c r="C253" s="19">
        <v>0</v>
      </c>
    </row>
    <row r="254" spans="1:3">
      <c r="A254" s="12" t="s">
        <v>267</v>
      </c>
      <c r="B254" s="8">
        <v>2.91</v>
      </c>
      <c r="C254" s="19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29FF-92DE-40E4-90A0-95EF88079094}">
  <dimension ref="A1:C254"/>
  <sheetViews>
    <sheetView workbookViewId="0">
      <selection activeCell="V33" sqref="V33"/>
    </sheetView>
  </sheetViews>
  <sheetFormatPr defaultRowHeight="12.75"/>
  <cols>
    <col min="1" max="1" width="14.28515625" style="12" customWidth="1"/>
    <col min="2" max="2" width="10.7109375" style="9" customWidth="1"/>
    <col min="3" max="3" width="9.140625" style="18"/>
  </cols>
  <sheetData>
    <row r="1" spans="1:3" ht="15">
      <c r="A1" s="11" t="s">
        <v>2</v>
      </c>
      <c r="B1" s="7" t="s">
        <v>6</v>
      </c>
      <c r="C1" s="18" t="s">
        <v>12</v>
      </c>
    </row>
    <row r="2" spans="1:3">
      <c r="A2" s="12" t="s">
        <v>15</v>
      </c>
      <c r="B2" s="8">
        <v>3.71</v>
      </c>
      <c r="C2" s="18">
        <v>0.48944591029023748</v>
      </c>
    </row>
    <row r="3" spans="1:3">
      <c r="A3" s="12" t="s">
        <v>16</v>
      </c>
      <c r="B3" s="8">
        <v>3.73</v>
      </c>
      <c r="C3" s="18">
        <v>0.4920844327176781</v>
      </c>
    </row>
    <row r="4" spans="1:3">
      <c r="A4" s="12" t="s">
        <v>17</v>
      </c>
      <c r="B4" s="8">
        <v>3.78</v>
      </c>
      <c r="C4" s="18">
        <v>0.49868073878627966</v>
      </c>
    </row>
    <row r="5" spans="1:3">
      <c r="A5" s="12" t="s">
        <v>18</v>
      </c>
      <c r="B5" s="8">
        <v>3.85</v>
      </c>
      <c r="C5" s="18">
        <v>0.5079155672823219</v>
      </c>
    </row>
    <row r="6" spans="1:3">
      <c r="A6" s="12" t="s">
        <v>19</v>
      </c>
      <c r="B6" s="8">
        <v>3.82</v>
      </c>
      <c r="C6" s="18">
        <v>0.50395778364116095</v>
      </c>
    </row>
    <row r="7" spans="1:3">
      <c r="A7" s="12" t="s">
        <v>20</v>
      </c>
      <c r="B7" s="8">
        <v>3.7</v>
      </c>
      <c r="C7" s="18">
        <v>0.48812664907651715</v>
      </c>
    </row>
    <row r="8" spans="1:3">
      <c r="A8" s="12" t="s">
        <v>21</v>
      </c>
      <c r="B8" s="8">
        <v>3.72</v>
      </c>
      <c r="C8" s="18">
        <v>0.49076517150395782</v>
      </c>
    </row>
    <row r="9" spans="1:3">
      <c r="A9" s="12" t="s">
        <v>22</v>
      </c>
      <c r="B9" s="8">
        <v>3.64</v>
      </c>
      <c r="C9" s="18">
        <v>0.48021108179419525</v>
      </c>
    </row>
    <row r="10" spans="1:3">
      <c r="A10" s="12" t="s">
        <v>23</v>
      </c>
      <c r="B10" s="8">
        <v>3.62</v>
      </c>
      <c r="C10" s="18">
        <v>0.47757255936675463</v>
      </c>
    </row>
    <row r="11" spans="1:3">
      <c r="A11" s="12" t="s">
        <v>24</v>
      </c>
      <c r="B11" s="8">
        <v>3.62</v>
      </c>
      <c r="C11" s="18">
        <v>0.47757255936675463</v>
      </c>
    </row>
    <row r="12" spans="1:3">
      <c r="A12" s="12" t="s">
        <v>25</v>
      </c>
      <c r="B12" s="8">
        <v>3.62</v>
      </c>
      <c r="C12" s="18">
        <v>0.47757255936675463</v>
      </c>
    </row>
    <row r="13" spans="1:3">
      <c r="A13" s="12" t="s">
        <v>26</v>
      </c>
      <c r="B13" s="8">
        <v>3.57</v>
      </c>
      <c r="C13" s="18">
        <v>0.47097625329815301</v>
      </c>
    </row>
    <row r="14" spans="1:3">
      <c r="A14" s="12" t="s">
        <v>27</v>
      </c>
      <c r="B14" s="8">
        <v>3.55</v>
      </c>
      <c r="C14" s="18">
        <v>0.4683377308707124</v>
      </c>
    </row>
    <row r="15" spans="1:3">
      <c r="A15" s="12" t="s">
        <v>28</v>
      </c>
      <c r="B15" s="8">
        <v>3.49</v>
      </c>
      <c r="C15" s="18">
        <v>0.4604221635883905</v>
      </c>
    </row>
    <row r="16" spans="1:3">
      <c r="A16" s="12" t="s">
        <v>29</v>
      </c>
      <c r="B16" s="8">
        <v>3.42</v>
      </c>
      <c r="C16" s="18">
        <v>0.45118733509234826</v>
      </c>
    </row>
    <row r="17" spans="1:3">
      <c r="A17" s="12" t="s">
        <v>30</v>
      </c>
      <c r="B17" s="8">
        <v>2.99</v>
      </c>
      <c r="C17" s="18">
        <v>0.39445910290237468</v>
      </c>
    </row>
    <row r="18" spans="1:3">
      <c r="A18" s="12" t="s">
        <v>31</v>
      </c>
      <c r="B18" s="8">
        <v>2.98</v>
      </c>
      <c r="C18" s="18">
        <v>0.39313984168865435</v>
      </c>
    </row>
    <row r="19" spans="1:3">
      <c r="A19" s="12" t="s">
        <v>32</v>
      </c>
      <c r="B19" s="8">
        <v>2.96</v>
      </c>
      <c r="C19" s="18">
        <v>0.39050131926121373</v>
      </c>
    </row>
    <row r="20" spans="1:3">
      <c r="A20" s="12" t="s">
        <v>33</v>
      </c>
      <c r="B20" s="8">
        <v>2.91</v>
      </c>
      <c r="C20" s="18">
        <v>0.38390501319261217</v>
      </c>
    </row>
    <row r="21" spans="1:3">
      <c r="A21" s="12" t="s">
        <v>34</v>
      </c>
      <c r="B21" s="8">
        <v>2.98</v>
      </c>
      <c r="C21" s="18">
        <v>0.39313984168865435</v>
      </c>
    </row>
    <row r="22" spans="1:3">
      <c r="A22" s="12" t="s">
        <v>35</v>
      </c>
      <c r="B22" s="8">
        <v>3.02</v>
      </c>
      <c r="C22" s="18">
        <v>0.39841688654353563</v>
      </c>
    </row>
    <row r="23" spans="1:3">
      <c r="A23" s="12" t="s">
        <v>36</v>
      </c>
      <c r="B23" s="8">
        <v>3.01</v>
      </c>
      <c r="C23" s="18">
        <v>0.3970976253298153</v>
      </c>
    </row>
    <row r="24" spans="1:3">
      <c r="A24" s="12" t="s">
        <v>37</v>
      </c>
      <c r="B24" s="8">
        <v>3.07</v>
      </c>
      <c r="C24" s="18">
        <v>0.4050131926121372</v>
      </c>
    </row>
    <row r="25" spans="1:3">
      <c r="A25" s="12" t="s">
        <v>38</v>
      </c>
      <c r="B25" s="8">
        <v>3.14</v>
      </c>
      <c r="C25" s="18">
        <v>0.41424802110817943</v>
      </c>
    </row>
    <row r="26" spans="1:3">
      <c r="A26" s="12" t="s">
        <v>39</v>
      </c>
      <c r="B26" s="8">
        <v>3.02</v>
      </c>
      <c r="C26" s="18">
        <v>0.39841688654353563</v>
      </c>
    </row>
    <row r="27" spans="1:3">
      <c r="A27" s="12" t="s">
        <v>40</v>
      </c>
      <c r="B27" s="8">
        <v>2.84</v>
      </c>
      <c r="C27" s="18">
        <v>0.37467018469656987</v>
      </c>
    </row>
    <row r="28" spans="1:3">
      <c r="A28" s="12" t="s">
        <v>41</v>
      </c>
      <c r="B28" s="8">
        <v>2.86</v>
      </c>
      <c r="C28" s="18">
        <v>0.37730870712401055</v>
      </c>
    </row>
    <row r="29" spans="1:3">
      <c r="A29" s="12" t="s">
        <v>42</v>
      </c>
      <c r="B29" s="8">
        <v>2.88</v>
      </c>
      <c r="C29" s="18">
        <v>0.37994722955145116</v>
      </c>
    </row>
    <row r="30" spans="1:3">
      <c r="A30" s="12" t="s">
        <v>43</v>
      </c>
      <c r="B30" s="8">
        <v>2.83</v>
      </c>
      <c r="C30" s="18">
        <v>0.37335092348284959</v>
      </c>
    </row>
    <row r="31" spans="1:3">
      <c r="A31" s="12" t="s">
        <v>44</v>
      </c>
      <c r="B31" s="8">
        <v>2.94</v>
      </c>
      <c r="C31" s="18">
        <v>0.38786279683377306</v>
      </c>
    </row>
    <row r="32" spans="1:3">
      <c r="A32" s="12" t="s">
        <v>45</v>
      </c>
      <c r="B32" s="8">
        <v>2.93</v>
      </c>
      <c r="C32" s="18">
        <v>0.38654353562005278</v>
      </c>
    </row>
    <row r="33" spans="1:3">
      <c r="A33" s="12" t="s">
        <v>46</v>
      </c>
      <c r="B33" s="8">
        <v>2.96</v>
      </c>
      <c r="C33" s="18">
        <v>0.39050131926121373</v>
      </c>
    </row>
    <row r="34" spans="1:3">
      <c r="A34" s="12" t="s">
        <v>47</v>
      </c>
      <c r="B34" s="8">
        <v>2.91</v>
      </c>
      <c r="C34" s="18">
        <v>0.38390501319261217</v>
      </c>
    </row>
    <row r="35" spans="1:3">
      <c r="A35" s="12" t="s">
        <v>48</v>
      </c>
      <c r="B35" s="8">
        <v>2.92</v>
      </c>
      <c r="C35" s="18">
        <v>0.38522427440633245</v>
      </c>
    </row>
    <row r="36" spans="1:3">
      <c r="A36" s="12" t="s">
        <v>49</v>
      </c>
      <c r="B36" s="8">
        <v>2.98</v>
      </c>
      <c r="C36" s="18">
        <v>0.39313984168865435</v>
      </c>
    </row>
    <row r="37" spans="1:3">
      <c r="A37" s="12" t="s">
        <v>50</v>
      </c>
      <c r="B37" s="8">
        <v>2.96</v>
      </c>
      <c r="C37" s="18">
        <v>0.39050131926121373</v>
      </c>
    </row>
    <row r="38" spans="1:3">
      <c r="A38" s="12" t="s">
        <v>51</v>
      </c>
      <c r="B38" s="8">
        <v>3.01</v>
      </c>
      <c r="C38" s="18">
        <v>0.3970976253298153</v>
      </c>
    </row>
    <row r="39" spans="1:3">
      <c r="A39" s="12" t="s">
        <v>52</v>
      </c>
      <c r="B39" s="8">
        <v>3.01</v>
      </c>
      <c r="C39" s="18">
        <v>0.3970976253298153</v>
      </c>
    </row>
    <row r="40" spans="1:3">
      <c r="A40" s="12" t="s">
        <v>53</v>
      </c>
      <c r="B40" s="8">
        <v>3.04</v>
      </c>
      <c r="C40" s="18">
        <v>0.40105540897097625</v>
      </c>
    </row>
    <row r="41" spans="1:3">
      <c r="A41" s="12" t="s">
        <v>54</v>
      </c>
      <c r="B41" s="8">
        <v>3.03</v>
      </c>
      <c r="C41" s="18">
        <v>0.39973614775725591</v>
      </c>
    </row>
    <row r="42" spans="1:3">
      <c r="A42" s="12" t="s">
        <v>55</v>
      </c>
      <c r="B42" s="8">
        <v>3.09</v>
      </c>
      <c r="C42" s="18">
        <v>0.40765171503957781</v>
      </c>
    </row>
    <row r="43" spans="1:3">
      <c r="A43" s="12" t="s">
        <v>56</v>
      </c>
      <c r="B43" s="8">
        <v>3.1</v>
      </c>
      <c r="C43" s="18">
        <v>0.40897097625329815</v>
      </c>
    </row>
    <row r="44" spans="1:3">
      <c r="A44" s="12" t="s">
        <v>57</v>
      </c>
      <c r="B44" s="8">
        <v>3.08</v>
      </c>
      <c r="C44" s="18">
        <v>0.40633245382585753</v>
      </c>
    </row>
    <row r="45" spans="1:3">
      <c r="A45" s="12" t="s">
        <v>58</v>
      </c>
      <c r="B45" s="8">
        <v>3.1</v>
      </c>
      <c r="C45" s="18">
        <v>0.40897097625329815</v>
      </c>
    </row>
    <row r="46" spans="1:3">
      <c r="A46" s="12" t="s">
        <v>59</v>
      </c>
      <c r="B46" s="8">
        <v>3.14</v>
      </c>
      <c r="C46" s="18">
        <v>0.41424802110817943</v>
      </c>
    </row>
    <row r="47" spans="1:3">
      <c r="A47" s="12" t="s">
        <v>60</v>
      </c>
      <c r="B47" s="8">
        <v>3.1</v>
      </c>
      <c r="C47" s="18">
        <v>0.40897097625329815</v>
      </c>
    </row>
    <row r="48" spans="1:3">
      <c r="A48" s="12" t="s">
        <v>61</v>
      </c>
      <c r="B48" s="8">
        <v>3.1</v>
      </c>
      <c r="C48" s="18">
        <v>0.40897097625329815</v>
      </c>
    </row>
    <row r="49" spans="1:3">
      <c r="A49" s="12" t="s">
        <v>62</v>
      </c>
      <c r="B49" s="8">
        <v>3</v>
      </c>
      <c r="C49" s="18">
        <v>0.39577836411609496</v>
      </c>
    </row>
    <row r="50" spans="1:3">
      <c r="A50" s="12" t="s">
        <v>63</v>
      </c>
      <c r="B50" s="8">
        <v>3.04</v>
      </c>
      <c r="C50" s="18">
        <v>0.40105540897097625</v>
      </c>
    </row>
    <row r="51" spans="1:3">
      <c r="A51" s="12" t="s">
        <v>64</v>
      </c>
      <c r="B51" s="8">
        <v>2.98</v>
      </c>
      <c r="C51" s="18">
        <v>0.39313984168865435</v>
      </c>
    </row>
    <row r="52" spans="1:3">
      <c r="A52" s="12" t="s">
        <v>65</v>
      </c>
      <c r="B52" s="8">
        <v>2.97</v>
      </c>
      <c r="C52" s="18">
        <v>0.39182058047493407</v>
      </c>
    </row>
    <row r="53" spans="1:3">
      <c r="A53" s="12" t="s">
        <v>66</v>
      </c>
      <c r="B53" s="8">
        <v>2.99</v>
      </c>
      <c r="C53" s="18">
        <v>0.39445910290237468</v>
      </c>
    </row>
    <row r="54" spans="1:3">
      <c r="A54" s="12" t="s">
        <v>67</v>
      </c>
      <c r="B54" s="8">
        <v>3.01</v>
      </c>
      <c r="C54" s="18">
        <v>0.3970976253298153</v>
      </c>
    </row>
    <row r="55" spans="1:3">
      <c r="A55" s="12" t="s">
        <v>68</v>
      </c>
      <c r="B55" s="8">
        <v>3.08</v>
      </c>
      <c r="C55" s="18">
        <v>0.40633245382585753</v>
      </c>
    </row>
    <row r="56" spans="1:3">
      <c r="A56" s="12" t="s">
        <v>69</v>
      </c>
      <c r="B56" s="8">
        <v>3.19</v>
      </c>
      <c r="C56" s="18">
        <v>0.420844327176781</v>
      </c>
    </row>
    <row r="57" spans="1:3">
      <c r="A57" s="12" t="s">
        <v>70</v>
      </c>
      <c r="B57" s="8">
        <v>3.17</v>
      </c>
      <c r="C57" s="18">
        <v>0.41820580474934038</v>
      </c>
    </row>
    <row r="58" spans="1:3">
      <c r="A58" s="12" t="s">
        <v>71</v>
      </c>
      <c r="B58" s="8">
        <v>3.23</v>
      </c>
      <c r="C58" s="18">
        <v>0.42612137203166228</v>
      </c>
    </row>
    <row r="59" spans="1:3">
      <c r="A59" s="12" t="s">
        <v>72</v>
      </c>
      <c r="B59" s="8">
        <v>3.2</v>
      </c>
      <c r="C59" s="18">
        <v>0.42216358839050133</v>
      </c>
    </row>
    <row r="60" spans="1:3">
      <c r="A60" s="12" t="s">
        <v>73</v>
      </c>
      <c r="B60" s="8">
        <v>3.2</v>
      </c>
      <c r="C60" s="18">
        <v>0.42216358839050133</v>
      </c>
    </row>
    <row r="61" spans="1:3">
      <c r="A61" s="12" t="s">
        <v>74</v>
      </c>
      <c r="B61" s="8">
        <v>3.2</v>
      </c>
      <c r="C61" s="18">
        <v>0.42216358839050133</v>
      </c>
    </row>
    <row r="62" spans="1:3">
      <c r="A62" s="12" t="s">
        <v>75</v>
      </c>
      <c r="B62" s="8">
        <v>3.2</v>
      </c>
      <c r="C62" s="18">
        <v>0.42216358839050133</v>
      </c>
    </row>
    <row r="63" spans="1:3">
      <c r="A63" s="12" t="s">
        <v>76</v>
      </c>
      <c r="B63" s="8">
        <v>3.33</v>
      </c>
      <c r="C63" s="18">
        <v>0.43931398416886547</v>
      </c>
    </row>
    <row r="64" spans="1:3">
      <c r="A64" s="12" t="s">
        <v>77</v>
      </c>
      <c r="B64" s="8">
        <v>3.43</v>
      </c>
      <c r="C64" s="18">
        <v>0.4525065963060686</v>
      </c>
    </row>
    <row r="65" spans="1:3">
      <c r="A65" s="12" t="s">
        <v>78</v>
      </c>
      <c r="B65" s="8">
        <v>3.53</v>
      </c>
      <c r="C65" s="18">
        <v>0.46569920844327173</v>
      </c>
    </row>
    <row r="66" spans="1:3">
      <c r="A66" s="12" t="s">
        <v>79</v>
      </c>
      <c r="B66" s="8">
        <v>3.7</v>
      </c>
      <c r="C66" s="18">
        <v>0.48812664907651715</v>
      </c>
    </row>
    <row r="67" spans="1:3">
      <c r="A67" s="12" t="s">
        <v>80</v>
      </c>
      <c r="B67" s="8">
        <v>3.77</v>
      </c>
      <c r="C67" s="18">
        <v>0.49736147757255939</v>
      </c>
    </row>
    <row r="68" spans="1:3">
      <c r="A68" s="12" t="s">
        <v>81</v>
      </c>
      <c r="B68" s="8">
        <v>3.67</v>
      </c>
      <c r="C68" s="18">
        <v>0.4841688654353562</v>
      </c>
    </row>
    <row r="69" spans="1:3">
      <c r="A69" s="12" t="s">
        <v>82</v>
      </c>
      <c r="B69" s="8">
        <v>3.73</v>
      </c>
      <c r="C69" s="18">
        <v>0.4920844327176781</v>
      </c>
    </row>
    <row r="70" spans="1:3">
      <c r="A70" s="12" t="s">
        <v>83</v>
      </c>
      <c r="B70" s="8">
        <v>3.74</v>
      </c>
      <c r="C70" s="18">
        <v>0.49340369393139843</v>
      </c>
    </row>
    <row r="71" spans="1:3">
      <c r="A71" s="12" t="s">
        <v>84</v>
      </c>
      <c r="B71" s="8">
        <v>3.68</v>
      </c>
      <c r="C71" s="18">
        <v>0.48548812664907653</v>
      </c>
    </row>
    <row r="72" spans="1:3">
      <c r="A72" s="12" t="s">
        <v>85</v>
      </c>
      <c r="B72" s="8">
        <v>3.7</v>
      </c>
      <c r="C72" s="18">
        <v>0.48812664907651715</v>
      </c>
    </row>
    <row r="73" spans="1:3">
      <c r="A73" s="12" t="s">
        <v>86</v>
      </c>
      <c r="B73" s="8">
        <v>3.6</v>
      </c>
      <c r="C73" s="18">
        <v>0.47493403693931396</v>
      </c>
    </row>
    <row r="74" spans="1:3">
      <c r="A74" s="12" t="s">
        <v>87</v>
      </c>
      <c r="B74" s="8">
        <v>3.53</v>
      </c>
      <c r="C74" s="18">
        <v>0.46569920844327173</v>
      </c>
    </row>
    <row r="75" spans="1:3">
      <c r="A75" s="12" t="s">
        <v>88</v>
      </c>
      <c r="B75" s="8">
        <v>3.61</v>
      </c>
      <c r="C75" s="18">
        <v>0.4762532981530343</v>
      </c>
    </row>
    <row r="76" spans="1:3">
      <c r="A76" s="12" t="s">
        <v>89</v>
      </c>
      <c r="B76" s="8">
        <v>3.6</v>
      </c>
      <c r="C76" s="18">
        <v>0.47493403693931396</v>
      </c>
    </row>
    <row r="77" spans="1:3">
      <c r="A77" s="12" t="s">
        <v>90</v>
      </c>
      <c r="B77" s="8">
        <v>3.73</v>
      </c>
      <c r="C77" s="18">
        <v>0.4920844327176781</v>
      </c>
    </row>
    <row r="78" spans="1:3">
      <c r="A78" s="12" t="s">
        <v>91</v>
      </c>
      <c r="B78" s="8">
        <v>3.7</v>
      </c>
      <c r="C78" s="18">
        <v>0.48812664907651715</v>
      </c>
    </row>
    <row r="79" spans="1:3">
      <c r="A79" s="12" t="s">
        <v>92</v>
      </c>
      <c r="B79" s="8">
        <v>3.67</v>
      </c>
      <c r="C79" s="18">
        <v>0.4841688654353562</v>
      </c>
    </row>
    <row r="80" spans="1:3">
      <c r="A80" s="12" t="s">
        <v>93</v>
      </c>
      <c r="B80" s="8">
        <v>3.77</v>
      </c>
      <c r="C80" s="18">
        <v>0.49736147757255939</v>
      </c>
    </row>
    <row r="81" spans="1:3">
      <c r="A81" s="12" t="s">
        <v>94</v>
      </c>
      <c r="B81" s="8">
        <v>3.7</v>
      </c>
      <c r="C81" s="18">
        <v>0.48812664907651715</v>
      </c>
    </row>
    <row r="82" spans="1:3">
      <c r="A82" s="12" t="s">
        <v>95</v>
      </c>
      <c r="B82" s="8">
        <v>3.69</v>
      </c>
      <c r="C82" s="18">
        <v>0.48680738786279681</v>
      </c>
    </row>
    <row r="83" spans="1:3">
      <c r="A83" s="12" t="s">
        <v>96</v>
      </c>
      <c r="B83" s="8">
        <v>3.62</v>
      </c>
      <c r="C83" s="18">
        <v>0.47757255936675463</v>
      </c>
    </row>
    <row r="84" spans="1:3">
      <c r="A84" s="12" t="s">
        <v>97</v>
      </c>
      <c r="B84" s="8">
        <v>3.65</v>
      </c>
      <c r="C84" s="18">
        <v>0.48153034300791553</v>
      </c>
    </row>
    <row r="85" spans="1:3">
      <c r="A85" s="12" t="s">
        <v>98</v>
      </c>
      <c r="B85" s="8">
        <v>3.69</v>
      </c>
      <c r="C85" s="18">
        <v>0.48680738786279681</v>
      </c>
    </row>
    <row r="86" spans="1:3">
      <c r="A86" s="12" t="s">
        <v>99</v>
      </c>
      <c r="B86" s="8">
        <v>3.71</v>
      </c>
      <c r="C86" s="18">
        <v>0.48944591029023748</v>
      </c>
    </row>
    <row r="87" spans="1:3">
      <c r="A87" s="12" t="s">
        <v>100</v>
      </c>
      <c r="B87" s="8">
        <v>3.73</v>
      </c>
      <c r="C87" s="18">
        <v>0.4920844327176781</v>
      </c>
    </row>
    <row r="88" spans="1:3">
      <c r="A88" s="12" t="s">
        <v>101</v>
      </c>
      <c r="B88" s="8">
        <v>3.72</v>
      </c>
      <c r="C88" s="18">
        <v>0.49076517150395782</v>
      </c>
    </row>
    <row r="89" spans="1:3">
      <c r="A89" s="12" t="s">
        <v>102</v>
      </c>
      <c r="B89" s="8">
        <v>3.67</v>
      </c>
      <c r="C89" s="18">
        <v>0.4841688654353562</v>
      </c>
    </row>
    <row r="90" spans="1:3">
      <c r="A90" s="12" t="s">
        <v>103</v>
      </c>
      <c r="B90" s="8">
        <v>3.68</v>
      </c>
      <c r="C90" s="18">
        <v>0.48548812664907653</v>
      </c>
    </row>
    <row r="91" spans="1:3">
      <c r="A91" s="12" t="s">
        <v>104</v>
      </c>
      <c r="B91" s="8">
        <v>3.72</v>
      </c>
      <c r="C91" s="18">
        <v>0.49076517150395782</v>
      </c>
    </row>
    <row r="92" spans="1:3">
      <c r="A92" s="12" t="s">
        <v>105</v>
      </c>
      <c r="B92" s="8">
        <v>3.73</v>
      </c>
      <c r="C92" s="18">
        <v>0.4920844327176781</v>
      </c>
    </row>
    <row r="93" spans="1:3">
      <c r="A93" s="12" t="s">
        <v>106</v>
      </c>
      <c r="B93" s="8">
        <v>3.75</v>
      </c>
      <c r="C93" s="18">
        <v>0.49472295514511871</v>
      </c>
    </row>
    <row r="94" spans="1:3">
      <c r="A94" s="12" t="s">
        <v>107</v>
      </c>
      <c r="B94" s="8">
        <v>3.76</v>
      </c>
      <c r="C94" s="18">
        <v>0.49604221635883899</v>
      </c>
    </row>
    <row r="95" spans="1:3">
      <c r="A95" s="12" t="s">
        <v>108</v>
      </c>
      <c r="B95" s="8">
        <v>3.83</v>
      </c>
      <c r="C95" s="18">
        <v>0.50527704485488123</v>
      </c>
    </row>
    <row r="96" spans="1:3">
      <c r="A96" s="12" t="s">
        <v>109</v>
      </c>
      <c r="B96" s="8">
        <v>3.8</v>
      </c>
      <c r="C96" s="18">
        <v>0.50131926121372028</v>
      </c>
    </row>
    <row r="97" spans="1:3">
      <c r="A97" s="12" t="s">
        <v>110</v>
      </c>
      <c r="B97" s="8">
        <v>3.7</v>
      </c>
      <c r="C97" s="18">
        <v>0.48812664907651715</v>
      </c>
    </row>
    <row r="98" spans="1:3">
      <c r="A98" s="12" t="s">
        <v>111</v>
      </c>
      <c r="B98" s="8">
        <v>3.61</v>
      </c>
      <c r="C98" s="18">
        <v>0.4762532981530343</v>
      </c>
    </row>
    <row r="99" spans="1:3">
      <c r="A99" s="12" t="s">
        <v>112</v>
      </c>
      <c r="B99" s="8">
        <v>3.54</v>
      </c>
      <c r="C99" s="18">
        <v>0.46701846965699206</v>
      </c>
    </row>
    <row r="100" spans="1:3">
      <c r="A100" s="12" t="s">
        <v>113</v>
      </c>
      <c r="B100" s="8">
        <v>3.49</v>
      </c>
      <c r="C100" s="18">
        <v>0.4604221635883905</v>
      </c>
    </row>
    <row r="101" spans="1:3">
      <c r="A101" s="12" t="s">
        <v>114</v>
      </c>
      <c r="B101" s="8">
        <v>3.55</v>
      </c>
      <c r="C101" s="18">
        <v>0.4683377308707124</v>
      </c>
    </row>
    <row r="102" spans="1:3">
      <c r="A102" s="12" t="s">
        <v>115</v>
      </c>
      <c r="B102" s="8">
        <v>3.77</v>
      </c>
      <c r="C102" s="18">
        <v>0.49736147757255939</v>
      </c>
    </row>
    <row r="103" spans="1:3">
      <c r="A103" s="12" t="s">
        <v>116</v>
      </c>
      <c r="B103" s="8">
        <v>3.67</v>
      </c>
      <c r="C103" s="18">
        <v>0.4841688654353562</v>
      </c>
    </row>
    <row r="104" spans="1:3">
      <c r="A104" s="12" t="s">
        <v>117</v>
      </c>
      <c r="B104" s="8">
        <v>3.7</v>
      </c>
      <c r="C104" s="18">
        <v>0.48812664907651715</v>
      </c>
    </row>
    <row r="105" spans="1:3">
      <c r="A105" s="12" t="s">
        <v>118</v>
      </c>
      <c r="B105" s="8">
        <v>3.73</v>
      </c>
      <c r="C105" s="18">
        <v>0.4920844327176781</v>
      </c>
    </row>
    <row r="106" spans="1:3">
      <c r="A106" s="12" t="s">
        <v>119</v>
      </c>
      <c r="B106" s="8">
        <v>3.83</v>
      </c>
      <c r="C106" s="18">
        <v>0.50527704485488123</v>
      </c>
    </row>
    <row r="107" spans="1:3">
      <c r="A107" s="12" t="s">
        <v>120</v>
      </c>
      <c r="B107" s="8">
        <v>3.74</v>
      </c>
      <c r="C107" s="18">
        <v>0.49340369393139843</v>
      </c>
    </row>
    <row r="108" spans="1:3">
      <c r="A108" s="12" t="s">
        <v>121</v>
      </c>
      <c r="B108" s="8">
        <v>3.78</v>
      </c>
      <c r="C108" s="18">
        <v>0.49868073878627966</v>
      </c>
    </row>
    <row r="109" spans="1:3">
      <c r="A109" s="12" t="s">
        <v>122</v>
      </c>
      <c r="B109" s="8">
        <v>3.77</v>
      </c>
      <c r="C109" s="18">
        <v>0.49736147757255939</v>
      </c>
    </row>
    <row r="110" spans="1:3">
      <c r="A110" s="12" t="s">
        <v>123</v>
      </c>
      <c r="B110" s="8">
        <v>3.74</v>
      </c>
      <c r="C110" s="18">
        <v>0.49340369393139843</v>
      </c>
    </row>
    <row r="111" spans="1:3">
      <c r="A111" s="12" t="s">
        <v>124</v>
      </c>
      <c r="B111" s="8">
        <v>3.72</v>
      </c>
      <c r="C111" s="18">
        <v>0.49076517150395782</v>
      </c>
    </row>
    <row r="112" spans="1:3">
      <c r="A112" s="12" t="s">
        <v>125</v>
      </c>
      <c r="B112" s="8">
        <v>3.68</v>
      </c>
      <c r="C112" s="18">
        <v>0.48548812664907653</v>
      </c>
    </row>
    <row r="113" spans="1:3">
      <c r="A113" s="12" t="s">
        <v>126</v>
      </c>
      <c r="B113" s="8">
        <v>3.62</v>
      </c>
      <c r="C113" s="18">
        <v>0.47757255936675463</v>
      </c>
    </row>
    <row r="114" spans="1:3">
      <c r="A114" s="12" t="s">
        <v>127</v>
      </c>
      <c r="B114" s="8">
        <v>3.6</v>
      </c>
      <c r="C114" s="18">
        <v>0.47493403693931396</v>
      </c>
    </row>
    <row r="115" spans="1:3">
      <c r="A115" s="12" t="s">
        <v>128</v>
      </c>
      <c r="B115" s="8">
        <v>3.7</v>
      </c>
      <c r="C115" s="18">
        <v>0.48812664907651715</v>
      </c>
    </row>
    <row r="116" spans="1:3">
      <c r="A116" s="12" t="s">
        <v>129</v>
      </c>
      <c r="B116" s="8">
        <v>3.63</v>
      </c>
      <c r="C116" s="18">
        <v>0.47889182058047491</v>
      </c>
    </row>
    <row r="117" spans="1:3">
      <c r="A117" s="12" t="s">
        <v>130</v>
      </c>
      <c r="B117" s="8">
        <v>3.6</v>
      </c>
      <c r="C117" s="18">
        <v>0.47493403693931396</v>
      </c>
    </row>
    <row r="118" spans="1:3">
      <c r="A118" s="12" t="s">
        <v>131</v>
      </c>
      <c r="B118" s="8">
        <v>3.68</v>
      </c>
      <c r="C118" s="18">
        <v>0.48548812664907653</v>
      </c>
    </row>
    <row r="119" spans="1:3">
      <c r="A119" s="12" t="s">
        <v>132</v>
      </c>
      <c r="B119" s="8">
        <v>3.52</v>
      </c>
      <c r="C119" s="18">
        <v>0.46437994722955145</v>
      </c>
    </row>
    <row r="120" spans="1:3">
      <c r="A120" s="12" t="s">
        <v>133</v>
      </c>
      <c r="B120" s="8">
        <v>3.44</v>
      </c>
      <c r="C120" s="18">
        <v>0.45382585751978893</v>
      </c>
    </row>
    <row r="121" spans="1:3">
      <c r="A121" s="12" t="s">
        <v>134</v>
      </c>
      <c r="B121" s="8">
        <v>3.4</v>
      </c>
      <c r="C121" s="18">
        <v>0.44854881266490765</v>
      </c>
    </row>
    <row r="122" spans="1:3">
      <c r="A122" s="12" t="s">
        <v>135</v>
      </c>
      <c r="B122" s="8">
        <v>3.37</v>
      </c>
      <c r="C122" s="18">
        <v>0.4445910290237467</v>
      </c>
    </row>
    <row r="123" spans="1:3">
      <c r="A123" s="12" t="s">
        <v>136</v>
      </c>
      <c r="B123" s="8">
        <v>3.4</v>
      </c>
      <c r="C123" s="18">
        <v>0.44854881266490765</v>
      </c>
    </row>
    <row r="124" spans="1:3">
      <c r="A124" s="12" t="s">
        <v>137</v>
      </c>
      <c r="B124" s="8">
        <v>3.38</v>
      </c>
      <c r="C124" s="18">
        <v>0.44591029023746698</v>
      </c>
    </row>
    <row r="125" spans="1:3">
      <c r="A125" s="12" t="s">
        <v>138</v>
      </c>
      <c r="B125" s="8">
        <v>3.36</v>
      </c>
      <c r="C125" s="18">
        <v>0.44327176781002636</v>
      </c>
    </row>
    <row r="126" spans="1:3">
      <c r="A126" s="12" t="s">
        <v>139</v>
      </c>
      <c r="B126" s="8">
        <v>3.34</v>
      </c>
      <c r="C126" s="18">
        <v>0.44063324538258575</v>
      </c>
    </row>
    <row r="127" spans="1:3">
      <c r="A127" s="12" t="s">
        <v>140</v>
      </c>
      <c r="B127" s="8">
        <v>3.41</v>
      </c>
      <c r="C127" s="18">
        <v>0.44986807387862798</v>
      </c>
    </row>
    <row r="128" spans="1:3">
      <c r="A128" s="12" t="s">
        <v>141</v>
      </c>
      <c r="B128" s="8">
        <v>3.41</v>
      </c>
      <c r="C128" s="18">
        <v>0.44986807387862798</v>
      </c>
    </row>
    <row r="129" spans="1:3">
      <c r="A129" s="12" t="s">
        <v>142</v>
      </c>
      <c r="B129" s="8">
        <v>3.4</v>
      </c>
      <c r="C129" s="18">
        <v>0.44854881266490765</v>
      </c>
    </row>
    <row r="130" spans="1:3">
      <c r="A130" s="12" t="s">
        <v>143</v>
      </c>
      <c r="B130" s="8">
        <v>3.4</v>
      </c>
      <c r="C130" s="18">
        <v>0.44854881266490765</v>
      </c>
    </row>
    <row r="131" spans="1:3">
      <c r="A131" s="12" t="s">
        <v>144</v>
      </c>
      <c r="B131" s="8">
        <v>3.4</v>
      </c>
      <c r="C131" s="18">
        <v>0.44854881266490765</v>
      </c>
    </row>
    <row r="132" spans="1:3">
      <c r="A132" s="12" t="s">
        <v>145</v>
      </c>
      <c r="B132" s="8">
        <v>3.46</v>
      </c>
      <c r="C132" s="18">
        <v>0.45646437994722955</v>
      </c>
    </row>
    <row r="133" spans="1:3">
      <c r="A133" s="12" t="s">
        <v>146</v>
      </c>
      <c r="B133" s="8">
        <v>3.46</v>
      </c>
      <c r="C133" s="18">
        <v>0.45646437994722955</v>
      </c>
    </row>
    <row r="134" spans="1:3">
      <c r="A134" s="12" t="s">
        <v>147</v>
      </c>
      <c r="B134" s="8">
        <v>3.4</v>
      </c>
      <c r="C134" s="18">
        <v>0.44854881266490765</v>
      </c>
    </row>
    <row r="135" spans="1:3">
      <c r="A135" s="12" t="s">
        <v>148</v>
      </c>
      <c r="B135" s="8">
        <v>3.4</v>
      </c>
      <c r="C135" s="18">
        <v>0.44854881266490765</v>
      </c>
    </row>
    <row r="136" spans="1:3">
      <c r="A136" s="12" t="s">
        <v>149</v>
      </c>
      <c r="B136" s="8">
        <v>3.41</v>
      </c>
      <c r="C136" s="18">
        <v>0.44986807387862798</v>
      </c>
    </row>
    <row r="137" spans="1:3">
      <c r="A137" s="12" t="s">
        <v>150</v>
      </c>
      <c r="B137" s="8">
        <v>3.38</v>
      </c>
      <c r="C137" s="18">
        <v>0.44591029023746698</v>
      </c>
    </row>
    <row r="138" spans="1:3">
      <c r="A138" s="12" t="s">
        <v>151</v>
      </c>
      <c r="B138" s="8">
        <v>3.4</v>
      </c>
      <c r="C138" s="18">
        <v>0.44854881266490765</v>
      </c>
    </row>
    <row r="139" spans="1:3">
      <c r="A139" s="12" t="s">
        <v>152</v>
      </c>
      <c r="B139" s="8">
        <v>3.37</v>
      </c>
      <c r="C139" s="18">
        <v>0.4445910290237467</v>
      </c>
    </row>
    <row r="140" spans="1:3">
      <c r="A140" s="12" t="s">
        <v>153</v>
      </c>
      <c r="B140" s="8">
        <v>3.42</v>
      </c>
      <c r="C140" s="18">
        <v>0.45118733509234826</v>
      </c>
    </row>
    <row r="141" spans="1:3">
      <c r="A141" s="12" t="s">
        <v>154</v>
      </c>
      <c r="B141" s="8">
        <v>3.42</v>
      </c>
      <c r="C141" s="18">
        <v>0.45118733509234826</v>
      </c>
    </row>
    <row r="142" spans="1:3">
      <c r="A142" s="12" t="s">
        <v>155</v>
      </c>
      <c r="B142" s="8">
        <v>3.49</v>
      </c>
      <c r="C142" s="18">
        <v>0.4604221635883905</v>
      </c>
    </row>
    <row r="143" spans="1:3">
      <c r="A143" s="12" t="s">
        <v>156</v>
      </c>
      <c r="B143" s="8">
        <v>3.48</v>
      </c>
      <c r="C143" s="18">
        <v>0.45910290237467016</v>
      </c>
    </row>
    <row r="144" spans="1:3">
      <c r="A144" s="12" t="s">
        <v>157</v>
      </c>
      <c r="B144" s="8">
        <v>3.51</v>
      </c>
      <c r="C144" s="18">
        <v>0.46306068601583111</v>
      </c>
    </row>
    <row r="145" spans="1:3">
      <c r="A145" s="12" t="s">
        <v>158</v>
      </c>
      <c r="B145" s="8">
        <v>3.58</v>
      </c>
      <c r="C145" s="18">
        <v>0.47229551451187335</v>
      </c>
    </row>
    <row r="146" spans="1:3">
      <c r="A146" s="12" t="s">
        <v>159</v>
      </c>
      <c r="B146" s="8">
        <v>3.56</v>
      </c>
      <c r="C146" s="18">
        <v>0.46965699208443273</v>
      </c>
    </row>
    <row r="147" spans="1:3">
      <c r="A147" s="12" t="s">
        <v>160</v>
      </c>
      <c r="B147" s="8">
        <v>3.53</v>
      </c>
      <c r="C147" s="18">
        <v>0.46569920844327173</v>
      </c>
    </row>
    <row r="148" spans="1:3">
      <c r="A148" s="12" t="s">
        <v>161</v>
      </c>
      <c r="B148" s="8">
        <v>3.54</v>
      </c>
      <c r="C148" s="18">
        <v>0.46701846965699206</v>
      </c>
    </row>
    <row r="149" spans="1:3">
      <c r="A149" s="12" t="s">
        <v>162</v>
      </c>
      <c r="B149" s="8">
        <v>3.37</v>
      </c>
      <c r="C149" s="18">
        <v>0.4445910290237467</v>
      </c>
    </row>
    <row r="150" spans="1:3">
      <c r="A150" s="12" t="s">
        <v>163</v>
      </c>
      <c r="B150" s="8">
        <v>3.29</v>
      </c>
      <c r="C150" s="18">
        <v>0.43403693931398418</v>
      </c>
    </row>
    <row r="151" spans="1:3">
      <c r="A151" s="12" t="s">
        <v>164</v>
      </c>
      <c r="B151" s="8">
        <v>3.36</v>
      </c>
      <c r="C151" s="18">
        <v>0.44327176781002636</v>
      </c>
    </row>
    <row r="152" spans="1:3">
      <c r="A152" s="12" t="s">
        <v>165</v>
      </c>
      <c r="B152" s="8">
        <v>3.36</v>
      </c>
      <c r="C152" s="18">
        <v>0.44327176781002636</v>
      </c>
    </row>
    <row r="153" spans="1:3">
      <c r="A153" s="12" t="s">
        <v>166</v>
      </c>
      <c r="B153" s="8">
        <v>3.31</v>
      </c>
      <c r="C153" s="18">
        <v>0.4366754617414248</v>
      </c>
    </row>
    <row r="154" spans="1:3">
      <c r="A154" s="12" t="s">
        <v>167</v>
      </c>
      <c r="B154" s="8">
        <v>3.38</v>
      </c>
      <c r="C154" s="18">
        <v>0.44591029023746698</v>
      </c>
    </row>
    <row r="155" spans="1:3">
      <c r="A155" s="12" t="s">
        <v>168</v>
      </c>
      <c r="B155" s="8">
        <v>3.45</v>
      </c>
      <c r="C155" s="18">
        <v>0.45514511873350927</v>
      </c>
    </row>
    <row r="156" spans="1:3">
      <c r="A156" s="12" t="s">
        <v>169</v>
      </c>
      <c r="B156" s="8">
        <v>3.47</v>
      </c>
      <c r="C156" s="18">
        <v>0.45778364116094988</v>
      </c>
    </row>
    <row r="157" spans="1:3">
      <c r="A157" s="12" t="s">
        <v>170</v>
      </c>
      <c r="B157" s="8">
        <v>3.5</v>
      </c>
      <c r="C157" s="18">
        <v>0.46174142480211083</v>
      </c>
    </row>
    <row r="158" spans="1:3">
      <c r="A158" s="12" t="s">
        <v>171</v>
      </c>
      <c r="B158" s="8">
        <v>3.44</v>
      </c>
      <c r="C158" s="18">
        <v>0.45382585751978893</v>
      </c>
    </row>
    <row r="159" spans="1:3">
      <c r="A159" s="12" t="s">
        <v>172</v>
      </c>
      <c r="B159" s="8">
        <v>3.43</v>
      </c>
      <c r="C159" s="18">
        <v>0.4525065963060686</v>
      </c>
    </row>
    <row r="160" spans="1:3">
      <c r="A160" s="12" t="s">
        <v>173</v>
      </c>
      <c r="B160" s="8">
        <v>3.43</v>
      </c>
      <c r="C160" s="18">
        <v>0.4525065963060686</v>
      </c>
    </row>
    <row r="161" spans="1:3">
      <c r="A161" s="12" t="s">
        <v>174</v>
      </c>
      <c r="B161" s="8">
        <v>3.57</v>
      </c>
      <c r="C161" s="18">
        <v>0.47097625329815301</v>
      </c>
    </row>
    <row r="162" spans="1:3">
      <c r="A162" s="12" t="s">
        <v>175</v>
      </c>
      <c r="B162" s="8">
        <v>3.65</v>
      </c>
      <c r="C162" s="18">
        <v>0.48153034300791553</v>
      </c>
    </row>
    <row r="163" spans="1:3">
      <c r="A163" s="12" t="s">
        <v>176</v>
      </c>
      <c r="B163" s="8">
        <v>3.69</v>
      </c>
      <c r="C163" s="18">
        <v>0.48680738786279681</v>
      </c>
    </row>
    <row r="164" spans="1:3">
      <c r="A164" s="12" t="s">
        <v>177</v>
      </c>
      <c r="B164" s="8">
        <v>3.67</v>
      </c>
      <c r="C164" s="18">
        <v>0.4841688654353562</v>
      </c>
    </row>
    <row r="165" spans="1:3">
      <c r="A165" s="12" t="s">
        <v>178</v>
      </c>
      <c r="B165" s="8">
        <v>3.66</v>
      </c>
      <c r="C165" s="18">
        <v>0.48284960422163592</v>
      </c>
    </row>
    <row r="166" spans="1:3">
      <c r="A166" s="12" t="s">
        <v>179</v>
      </c>
      <c r="B166" s="8">
        <v>3.71</v>
      </c>
      <c r="C166" s="18">
        <v>0.48944591029023748</v>
      </c>
    </row>
    <row r="167" spans="1:3">
      <c r="A167" s="12" t="s">
        <v>180</v>
      </c>
      <c r="B167" s="8">
        <v>3.74</v>
      </c>
      <c r="C167" s="18">
        <v>0.49340369393139843</v>
      </c>
    </row>
    <row r="168" spans="1:3">
      <c r="A168" s="12" t="s">
        <v>181</v>
      </c>
      <c r="B168" s="8">
        <v>3.67</v>
      </c>
      <c r="C168" s="18">
        <v>0.4841688654353562</v>
      </c>
    </row>
    <row r="169" spans="1:3">
      <c r="A169" s="12" t="s">
        <v>182</v>
      </c>
      <c r="B169" s="8">
        <v>3.65</v>
      </c>
      <c r="C169" s="18">
        <v>0.48153034300791553</v>
      </c>
    </row>
    <row r="170" spans="1:3">
      <c r="A170" s="12" t="s">
        <v>183</v>
      </c>
      <c r="B170" s="8">
        <v>3.61</v>
      </c>
      <c r="C170" s="18">
        <v>0.4762532981530343</v>
      </c>
    </row>
    <row r="171" spans="1:3">
      <c r="A171" s="12" t="s">
        <v>184</v>
      </c>
      <c r="B171" s="8">
        <v>3.64</v>
      </c>
      <c r="C171" s="18">
        <v>0.48021108179419525</v>
      </c>
    </row>
    <row r="172" spans="1:3">
      <c r="A172" s="12" t="s">
        <v>185</v>
      </c>
      <c r="B172" s="8">
        <v>3.52</v>
      </c>
      <c r="C172" s="18">
        <v>0.46437994722955145</v>
      </c>
    </row>
    <row r="173" spans="1:3">
      <c r="A173" s="12" t="s">
        <v>186</v>
      </c>
      <c r="B173" s="8">
        <v>3.63</v>
      </c>
      <c r="C173" s="18">
        <v>0.47889182058047491</v>
      </c>
    </row>
    <row r="174" spans="1:3">
      <c r="A174" s="12" t="s">
        <v>187</v>
      </c>
      <c r="B174" s="8">
        <v>3.52</v>
      </c>
      <c r="C174" s="18">
        <v>0.46437994722955145</v>
      </c>
    </row>
    <row r="175" spans="1:3">
      <c r="A175" s="12" t="s">
        <v>188</v>
      </c>
      <c r="B175" s="8">
        <v>3.51</v>
      </c>
      <c r="C175" s="18">
        <v>0.46306068601583111</v>
      </c>
    </row>
    <row r="176" spans="1:3">
      <c r="A176" s="12" t="s">
        <v>189</v>
      </c>
      <c r="B176" s="8">
        <v>3.64</v>
      </c>
      <c r="C176" s="18">
        <v>0.48021108179419525</v>
      </c>
    </row>
    <row r="177" spans="1:3">
      <c r="A177" s="12" t="s">
        <v>190</v>
      </c>
      <c r="B177" s="8">
        <v>3.59</v>
      </c>
      <c r="C177" s="18">
        <v>0.47361477572559363</v>
      </c>
    </row>
    <row r="178" spans="1:3">
      <c r="A178" s="12" t="s">
        <v>191</v>
      </c>
      <c r="B178" s="8">
        <v>3.61</v>
      </c>
      <c r="C178" s="18">
        <v>0.4762532981530343</v>
      </c>
    </row>
    <row r="179" spans="1:3">
      <c r="A179" s="12" t="s">
        <v>192</v>
      </c>
      <c r="B179" s="8">
        <v>3.59</v>
      </c>
      <c r="C179" s="18">
        <v>0.47361477572559363</v>
      </c>
    </row>
    <row r="180" spans="1:3">
      <c r="A180" s="12" t="s">
        <v>193</v>
      </c>
      <c r="B180" s="8">
        <v>3.58</v>
      </c>
      <c r="C180" s="18">
        <v>0.47229551451187335</v>
      </c>
    </row>
    <row r="181" spans="1:3">
      <c r="A181" s="12" t="s">
        <v>194</v>
      </c>
      <c r="B181" s="8">
        <v>3.53</v>
      </c>
      <c r="C181" s="18">
        <v>0.46569920844327173</v>
      </c>
    </row>
    <row r="182" spans="1:3">
      <c r="A182" s="12" t="s">
        <v>195</v>
      </c>
      <c r="B182" s="8">
        <v>3.53</v>
      </c>
      <c r="C182" s="18">
        <v>0.46569920844327173</v>
      </c>
    </row>
    <row r="183" spans="1:3">
      <c r="A183" s="12" t="s">
        <v>196</v>
      </c>
      <c r="B183" s="8">
        <v>3.6</v>
      </c>
      <c r="C183" s="18">
        <v>0.47493403693931396</v>
      </c>
    </row>
    <row r="184" spans="1:3">
      <c r="A184" s="12" t="s">
        <v>197</v>
      </c>
      <c r="B184" s="8">
        <v>3.61</v>
      </c>
      <c r="C184" s="18">
        <v>0.4762532981530343</v>
      </c>
    </row>
    <row r="185" spans="1:3">
      <c r="A185" s="12" t="s">
        <v>198</v>
      </c>
      <c r="B185" s="8">
        <v>3.61</v>
      </c>
      <c r="C185" s="18">
        <v>0.4762532981530343</v>
      </c>
    </row>
    <row r="186" spans="1:3">
      <c r="A186" s="12" t="s">
        <v>199</v>
      </c>
      <c r="B186" s="8">
        <v>3.62</v>
      </c>
      <c r="C186" s="18">
        <v>0.47757255936675463</v>
      </c>
    </row>
    <row r="187" spans="1:3">
      <c r="A187" s="12" t="s">
        <v>200</v>
      </c>
      <c r="B187" s="8">
        <v>3.53</v>
      </c>
      <c r="C187" s="18">
        <v>0.46569920844327173</v>
      </c>
    </row>
    <row r="188" spans="1:3">
      <c r="A188" s="12" t="s">
        <v>201</v>
      </c>
      <c r="B188" s="8">
        <v>3.49</v>
      </c>
      <c r="C188" s="18">
        <v>0.4604221635883905</v>
      </c>
    </row>
    <row r="189" spans="1:3">
      <c r="A189" s="12" t="s">
        <v>202</v>
      </c>
      <c r="B189" s="8">
        <v>3.51</v>
      </c>
      <c r="C189" s="18">
        <v>0.46306068601583111</v>
      </c>
    </row>
    <row r="190" spans="1:3">
      <c r="A190" s="12" t="s">
        <v>203</v>
      </c>
      <c r="B190" s="8">
        <v>3.51</v>
      </c>
      <c r="C190" s="18">
        <v>0.46306068601583111</v>
      </c>
    </row>
    <row r="191" spans="1:3">
      <c r="A191" s="12" t="s">
        <v>204</v>
      </c>
      <c r="B191" s="8">
        <v>3.47</v>
      </c>
      <c r="C191" s="18">
        <v>0.45778364116094988</v>
      </c>
    </row>
    <row r="192" spans="1:3">
      <c r="A192" s="12" t="s">
        <v>205</v>
      </c>
      <c r="B192" s="8">
        <v>3.37</v>
      </c>
      <c r="C192" s="18">
        <v>0.4445910290237467</v>
      </c>
    </row>
    <row r="193" spans="1:3">
      <c r="A193" s="12" t="s">
        <v>206</v>
      </c>
      <c r="B193" s="8">
        <v>3.22</v>
      </c>
      <c r="C193" s="18">
        <v>0.42480211081794195</v>
      </c>
    </row>
    <row r="194" spans="1:3">
      <c r="A194" s="12" t="s">
        <v>207</v>
      </c>
      <c r="B194" s="8">
        <v>3.21</v>
      </c>
      <c r="C194" s="18">
        <v>0.42348284960422161</v>
      </c>
    </row>
    <row r="195" spans="1:3">
      <c r="A195" s="12" t="s">
        <v>208</v>
      </c>
      <c r="B195" s="8">
        <v>3.12</v>
      </c>
      <c r="C195" s="18">
        <v>0.41160949868073882</v>
      </c>
    </row>
    <row r="196" spans="1:3">
      <c r="A196" s="12" t="s">
        <v>209</v>
      </c>
      <c r="B196" s="8">
        <v>2.97</v>
      </c>
      <c r="C196" s="18">
        <v>0.39182058047493407</v>
      </c>
    </row>
    <row r="197" spans="1:3">
      <c r="A197" s="12" t="s">
        <v>210</v>
      </c>
      <c r="B197" s="8">
        <v>2.81</v>
      </c>
      <c r="C197" s="18">
        <v>0.37071240105540898</v>
      </c>
    </row>
    <row r="198" spans="1:3">
      <c r="A198" s="12" t="s">
        <v>211</v>
      </c>
      <c r="B198" s="8">
        <v>2.59</v>
      </c>
      <c r="C198" s="18">
        <v>0.34168865435356199</v>
      </c>
    </row>
    <row r="199" spans="1:3">
      <c r="A199" s="12" t="s">
        <v>212</v>
      </c>
      <c r="B199" s="8">
        <v>2.65</v>
      </c>
      <c r="C199" s="18">
        <v>0.34960422163588389</v>
      </c>
    </row>
    <row r="200" spans="1:3">
      <c r="A200" s="12" t="s">
        <v>213</v>
      </c>
      <c r="B200" s="8">
        <v>2.52</v>
      </c>
      <c r="C200" s="18">
        <v>0.33245382585751981</v>
      </c>
    </row>
    <row r="201" spans="1:3">
      <c r="A201" s="12" t="s">
        <v>214</v>
      </c>
      <c r="B201" s="8">
        <v>2.76</v>
      </c>
      <c r="C201" s="18">
        <v>0.36411609498680736</v>
      </c>
    </row>
    <row r="202" spans="1:3">
      <c r="A202" s="12" t="s">
        <v>215</v>
      </c>
      <c r="B202" s="8">
        <v>2.74</v>
      </c>
      <c r="C202" s="18">
        <v>0.3614775725593668</v>
      </c>
    </row>
    <row r="203" spans="1:3">
      <c r="A203" s="12" t="s">
        <v>216</v>
      </c>
      <c r="B203" s="8">
        <v>2.8</v>
      </c>
      <c r="C203" s="18">
        <v>0.36939313984168864</v>
      </c>
    </row>
    <row r="204" spans="1:3">
      <c r="A204" s="12" t="s">
        <v>217</v>
      </c>
      <c r="B204" s="8">
        <v>2.79</v>
      </c>
      <c r="C204" s="18">
        <v>0.36807387862796836</v>
      </c>
    </row>
    <row r="205" spans="1:3">
      <c r="A205" s="12" t="s">
        <v>218</v>
      </c>
      <c r="B205" s="8">
        <v>2.67</v>
      </c>
      <c r="C205" s="18">
        <v>0.35224274406332451</v>
      </c>
    </row>
    <row r="206" spans="1:3">
      <c r="A206" s="12" t="s">
        <v>219</v>
      </c>
      <c r="B206" s="8">
        <v>2.69</v>
      </c>
      <c r="C206" s="18">
        <v>0.35488126649076518</v>
      </c>
    </row>
    <row r="207" spans="1:3">
      <c r="A207" s="12" t="s">
        <v>220</v>
      </c>
      <c r="B207" s="8">
        <v>2.61</v>
      </c>
      <c r="C207" s="18">
        <v>0.34432717678100261</v>
      </c>
    </row>
    <row r="208" spans="1:3">
      <c r="A208" s="12" t="s">
        <v>221</v>
      </c>
      <c r="B208" s="8">
        <v>2.65</v>
      </c>
      <c r="C208" s="18">
        <v>0.34960422163588389</v>
      </c>
    </row>
    <row r="209" spans="1:3">
      <c r="A209" s="12" t="s">
        <v>222</v>
      </c>
      <c r="B209" s="8">
        <v>2.71</v>
      </c>
      <c r="C209" s="18">
        <v>0.35751978891820579</v>
      </c>
    </row>
    <row r="210" spans="1:3">
      <c r="A210" s="12" t="s">
        <v>223</v>
      </c>
      <c r="B210" s="8">
        <v>2.71</v>
      </c>
      <c r="C210" s="18">
        <v>0.35751978891820579</v>
      </c>
    </row>
    <row r="211" spans="1:3">
      <c r="A211" s="12" t="s">
        <v>224</v>
      </c>
      <c r="B211" s="8">
        <v>2.78</v>
      </c>
      <c r="C211" s="18">
        <v>0.36675461741424797</v>
      </c>
    </row>
    <row r="212" spans="1:3">
      <c r="A212" s="12" t="s">
        <v>225</v>
      </c>
      <c r="B212" s="8">
        <v>2.75</v>
      </c>
      <c r="C212" s="18">
        <v>0.36279683377308708</v>
      </c>
    </row>
    <row r="213" spans="1:3">
      <c r="A213" s="12" t="s">
        <v>226</v>
      </c>
      <c r="B213" s="8">
        <v>2.74</v>
      </c>
      <c r="C213" s="18">
        <v>0.3614775725593668</v>
      </c>
    </row>
    <row r="214" spans="1:3">
      <c r="A214" s="12" t="s">
        <v>227</v>
      </c>
      <c r="B214" s="8">
        <v>2.83</v>
      </c>
      <c r="C214" s="18">
        <v>0.37335092348284959</v>
      </c>
    </row>
    <row r="215" spans="1:3">
      <c r="A215" s="12" t="s">
        <v>228</v>
      </c>
      <c r="B215" s="8">
        <v>2.8</v>
      </c>
      <c r="C215" s="18">
        <v>0.36939313984168864</v>
      </c>
    </row>
    <row r="216" spans="1:3">
      <c r="A216" s="12" t="s">
        <v>229</v>
      </c>
      <c r="B216" s="8">
        <v>2.84</v>
      </c>
      <c r="C216" s="18">
        <v>0.37467018469656987</v>
      </c>
    </row>
    <row r="217" spans="1:3">
      <c r="A217" s="12" t="s">
        <v>230</v>
      </c>
      <c r="B217" s="8">
        <v>2.85</v>
      </c>
      <c r="C217" s="18">
        <v>0.37598944591029027</v>
      </c>
    </row>
    <row r="218" spans="1:3">
      <c r="A218" s="12" t="s">
        <v>231</v>
      </c>
      <c r="B218" s="8">
        <v>2.82</v>
      </c>
      <c r="C218" s="18">
        <v>0.37203166226912926</v>
      </c>
    </row>
    <row r="219" spans="1:3">
      <c r="A219" s="12" t="s">
        <v>232</v>
      </c>
      <c r="B219" s="8">
        <v>2.79</v>
      </c>
      <c r="C219" s="18">
        <v>0.36807387862796836</v>
      </c>
    </row>
    <row r="220" spans="1:3">
      <c r="A220" s="12" t="s">
        <v>233</v>
      </c>
      <c r="B220" s="8">
        <v>2.87</v>
      </c>
      <c r="C220" s="18">
        <v>0.37862796833773088</v>
      </c>
    </row>
    <row r="221" spans="1:3">
      <c r="A221" s="12" t="s">
        <v>234</v>
      </c>
      <c r="B221" s="8">
        <v>3.03</v>
      </c>
      <c r="C221" s="18">
        <v>0.39973614775725591</v>
      </c>
    </row>
    <row r="222" spans="1:3">
      <c r="A222" s="12" t="s">
        <v>235</v>
      </c>
      <c r="B222" s="8">
        <v>2.99</v>
      </c>
      <c r="C222" s="18">
        <v>0.39445910290237468</v>
      </c>
    </row>
    <row r="223" spans="1:3">
      <c r="A223" s="12" t="s">
        <v>236</v>
      </c>
      <c r="B223" s="8">
        <v>2.98</v>
      </c>
      <c r="C223" s="18">
        <v>0.39313984168865435</v>
      </c>
    </row>
    <row r="224" spans="1:3">
      <c r="A224" s="12" t="s">
        <v>237</v>
      </c>
      <c r="B224" s="8">
        <v>2.96</v>
      </c>
      <c r="C224" s="18">
        <v>0.39050131926121373</v>
      </c>
    </row>
    <row r="225" spans="1:3">
      <c r="A225" s="12" t="s">
        <v>238</v>
      </c>
      <c r="B225" s="8">
        <v>2.94</v>
      </c>
      <c r="C225" s="18">
        <v>0.38786279683377306</v>
      </c>
    </row>
    <row r="226" spans="1:3">
      <c r="A226" s="12" t="s">
        <v>239</v>
      </c>
      <c r="B226" s="8">
        <v>3.06</v>
      </c>
      <c r="C226" s="18">
        <v>0.40369393139841692</v>
      </c>
    </row>
    <row r="227" spans="1:3">
      <c r="A227" s="12" t="s">
        <v>240</v>
      </c>
      <c r="B227" s="8">
        <v>3.08</v>
      </c>
      <c r="C227" s="18">
        <v>0.40633245382585753</v>
      </c>
    </row>
    <row r="228" spans="1:3">
      <c r="A228" s="12" t="s">
        <v>241</v>
      </c>
      <c r="B228" s="8">
        <v>3.09</v>
      </c>
      <c r="C228" s="18">
        <v>0.40765171503957781</v>
      </c>
    </row>
    <row r="229" spans="1:3">
      <c r="A229" s="12" t="s">
        <v>242</v>
      </c>
      <c r="B229" s="8">
        <v>3.03</v>
      </c>
      <c r="C229" s="18">
        <v>0.39973614775725591</v>
      </c>
    </row>
    <row r="230" spans="1:3">
      <c r="A230" s="12" t="s">
        <v>243</v>
      </c>
      <c r="B230" s="8">
        <v>3.05</v>
      </c>
      <c r="C230" s="18">
        <v>0.40237467018469653</v>
      </c>
    </row>
    <row r="231" spans="1:3">
      <c r="A231" s="12" t="s">
        <v>244</v>
      </c>
      <c r="B231" s="8">
        <v>3.09</v>
      </c>
      <c r="C231" s="18">
        <v>0.40765171503957781</v>
      </c>
    </row>
    <row r="232" spans="1:3">
      <c r="A232" s="12" t="s">
        <v>245</v>
      </c>
      <c r="B232" s="8">
        <v>3.07</v>
      </c>
      <c r="C232" s="18">
        <v>0.4050131926121372</v>
      </c>
    </row>
    <row r="233" spans="1:3">
      <c r="A233" s="12" t="s">
        <v>246</v>
      </c>
      <c r="B233" s="8">
        <v>3.04</v>
      </c>
      <c r="C233" s="18">
        <v>0.40105540897097625</v>
      </c>
    </row>
    <row r="234" spans="1:3">
      <c r="A234" s="12" t="s">
        <v>247</v>
      </c>
      <c r="B234" s="8">
        <v>3.05</v>
      </c>
      <c r="C234" s="18">
        <v>0.40237467018469653</v>
      </c>
    </row>
    <row r="235" spans="1:3">
      <c r="A235" s="12" t="s">
        <v>248</v>
      </c>
      <c r="B235" s="8">
        <v>2.94</v>
      </c>
      <c r="C235" s="18">
        <v>0.38786279683377306</v>
      </c>
    </row>
    <row r="236" spans="1:3">
      <c r="A236" s="12" t="s">
        <v>249</v>
      </c>
      <c r="B236" s="8">
        <v>2.95</v>
      </c>
      <c r="C236" s="18">
        <v>0.38918205804749345</v>
      </c>
    </row>
    <row r="237" spans="1:3">
      <c r="A237" s="12" t="s">
        <v>250</v>
      </c>
      <c r="B237" s="8">
        <v>3.02</v>
      </c>
      <c r="C237" s="18">
        <v>0.39841688654353563</v>
      </c>
    </row>
    <row r="238" spans="1:3">
      <c r="A238" s="12" t="s">
        <v>251</v>
      </c>
      <c r="B238" s="8">
        <v>3.02</v>
      </c>
      <c r="C238" s="18">
        <v>0.39841688654353563</v>
      </c>
    </row>
    <row r="239" spans="1:3">
      <c r="A239" s="12" t="s">
        <v>252</v>
      </c>
      <c r="B239" s="8">
        <v>3.02</v>
      </c>
      <c r="C239" s="18">
        <v>0.39841688654353563</v>
      </c>
    </row>
    <row r="240" spans="1:3">
      <c r="A240" s="12" t="s">
        <v>253</v>
      </c>
      <c r="B240" s="8">
        <v>3.04</v>
      </c>
      <c r="C240" s="18">
        <v>0.40105540897097625</v>
      </c>
    </row>
    <row r="241" spans="1:3">
      <c r="A241" s="12" t="s">
        <v>254</v>
      </c>
      <c r="B241" s="8">
        <v>3.06</v>
      </c>
      <c r="C241" s="18">
        <v>0.40369393139841692</v>
      </c>
    </row>
    <row r="242" spans="1:3">
      <c r="A242" s="12" t="s">
        <v>255</v>
      </c>
      <c r="B242" s="8">
        <v>3.01</v>
      </c>
      <c r="C242" s="18">
        <v>0.3970976253298153</v>
      </c>
    </row>
    <row r="243" spans="1:3">
      <c r="A243" s="12" t="s">
        <v>256</v>
      </c>
      <c r="B243" s="8">
        <v>2.94</v>
      </c>
      <c r="C243" s="18">
        <v>0.38786279683377306</v>
      </c>
    </row>
    <row r="244" spans="1:3">
      <c r="A244" s="12" t="s">
        <v>257</v>
      </c>
      <c r="B244" s="8">
        <v>3</v>
      </c>
      <c r="C244" s="18">
        <v>0.39577836411609496</v>
      </c>
    </row>
    <row r="245" spans="1:3">
      <c r="A245" s="12" t="s">
        <v>258</v>
      </c>
      <c r="B245" s="8">
        <v>3.02</v>
      </c>
      <c r="C245" s="18">
        <v>0.39841688654353563</v>
      </c>
    </row>
    <row r="246" spans="1:3">
      <c r="A246" s="12" t="s">
        <v>259</v>
      </c>
      <c r="B246" s="8">
        <v>2.98</v>
      </c>
      <c r="C246" s="18">
        <v>0.39313984168865435</v>
      </c>
    </row>
    <row r="247" spans="1:3">
      <c r="A247" s="12" t="s">
        <v>260</v>
      </c>
      <c r="B247" s="8">
        <v>2.9</v>
      </c>
      <c r="C247" s="18">
        <v>0.38258575197889183</v>
      </c>
    </row>
    <row r="248" spans="1:3">
      <c r="A248" s="12" t="s">
        <v>261</v>
      </c>
      <c r="B248" s="8">
        <v>2.88</v>
      </c>
      <c r="C248" s="18">
        <v>0.37994722955145116</v>
      </c>
    </row>
    <row r="249" spans="1:3">
      <c r="A249" s="12" t="s">
        <v>262</v>
      </c>
      <c r="B249" s="8">
        <v>2.85</v>
      </c>
      <c r="C249" s="18">
        <v>0.37598944591029027</v>
      </c>
    </row>
    <row r="250" spans="1:3">
      <c r="A250" s="12" t="s">
        <v>263</v>
      </c>
      <c r="B250" s="8">
        <v>2.92</v>
      </c>
      <c r="C250" s="18">
        <v>0.38522427440633245</v>
      </c>
    </row>
    <row r="251" spans="1:3">
      <c r="A251" s="12" t="s">
        <v>264</v>
      </c>
      <c r="B251" s="8">
        <v>2.84</v>
      </c>
      <c r="C251" s="18">
        <v>0.37467018469656987</v>
      </c>
    </row>
    <row r="252" spans="1:3">
      <c r="A252" s="12" t="s">
        <v>265</v>
      </c>
      <c r="B252" s="8">
        <v>2.9</v>
      </c>
      <c r="C252" s="18">
        <v>0.38258575197889183</v>
      </c>
    </row>
    <row r="253" spans="1:3">
      <c r="A253" s="12" t="s">
        <v>266</v>
      </c>
      <c r="B253" s="8">
        <v>2.94</v>
      </c>
      <c r="C253" s="18">
        <v>0.38786279683377306</v>
      </c>
    </row>
    <row r="254" spans="1:3">
      <c r="A254" s="12" t="s">
        <v>267</v>
      </c>
      <c r="B254" s="8">
        <v>2.91</v>
      </c>
      <c r="C254" s="18">
        <v>0.38390501319261217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2B7A-E930-4DCA-BBEB-6043992B3A47}">
  <dimension ref="A1:J256"/>
  <sheetViews>
    <sheetView tabSelected="1" topLeftCell="F1" workbookViewId="0">
      <selection activeCell="J5" sqref="J5"/>
    </sheetView>
  </sheetViews>
  <sheetFormatPr defaultRowHeight="12.75"/>
  <cols>
    <col min="1" max="1" width="14.28515625" style="12" customWidth="1"/>
    <col min="2" max="2" width="10.7109375" style="9" customWidth="1"/>
    <col min="3" max="3" width="11.28515625" style="14" customWidth="1"/>
    <col min="4" max="4" width="20.5703125" style="25" customWidth="1"/>
    <col min="5" max="6" width="15.5703125" style="8" customWidth="1"/>
    <col min="7" max="7" width="17" customWidth="1"/>
    <col min="8" max="8" width="31.85546875" customWidth="1"/>
    <col min="9" max="9" width="22.7109375" customWidth="1"/>
  </cols>
  <sheetData>
    <row r="1" spans="1:10" ht="15">
      <c r="A1" s="11" t="s">
        <v>2</v>
      </c>
      <c r="B1" s="7" t="s">
        <v>6</v>
      </c>
      <c r="C1" s="27" t="s">
        <v>11</v>
      </c>
      <c r="D1" s="24" t="s">
        <v>270</v>
      </c>
      <c r="E1" s="23" t="s">
        <v>271</v>
      </c>
      <c r="F1" s="23" t="s">
        <v>272</v>
      </c>
      <c r="G1" s="22" t="s">
        <v>273</v>
      </c>
      <c r="H1" s="17"/>
      <c r="I1" t="s">
        <v>274</v>
      </c>
    </row>
    <row r="2" spans="1:10">
      <c r="A2" s="12" t="s">
        <v>15</v>
      </c>
      <c r="B2" s="8">
        <v>3.71</v>
      </c>
      <c r="D2" s="10">
        <f>ROUNDDOWN(1000/$B$2,0)</f>
        <v>269</v>
      </c>
      <c r="E2" s="8">
        <f>D2*B2</f>
        <v>997.99</v>
      </c>
      <c r="F2" s="8">
        <f>E2+$J$2</f>
        <v>1000</v>
      </c>
      <c r="G2" s="14">
        <f>C2*D2</f>
        <v>0</v>
      </c>
      <c r="H2" s="8"/>
      <c r="I2" t="s">
        <v>275</v>
      </c>
      <c r="J2" s="8">
        <f>1000-E2</f>
        <v>2.0099999999999909</v>
      </c>
    </row>
    <row r="3" spans="1:10">
      <c r="A3" s="12" t="s">
        <v>16</v>
      </c>
      <c r="B3" s="8">
        <v>3.73</v>
      </c>
      <c r="D3" s="10">
        <f t="shared" ref="D3:D66" si="0">ROUNDDOWN(1000/$B$2,0)</f>
        <v>269</v>
      </c>
      <c r="E3" s="8">
        <f t="shared" ref="E3:E66" si="1">D3*B3</f>
        <v>1003.37</v>
      </c>
      <c r="F3" s="8">
        <f t="shared" ref="F3:F7" si="2">E3+$J$2</f>
        <v>1005.38</v>
      </c>
      <c r="G3" s="14">
        <f t="shared" ref="G3:G66" si="3">C3*D3</f>
        <v>0</v>
      </c>
      <c r="I3" s="22" t="s">
        <v>276</v>
      </c>
      <c r="J3" s="14">
        <f>SUM(G2:G254)</f>
        <v>26.9</v>
      </c>
    </row>
    <row r="4" spans="1:10">
      <c r="A4" s="12" t="s">
        <v>17</v>
      </c>
      <c r="B4" s="8">
        <v>3.78</v>
      </c>
      <c r="D4" s="10">
        <f t="shared" si="0"/>
        <v>269</v>
      </c>
      <c r="E4" s="8">
        <f t="shared" si="1"/>
        <v>1016.8199999999999</v>
      </c>
      <c r="F4" s="8">
        <f t="shared" si="2"/>
        <v>1018.8299999999999</v>
      </c>
      <c r="G4" s="14">
        <f t="shared" si="3"/>
        <v>0</v>
      </c>
      <c r="I4" s="22" t="s">
        <v>277</v>
      </c>
      <c r="J4" s="8">
        <f>E254 + J3 + J2</f>
        <v>811.7</v>
      </c>
    </row>
    <row r="5" spans="1:10">
      <c r="A5" s="12" t="s">
        <v>18</v>
      </c>
      <c r="B5" s="8">
        <v>3.85</v>
      </c>
      <c r="D5" s="10">
        <f t="shared" si="0"/>
        <v>269</v>
      </c>
      <c r="E5" s="8">
        <f t="shared" si="1"/>
        <v>1035.6500000000001</v>
      </c>
      <c r="F5" s="8">
        <f t="shared" si="2"/>
        <v>1037.6600000000001</v>
      </c>
      <c r="G5" s="14">
        <f t="shared" si="3"/>
        <v>0</v>
      </c>
    </row>
    <row r="6" spans="1:10">
      <c r="A6" s="12" t="s">
        <v>19</v>
      </c>
      <c r="B6" s="8">
        <v>3.82</v>
      </c>
      <c r="D6" s="10">
        <f t="shared" si="0"/>
        <v>269</v>
      </c>
      <c r="E6" s="8">
        <f t="shared" si="1"/>
        <v>1027.58</v>
      </c>
      <c r="F6" s="8">
        <f t="shared" si="2"/>
        <v>1029.5899999999999</v>
      </c>
      <c r="G6" s="14">
        <f t="shared" si="3"/>
        <v>0</v>
      </c>
    </row>
    <row r="7" spans="1:10">
      <c r="A7" s="12" t="s">
        <v>20</v>
      </c>
      <c r="B7" s="8">
        <v>3.7</v>
      </c>
      <c r="D7" s="10">
        <f t="shared" si="0"/>
        <v>269</v>
      </c>
      <c r="E7" s="8">
        <f t="shared" si="1"/>
        <v>995.30000000000007</v>
      </c>
      <c r="F7" s="8">
        <f>E7+$J$2</f>
        <v>997.31000000000006</v>
      </c>
      <c r="G7" s="14">
        <f t="shared" si="3"/>
        <v>0</v>
      </c>
    </row>
    <row r="8" spans="1:10">
      <c r="A8" s="12" t="s">
        <v>21</v>
      </c>
      <c r="B8" s="8">
        <v>3.72</v>
      </c>
      <c r="D8" s="10">
        <f t="shared" si="0"/>
        <v>269</v>
      </c>
      <c r="E8" s="8">
        <f t="shared" si="1"/>
        <v>1000.6800000000001</v>
      </c>
      <c r="F8" s="8">
        <f>E8+$J$2</f>
        <v>1002.69</v>
      </c>
      <c r="G8" s="14">
        <f t="shared" si="3"/>
        <v>0</v>
      </c>
    </row>
    <row r="9" spans="1:10">
      <c r="A9" s="12" t="s">
        <v>22</v>
      </c>
      <c r="B9" s="8">
        <v>3.64</v>
      </c>
      <c r="D9" s="10">
        <f t="shared" si="0"/>
        <v>269</v>
      </c>
      <c r="E9" s="8">
        <f t="shared" si="1"/>
        <v>979.16000000000008</v>
      </c>
      <c r="F9" s="8">
        <f t="shared" ref="F8:F71" si="4">E9+$J$2</f>
        <v>981.17000000000007</v>
      </c>
      <c r="G9" s="14">
        <f t="shared" si="3"/>
        <v>0</v>
      </c>
    </row>
    <row r="10" spans="1:10">
      <c r="A10" s="12" t="s">
        <v>23</v>
      </c>
      <c r="B10" s="8">
        <v>3.62</v>
      </c>
      <c r="D10" s="10">
        <f t="shared" si="0"/>
        <v>269</v>
      </c>
      <c r="E10" s="8">
        <f t="shared" si="1"/>
        <v>973.78</v>
      </c>
      <c r="F10" s="8">
        <f t="shared" si="4"/>
        <v>975.79</v>
      </c>
      <c r="G10" s="14">
        <f t="shared" si="3"/>
        <v>0</v>
      </c>
    </row>
    <row r="11" spans="1:10">
      <c r="A11" s="12" t="s">
        <v>24</v>
      </c>
      <c r="B11" s="8">
        <v>3.62</v>
      </c>
      <c r="D11" s="10">
        <f t="shared" si="0"/>
        <v>269</v>
      </c>
      <c r="E11" s="8">
        <f t="shared" si="1"/>
        <v>973.78</v>
      </c>
      <c r="F11" s="8">
        <f t="shared" si="4"/>
        <v>975.79</v>
      </c>
      <c r="G11" s="14">
        <f t="shared" si="3"/>
        <v>0</v>
      </c>
    </row>
    <row r="12" spans="1:10">
      <c r="A12" s="12" t="s">
        <v>25</v>
      </c>
      <c r="B12" s="8">
        <v>3.62</v>
      </c>
      <c r="D12" s="10">
        <f t="shared" si="0"/>
        <v>269</v>
      </c>
      <c r="E12" s="8">
        <f t="shared" si="1"/>
        <v>973.78</v>
      </c>
      <c r="F12" s="8">
        <f t="shared" si="4"/>
        <v>975.79</v>
      </c>
      <c r="G12" s="14">
        <f t="shared" si="3"/>
        <v>0</v>
      </c>
    </row>
    <row r="13" spans="1:10">
      <c r="A13" s="12" t="s">
        <v>26</v>
      </c>
      <c r="B13" s="8">
        <v>3.57</v>
      </c>
      <c r="D13" s="10">
        <f t="shared" si="0"/>
        <v>269</v>
      </c>
      <c r="E13" s="8">
        <f t="shared" si="1"/>
        <v>960.32999999999993</v>
      </c>
      <c r="F13" s="8">
        <f t="shared" si="4"/>
        <v>962.33999999999992</v>
      </c>
      <c r="G13" s="14">
        <f t="shared" si="3"/>
        <v>0</v>
      </c>
    </row>
    <row r="14" spans="1:10">
      <c r="A14" s="12" t="s">
        <v>27</v>
      </c>
      <c r="B14" s="8">
        <v>3.55</v>
      </c>
      <c r="D14" s="10">
        <f t="shared" si="0"/>
        <v>269</v>
      </c>
      <c r="E14" s="8">
        <f t="shared" si="1"/>
        <v>954.94999999999993</v>
      </c>
      <c r="F14" s="8">
        <f t="shared" si="4"/>
        <v>956.95999999999992</v>
      </c>
      <c r="G14" s="14">
        <f t="shared" si="3"/>
        <v>0</v>
      </c>
    </row>
    <row r="15" spans="1:10">
      <c r="A15" s="12" t="s">
        <v>28</v>
      </c>
      <c r="B15" s="8">
        <v>3.49</v>
      </c>
      <c r="D15" s="10">
        <f t="shared" si="0"/>
        <v>269</v>
      </c>
      <c r="E15" s="8">
        <f t="shared" si="1"/>
        <v>938.81000000000006</v>
      </c>
      <c r="F15" s="8">
        <f t="shared" si="4"/>
        <v>940.82</v>
      </c>
      <c r="G15" s="14">
        <f t="shared" si="3"/>
        <v>0</v>
      </c>
    </row>
    <row r="16" spans="1:10">
      <c r="A16" s="12" t="s">
        <v>29</v>
      </c>
      <c r="B16" s="8">
        <v>3.42</v>
      </c>
      <c r="D16" s="10">
        <f t="shared" si="0"/>
        <v>269</v>
      </c>
      <c r="E16" s="8">
        <f t="shared" si="1"/>
        <v>919.98</v>
      </c>
      <c r="F16" s="8">
        <f t="shared" si="4"/>
        <v>921.99</v>
      </c>
      <c r="G16" s="14">
        <f t="shared" si="3"/>
        <v>0</v>
      </c>
    </row>
    <row r="17" spans="1:7">
      <c r="A17" s="12" t="s">
        <v>30</v>
      </c>
      <c r="B17" s="8">
        <v>2.99</v>
      </c>
      <c r="D17" s="10">
        <f t="shared" si="0"/>
        <v>269</v>
      </c>
      <c r="E17" s="8">
        <f t="shared" si="1"/>
        <v>804.31000000000006</v>
      </c>
      <c r="F17" s="8">
        <f t="shared" si="4"/>
        <v>806.32</v>
      </c>
      <c r="G17" s="14">
        <f t="shared" si="3"/>
        <v>0</v>
      </c>
    </row>
    <row r="18" spans="1:7">
      <c r="A18" s="12" t="s">
        <v>31</v>
      </c>
      <c r="B18" s="8">
        <v>2.98</v>
      </c>
      <c r="D18" s="10">
        <f t="shared" si="0"/>
        <v>269</v>
      </c>
      <c r="E18" s="8">
        <f t="shared" si="1"/>
        <v>801.62</v>
      </c>
      <c r="F18" s="8">
        <f t="shared" si="4"/>
        <v>803.63</v>
      </c>
      <c r="G18" s="14">
        <f t="shared" si="3"/>
        <v>0</v>
      </c>
    </row>
    <row r="19" spans="1:7">
      <c r="A19" s="12" t="s">
        <v>32</v>
      </c>
      <c r="B19" s="8">
        <v>2.96</v>
      </c>
      <c r="D19" s="10">
        <f t="shared" si="0"/>
        <v>269</v>
      </c>
      <c r="E19" s="8">
        <f t="shared" si="1"/>
        <v>796.24</v>
      </c>
      <c r="F19" s="8">
        <f t="shared" si="4"/>
        <v>798.25</v>
      </c>
      <c r="G19" s="14">
        <f t="shared" si="3"/>
        <v>0</v>
      </c>
    </row>
    <row r="20" spans="1:7">
      <c r="A20" s="12" t="s">
        <v>33</v>
      </c>
      <c r="B20" s="8">
        <v>2.91</v>
      </c>
      <c r="D20" s="10">
        <f t="shared" si="0"/>
        <v>269</v>
      </c>
      <c r="E20" s="8">
        <f t="shared" si="1"/>
        <v>782.79000000000008</v>
      </c>
      <c r="F20" s="8">
        <f t="shared" si="4"/>
        <v>784.80000000000007</v>
      </c>
      <c r="G20" s="14">
        <f t="shared" si="3"/>
        <v>0</v>
      </c>
    </row>
    <row r="21" spans="1:7">
      <c r="A21" s="12" t="s">
        <v>34</v>
      </c>
      <c r="B21" s="8">
        <v>2.98</v>
      </c>
      <c r="D21" s="10">
        <f t="shared" si="0"/>
        <v>269</v>
      </c>
      <c r="E21" s="8">
        <f t="shared" si="1"/>
        <v>801.62</v>
      </c>
      <c r="F21" s="8">
        <f t="shared" si="4"/>
        <v>803.63</v>
      </c>
      <c r="G21" s="14">
        <f t="shared" si="3"/>
        <v>0</v>
      </c>
    </row>
    <row r="22" spans="1:7">
      <c r="A22" s="12" t="s">
        <v>35</v>
      </c>
      <c r="B22" s="8">
        <v>3.02</v>
      </c>
      <c r="D22" s="10">
        <f t="shared" si="0"/>
        <v>269</v>
      </c>
      <c r="E22" s="8">
        <f t="shared" si="1"/>
        <v>812.38</v>
      </c>
      <c r="F22" s="8">
        <f t="shared" si="4"/>
        <v>814.39</v>
      </c>
      <c r="G22" s="14">
        <f t="shared" si="3"/>
        <v>0</v>
      </c>
    </row>
    <row r="23" spans="1:7">
      <c r="A23" s="12" t="s">
        <v>36</v>
      </c>
      <c r="B23" s="8">
        <v>3.01</v>
      </c>
      <c r="D23" s="10">
        <f t="shared" si="0"/>
        <v>269</v>
      </c>
      <c r="E23" s="8">
        <f t="shared" si="1"/>
        <v>809.68999999999994</v>
      </c>
      <c r="F23" s="8">
        <f t="shared" si="4"/>
        <v>811.69999999999993</v>
      </c>
      <c r="G23" s="14">
        <f t="shared" si="3"/>
        <v>0</v>
      </c>
    </row>
    <row r="24" spans="1:7">
      <c r="A24" s="12" t="s">
        <v>37</v>
      </c>
      <c r="B24" s="8">
        <v>3.07</v>
      </c>
      <c r="D24" s="10">
        <f t="shared" si="0"/>
        <v>269</v>
      </c>
      <c r="E24" s="8">
        <f t="shared" si="1"/>
        <v>825.82999999999993</v>
      </c>
      <c r="F24" s="8">
        <f t="shared" si="4"/>
        <v>827.83999999999992</v>
      </c>
      <c r="G24" s="14">
        <f t="shared" si="3"/>
        <v>0</v>
      </c>
    </row>
    <row r="25" spans="1:7">
      <c r="A25" s="12" t="s">
        <v>38</v>
      </c>
      <c r="B25" s="8">
        <v>3.14</v>
      </c>
      <c r="D25" s="10">
        <f t="shared" si="0"/>
        <v>269</v>
      </c>
      <c r="E25" s="8">
        <f t="shared" si="1"/>
        <v>844.66000000000008</v>
      </c>
      <c r="F25" s="8">
        <f t="shared" si="4"/>
        <v>846.67000000000007</v>
      </c>
      <c r="G25" s="14">
        <f t="shared" si="3"/>
        <v>0</v>
      </c>
    </row>
    <row r="26" spans="1:7">
      <c r="A26" s="12" t="s">
        <v>39</v>
      </c>
      <c r="B26" s="8">
        <v>3.02</v>
      </c>
      <c r="D26" s="10">
        <f t="shared" si="0"/>
        <v>269</v>
      </c>
      <c r="E26" s="8">
        <f t="shared" si="1"/>
        <v>812.38</v>
      </c>
      <c r="F26" s="8">
        <f t="shared" si="4"/>
        <v>814.39</v>
      </c>
      <c r="G26" s="14">
        <f t="shared" si="3"/>
        <v>0</v>
      </c>
    </row>
    <row r="27" spans="1:7">
      <c r="A27" s="12" t="s">
        <v>40</v>
      </c>
      <c r="B27" s="8">
        <v>2.84</v>
      </c>
      <c r="D27" s="10">
        <f t="shared" si="0"/>
        <v>269</v>
      </c>
      <c r="E27" s="8">
        <f t="shared" si="1"/>
        <v>763.95999999999992</v>
      </c>
      <c r="F27" s="8">
        <f t="shared" si="4"/>
        <v>765.96999999999991</v>
      </c>
      <c r="G27" s="14">
        <f t="shared" si="3"/>
        <v>0</v>
      </c>
    </row>
    <row r="28" spans="1:7">
      <c r="A28" s="12" t="s">
        <v>41</v>
      </c>
      <c r="B28" s="8">
        <v>2.86</v>
      </c>
      <c r="D28" s="10">
        <f t="shared" si="0"/>
        <v>269</v>
      </c>
      <c r="E28" s="8">
        <f t="shared" si="1"/>
        <v>769.33999999999992</v>
      </c>
      <c r="F28" s="8">
        <f t="shared" si="4"/>
        <v>771.34999999999991</v>
      </c>
      <c r="G28" s="14">
        <f t="shared" si="3"/>
        <v>0</v>
      </c>
    </row>
    <row r="29" spans="1:7">
      <c r="A29" s="12" t="s">
        <v>42</v>
      </c>
      <c r="B29" s="8">
        <v>2.88</v>
      </c>
      <c r="D29" s="10">
        <f t="shared" si="0"/>
        <v>269</v>
      </c>
      <c r="E29" s="8">
        <f t="shared" si="1"/>
        <v>774.72</v>
      </c>
      <c r="F29" s="8">
        <f t="shared" si="4"/>
        <v>776.73</v>
      </c>
      <c r="G29" s="14">
        <f t="shared" si="3"/>
        <v>0</v>
      </c>
    </row>
    <row r="30" spans="1:7">
      <c r="A30" s="12" t="s">
        <v>43</v>
      </c>
      <c r="B30" s="8">
        <v>2.83</v>
      </c>
      <c r="D30" s="10">
        <f t="shared" si="0"/>
        <v>269</v>
      </c>
      <c r="E30" s="8">
        <f t="shared" si="1"/>
        <v>761.27</v>
      </c>
      <c r="F30" s="8">
        <f t="shared" si="4"/>
        <v>763.28</v>
      </c>
      <c r="G30" s="14">
        <f t="shared" si="3"/>
        <v>0</v>
      </c>
    </row>
    <row r="31" spans="1:7">
      <c r="A31" s="12" t="s">
        <v>44</v>
      </c>
      <c r="B31" s="8">
        <v>2.94</v>
      </c>
      <c r="D31" s="10">
        <f t="shared" si="0"/>
        <v>269</v>
      </c>
      <c r="E31" s="8">
        <f t="shared" si="1"/>
        <v>790.86</v>
      </c>
      <c r="F31" s="8">
        <f t="shared" si="4"/>
        <v>792.87</v>
      </c>
      <c r="G31" s="14">
        <f t="shared" si="3"/>
        <v>0</v>
      </c>
    </row>
    <row r="32" spans="1:7">
      <c r="A32" s="12" t="s">
        <v>45</v>
      </c>
      <c r="B32" s="8">
        <v>2.93</v>
      </c>
      <c r="D32" s="10">
        <f t="shared" si="0"/>
        <v>269</v>
      </c>
      <c r="E32" s="8">
        <f t="shared" si="1"/>
        <v>788.17000000000007</v>
      </c>
      <c r="F32" s="8">
        <f t="shared" si="4"/>
        <v>790.18000000000006</v>
      </c>
      <c r="G32" s="14">
        <f t="shared" si="3"/>
        <v>0</v>
      </c>
    </row>
    <row r="33" spans="1:7">
      <c r="A33" s="12" t="s">
        <v>46</v>
      </c>
      <c r="B33" s="8">
        <v>2.96</v>
      </c>
      <c r="D33" s="10">
        <f t="shared" si="0"/>
        <v>269</v>
      </c>
      <c r="E33" s="8">
        <f t="shared" si="1"/>
        <v>796.24</v>
      </c>
      <c r="F33" s="8">
        <f t="shared" si="4"/>
        <v>798.25</v>
      </c>
      <c r="G33" s="14">
        <f t="shared" si="3"/>
        <v>0</v>
      </c>
    </row>
    <row r="34" spans="1:7">
      <c r="A34" s="12" t="s">
        <v>47</v>
      </c>
      <c r="B34" s="8">
        <v>2.91</v>
      </c>
      <c r="D34" s="10">
        <f t="shared" si="0"/>
        <v>269</v>
      </c>
      <c r="E34" s="8">
        <f t="shared" si="1"/>
        <v>782.79000000000008</v>
      </c>
      <c r="F34" s="8">
        <f t="shared" si="4"/>
        <v>784.80000000000007</v>
      </c>
      <c r="G34" s="14">
        <f t="shared" si="3"/>
        <v>0</v>
      </c>
    </row>
    <row r="35" spans="1:7">
      <c r="A35" s="12" t="s">
        <v>48</v>
      </c>
      <c r="B35" s="8">
        <v>2.92</v>
      </c>
      <c r="D35" s="10">
        <f t="shared" si="0"/>
        <v>269</v>
      </c>
      <c r="E35" s="8">
        <f t="shared" si="1"/>
        <v>785.48</v>
      </c>
      <c r="F35" s="8">
        <f t="shared" si="4"/>
        <v>787.49</v>
      </c>
      <c r="G35" s="14">
        <f t="shared" si="3"/>
        <v>0</v>
      </c>
    </row>
    <row r="36" spans="1:7">
      <c r="A36" s="12" t="s">
        <v>49</v>
      </c>
      <c r="B36" s="8">
        <v>2.98</v>
      </c>
      <c r="D36" s="10">
        <f t="shared" si="0"/>
        <v>269</v>
      </c>
      <c r="E36" s="8">
        <f t="shared" si="1"/>
        <v>801.62</v>
      </c>
      <c r="F36" s="8">
        <f t="shared" si="4"/>
        <v>803.63</v>
      </c>
      <c r="G36" s="14">
        <f t="shared" si="3"/>
        <v>0</v>
      </c>
    </row>
    <row r="37" spans="1:7">
      <c r="A37" s="12" t="s">
        <v>50</v>
      </c>
      <c r="B37" s="8">
        <v>2.96</v>
      </c>
      <c r="D37" s="10">
        <f t="shared" si="0"/>
        <v>269</v>
      </c>
      <c r="E37" s="8">
        <f t="shared" si="1"/>
        <v>796.24</v>
      </c>
      <c r="F37" s="8">
        <f t="shared" si="4"/>
        <v>798.25</v>
      </c>
      <c r="G37" s="14">
        <f t="shared" si="3"/>
        <v>0</v>
      </c>
    </row>
    <row r="38" spans="1:7">
      <c r="A38" s="12" t="s">
        <v>51</v>
      </c>
      <c r="B38" s="8">
        <v>3.01</v>
      </c>
      <c r="D38" s="10">
        <f t="shared" si="0"/>
        <v>269</v>
      </c>
      <c r="E38" s="8">
        <f t="shared" si="1"/>
        <v>809.68999999999994</v>
      </c>
      <c r="F38" s="8">
        <f t="shared" si="4"/>
        <v>811.69999999999993</v>
      </c>
      <c r="G38" s="14">
        <f t="shared" si="3"/>
        <v>0</v>
      </c>
    </row>
    <row r="39" spans="1:7">
      <c r="A39" s="12" t="s">
        <v>52</v>
      </c>
      <c r="B39" s="8">
        <v>3.01</v>
      </c>
      <c r="D39" s="10">
        <f t="shared" si="0"/>
        <v>269</v>
      </c>
      <c r="E39" s="8">
        <f t="shared" si="1"/>
        <v>809.68999999999994</v>
      </c>
      <c r="F39" s="8">
        <f t="shared" si="4"/>
        <v>811.69999999999993</v>
      </c>
      <c r="G39" s="14">
        <f t="shared" si="3"/>
        <v>0</v>
      </c>
    </row>
    <row r="40" spans="1:7">
      <c r="A40" s="12" t="s">
        <v>53</v>
      </c>
      <c r="B40" s="8">
        <v>3.04</v>
      </c>
      <c r="D40" s="10">
        <f t="shared" si="0"/>
        <v>269</v>
      </c>
      <c r="E40" s="8">
        <f t="shared" si="1"/>
        <v>817.76</v>
      </c>
      <c r="F40" s="8">
        <f t="shared" si="4"/>
        <v>819.77</v>
      </c>
      <c r="G40" s="14">
        <f t="shared" si="3"/>
        <v>0</v>
      </c>
    </row>
    <row r="41" spans="1:7">
      <c r="A41" s="12" t="s">
        <v>54</v>
      </c>
      <c r="B41" s="8">
        <v>3.03</v>
      </c>
      <c r="D41" s="10">
        <f t="shared" si="0"/>
        <v>269</v>
      </c>
      <c r="E41" s="8">
        <f t="shared" si="1"/>
        <v>815.06999999999994</v>
      </c>
      <c r="F41" s="8">
        <f t="shared" si="4"/>
        <v>817.07999999999993</v>
      </c>
      <c r="G41" s="14">
        <f t="shared" si="3"/>
        <v>0</v>
      </c>
    </row>
    <row r="42" spans="1:7">
      <c r="A42" s="12" t="s">
        <v>55</v>
      </c>
      <c r="B42" s="8">
        <v>3.09</v>
      </c>
      <c r="D42" s="10">
        <f t="shared" si="0"/>
        <v>269</v>
      </c>
      <c r="E42" s="8">
        <f t="shared" si="1"/>
        <v>831.20999999999992</v>
      </c>
      <c r="F42" s="8">
        <f t="shared" si="4"/>
        <v>833.21999999999991</v>
      </c>
      <c r="G42" s="14">
        <f t="shared" si="3"/>
        <v>0</v>
      </c>
    </row>
    <row r="43" spans="1:7">
      <c r="A43" s="12" t="s">
        <v>56</v>
      </c>
      <c r="B43" s="8">
        <v>3.1</v>
      </c>
      <c r="D43" s="10">
        <f t="shared" si="0"/>
        <v>269</v>
      </c>
      <c r="E43" s="8">
        <f t="shared" si="1"/>
        <v>833.9</v>
      </c>
      <c r="F43" s="8">
        <f t="shared" si="4"/>
        <v>835.91</v>
      </c>
      <c r="G43" s="14">
        <f t="shared" si="3"/>
        <v>0</v>
      </c>
    </row>
    <row r="44" spans="1:7">
      <c r="A44" s="12" t="s">
        <v>57</v>
      </c>
      <c r="B44" s="8">
        <v>3.08</v>
      </c>
      <c r="D44" s="10">
        <f t="shared" si="0"/>
        <v>269</v>
      </c>
      <c r="E44" s="8">
        <f t="shared" si="1"/>
        <v>828.52</v>
      </c>
      <c r="F44" s="8">
        <f t="shared" si="4"/>
        <v>830.53</v>
      </c>
      <c r="G44" s="14">
        <f t="shared" si="3"/>
        <v>0</v>
      </c>
    </row>
    <row r="45" spans="1:7">
      <c r="A45" s="12" t="s">
        <v>58</v>
      </c>
      <c r="B45" s="8">
        <v>3.1</v>
      </c>
      <c r="D45" s="10">
        <f t="shared" si="0"/>
        <v>269</v>
      </c>
      <c r="E45" s="8">
        <f t="shared" si="1"/>
        <v>833.9</v>
      </c>
      <c r="F45" s="8">
        <f t="shared" si="4"/>
        <v>835.91</v>
      </c>
      <c r="G45" s="14">
        <f t="shared" si="3"/>
        <v>0</v>
      </c>
    </row>
    <row r="46" spans="1:7">
      <c r="A46" s="12" t="s">
        <v>59</v>
      </c>
      <c r="B46" s="8">
        <v>3.14</v>
      </c>
      <c r="D46" s="10">
        <f t="shared" si="0"/>
        <v>269</v>
      </c>
      <c r="E46" s="8">
        <f t="shared" si="1"/>
        <v>844.66000000000008</v>
      </c>
      <c r="F46" s="8">
        <f t="shared" si="4"/>
        <v>846.67000000000007</v>
      </c>
      <c r="G46" s="14">
        <f t="shared" si="3"/>
        <v>0</v>
      </c>
    </row>
    <row r="47" spans="1:7">
      <c r="A47" s="12" t="s">
        <v>60</v>
      </c>
      <c r="B47" s="8">
        <v>3.1</v>
      </c>
      <c r="D47" s="10">
        <f t="shared" si="0"/>
        <v>269</v>
      </c>
      <c r="E47" s="8">
        <f t="shared" si="1"/>
        <v>833.9</v>
      </c>
      <c r="F47" s="8">
        <f t="shared" si="4"/>
        <v>835.91</v>
      </c>
      <c r="G47" s="14">
        <f t="shared" si="3"/>
        <v>0</v>
      </c>
    </row>
    <row r="48" spans="1:7">
      <c r="A48" s="12" t="s">
        <v>61</v>
      </c>
      <c r="B48" s="8">
        <v>3.1</v>
      </c>
      <c r="D48" s="10">
        <f t="shared" si="0"/>
        <v>269</v>
      </c>
      <c r="E48" s="8">
        <f t="shared" si="1"/>
        <v>833.9</v>
      </c>
      <c r="F48" s="8">
        <f t="shared" si="4"/>
        <v>835.91</v>
      </c>
      <c r="G48" s="14">
        <f t="shared" si="3"/>
        <v>0</v>
      </c>
    </row>
    <row r="49" spans="1:7">
      <c r="A49" s="12" t="s">
        <v>62</v>
      </c>
      <c r="B49" s="8">
        <v>3</v>
      </c>
      <c r="D49" s="10">
        <f t="shared" si="0"/>
        <v>269</v>
      </c>
      <c r="E49" s="8">
        <f t="shared" si="1"/>
        <v>807</v>
      </c>
      <c r="F49" s="8">
        <f t="shared" si="4"/>
        <v>809.01</v>
      </c>
      <c r="G49" s="14">
        <f t="shared" si="3"/>
        <v>0</v>
      </c>
    </row>
    <row r="50" spans="1:7">
      <c r="A50" s="12" t="s">
        <v>63</v>
      </c>
      <c r="B50" s="8">
        <v>3.04</v>
      </c>
      <c r="D50" s="10">
        <f t="shared" si="0"/>
        <v>269</v>
      </c>
      <c r="E50" s="8">
        <f t="shared" si="1"/>
        <v>817.76</v>
      </c>
      <c r="F50" s="8">
        <f t="shared" si="4"/>
        <v>819.77</v>
      </c>
      <c r="G50" s="14">
        <f t="shared" si="3"/>
        <v>0</v>
      </c>
    </row>
    <row r="51" spans="1:7">
      <c r="A51" s="12" t="s">
        <v>64</v>
      </c>
      <c r="B51" s="8">
        <v>2.98</v>
      </c>
      <c r="D51" s="10">
        <f t="shared" si="0"/>
        <v>269</v>
      </c>
      <c r="E51" s="8">
        <f t="shared" si="1"/>
        <v>801.62</v>
      </c>
      <c r="F51" s="8">
        <f t="shared" si="4"/>
        <v>803.63</v>
      </c>
      <c r="G51" s="14">
        <f t="shared" si="3"/>
        <v>0</v>
      </c>
    </row>
    <row r="52" spans="1:7">
      <c r="A52" s="12" t="s">
        <v>65</v>
      </c>
      <c r="B52" s="8">
        <v>2.97</v>
      </c>
      <c r="D52" s="10">
        <f t="shared" si="0"/>
        <v>269</v>
      </c>
      <c r="E52" s="8">
        <f t="shared" si="1"/>
        <v>798.93000000000006</v>
      </c>
      <c r="F52" s="8">
        <f t="shared" si="4"/>
        <v>800.94</v>
      </c>
      <c r="G52" s="14">
        <f t="shared" si="3"/>
        <v>0</v>
      </c>
    </row>
    <row r="53" spans="1:7">
      <c r="A53" s="12" t="s">
        <v>66</v>
      </c>
      <c r="B53" s="8">
        <v>2.99</v>
      </c>
      <c r="D53" s="10">
        <f t="shared" si="0"/>
        <v>269</v>
      </c>
      <c r="E53" s="8">
        <f t="shared" si="1"/>
        <v>804.31000000000006</v>
      </c>
      <c r="F53" s="8">
        <f t="shared" si="4"/>
        <v>806.32</v>
      </c>
      <c r="G53" s="14">
        <f t="shared" si="3"/>
        <v>0</v>
      </c>
    </row>
    <row r="54" spans="1:7">
      <c r="A54" s="12" t="s">
        <v>67</v>
      </c>
      <c r="B54" s="8">
        <v>3.01</v>
      </c>
      <c r="D54" s="10">
        <f t="shared" si="0"/>
        <v>269</v>
      </c>
      <c r="E54" s="8">
        <f t="shared" si="1"/>
        <v>809.68999999999994</v>
      </c>
      <c r="F54" s="8">
        <f t="shared" si="4"/>
        <v>811.69999999999993</v>
      </c>
      <c r="G54" s="14">
        <f t="shared" si="3"/>
        <v>0</v>
      </c>
    </row>
    <row r="55" spans="1:7">
      <c r="A55" s="12" t="s">
        <v>68</v>
      </c>
      <c r="B55" s="8">
        <v>3.08</v>
      </c>
      <c r="D55" s="10">
        <f t="shared" si="0"/>
        <v>269</v>
      </c>
      <c r="E55" s="8">
        <f t="shared" si="1"/>
        <v>828.52</v>
      </c>
      <c r="F55" s="8">
        <f t="shared" si="4"/>
        <v>830.53</v>
      </c>
      <c r="G55" s="14">
        <f t="shared" si="3"/>
        <v>0</v>
      </c>
    </row>
    <row r="56" spans="1:7">
      <c r="A56" s="12" t="s">
        <v>69</v>
      </c>
      <c r="B56" s="8">
        <v>3.19</v>
      </c>
      <c r="D56" s="10">
        <f t="shared" si="0"/>
        <v>269</v>
      </c>
      <c r="E56" s="8">
        <f t="shared" si="1"/>
        <v>858.11</v>
      </c>
      <c r="F56" s="8">
        <f t="shared" si="4"/>
        <v>860.12</v>
      </c>
      <c r="G56" s="14">
        <f t="shared" si="3"/>
        <v>0</v>
      </c>
    </row>
    <row r="57" spans="1:7">
      <c r="A57" s="12" t="s">
        <v>70</v>
      </c>
      <c r="B57" s="8">
        <v>3.17</v>
      </c>
      <c r="D57" s="10">
        <f t="shared" si="0"/>
        <v>269</v>
      </c>
      <c r="E57" s="8">
        <f t="shared" si="1"/>
        <v>852.73</v>
      </c>
      <c r="F57" s="8">
        <f t="shared" si="4"/>
        <v>854.74</v>
      </c>
      <c r="G57" s="14">
        <f t="shared" si="3"/>
        <v>0</v>
      </c>
    </row>
    <row r="58" spans="1:7">
      <c r="A58" s="12" t="s">
        <v>71</v>
      </c>
      <c r="B58" s="8">
        <v>3.23</v>
      </c>
      <c r="D58" s="10">
        <f t="shared" si="0"/>
        <v>269</v>
      </c>
      <c r="E58" s="8">
        <f t="shared" si="1"/>
        <v>868.87</v>
      </c>
      <c r="F58" s="8">
        <f t="shared" si="4"/>
        <v>870.88</v>
      </c>
      <c r="G58" s="14">
        <f t="shared" si="3"/>
        <v>0</v>
      </c>
    </row>
    <row r="59" spans="1:7">
      <c r="A59" s="12" t="s">
        <v>72</v>
      </c>
      <c r="B59" s="8">
        <v>3.2</v>
      </c>
      <c r="D59" s="10">
        <f t="shared" si="0"/>
        <v>269</v>
      </c>
      <c r="E59" s="8">
        <f t="shared" si="1"/>
        <v>860.80000000000007</v>
      </c>
      <c r="F59" s="8">
        <f t="shared" si="4"/>
        <v>862.81000000000006</v>
      </c>
      <c r="G59" s="14">
        <f t="shared" si="3"/>
        <v>0</v>
      </c>
    </row>
    <row r="60" spans="1:7">
      <c r="A60" s="12" t="s">
        <v>73</v>
      </c>
      <c r="B60" s="8">
        <v>3.2</v>
      </c>
      <c r="D60" s="10">
        <f t="shared" si="0"/>
        <v>269</v>
      </c>
      <c r="E60" s="8">
        <f t="shared" si="1"/>
        <v>860.80000000000007</v>
      </c>
      <c r="F60" s="8">
        <f t="shared" si="4"/>
        <v>862.81000000000006</v>
      </c>
      <c r="G60" s="14">
        <f t="shared" si="3"/>
        <v>0</v>
      </c>
    </row>
    <row r="61" spans="1:7">
      <c r="A61" s="12" t="s">
        <v>74</v>
      </c>
      <c r="B61" s="8">
        <v>3.2</v>
      </c>
      <c r="D61" s="10">
        <f t="shared" si="0"/>
        <v>269</v>
      </c>
      <c r="E61" s="8">
        <f t="shared" si="1"/>
        <v>860.80000000000007</v>
      </c>
      <c r="F61" s="8">
        <f t="shared" si="4"/>
        <v>862.81000000000006</v>
      </c>
      <c r="G61" s="14">
        <f t="shared" si="3"/>
        <v>0</v>
      </c>
    </row>
    <row r="62" spans="1:7">
      <c r="A62" s="12" t="s">
        <v>75</v>
      </c>
      <c r="B62" s="8">
        <v>3.2</v>
      </c>
      <c r="D62" s="10">
        <f t="shared" si="0"/>
        <v>269</v>
      </c>
      <c r="E62" s="8">
        <f t="shared" si="1"/>
        <v>860.80000000000007</v>
      </c>
      <c r="F62" s="8">
        <f t="shared" si="4"/>
        <v>862.81000000000006</v>
      </c>
      <c r="G62" s="14">
        <f t="shared" si="3"/>
        <v>0</v>
      </c>
    </row>
    <row r="63" spans="1:7">
      <c r="A63" s="12" t="s">
        <v>76</v>
      </c>
      <c r="B63" s="8">
        <v>3.33</v>
      </c>
      <c r="D63" s="10">
        <f t="shared" si="0"/>
        <v>269</v>
      </c>
      <c r="E63" s="8">
        <f t="shared" si="1"/>
        <v>895.77</v>
      </c>
      <c r="F63" s="8">
        <f t="shared" si="4"/>
        <v>897.78</v>
      </c>
      <c r="G63" s="14">
        <f t="shared" si="3"/>
        <v>0</v>
      </c>
    </row>
    <row r="64" spans="1:7">
      <c r="A64" s="12" t="s">
        <v>77</v>
      </c>
      <c r="B64" s="8">
        <v>3.43</v>
      </c>
      <c r="D64" s="10">
        <f t="shared" si="0"/>
        <v>269</v>
      </c>
      <c r="E64" s="8">
        <f t="shared" si="1"/>
        <v>922.67000000000007</v>
      </c>
      <c r="F64" s="8">
        <f t="shared" si="4"/>
        <v>924.68000000000006</v>
      </c>
      <c r="G64" s="14">
        <f t="shared" si="3"/>
        <v>0</v>
      </c>
    </row>
    <row r="65" spans="1:7">
      <c r="A65" s="12" t="s">
        <v>78</v>
      </c>
      <c r="B65" s="8">
        <v>3.53</v>
      </c>
      <c r="D65" s="10">
        <f t="shared" si="0"/>
        <v>269</v>
      </c>
      <c r="E65" s="8">
        <f t="shared" si="1"/>
        <v>949.56999999999994</v>
      </c>
      <c r="F65" s="8">
        <f t="shared" si="4"/>
        <v>951.57999999999993</v>
      </c>
      <c r="G65" s="14">
        <f t="shared" si="3"/>
        <v>0</v>
      </c>
    </row>
    <row r="66" spans="1:7">
      <c r="A66" s="12" t="s">
        <v>79</v>
      </c>
      <c r="B66" s="8">
        <v>3.7</v>
      </c>
      <c r="D66" s="10">
        <f t="shared" si="0"/>
        <v>269</v>
      </c>
      <c r="E66" s="8">
        <f t="shared" si="1"/>
        <v>995.30000000000007</v>
      </c>
      <c r="F66" s="8">
        <f t="shared" si="4"/>
        <v>997.31000000000006</v>
      </c>
      <c r="G66" s="14">
        <f t="shared" si="3"/>
        <v>0</v>
      </c>
    </row>
    <row r="67" spans="1:7">
      <c r="A67" s="12" t="s">
        <v>80</v>
      </c>
      <c r="B67" s="8">
        <v>3.77</v>
      </c>
      <c r="D67" s="10">
        <f t="shared" ref="D67:D130" si="5">ROUNDDOWN(1000/$B$2,0)</f>
        <v>269</v>
      </c>
      <c r="E67" s="8">
        <f t="shared" ref="E67:E130" si="6">D67*B67</f>
        <v>1014.13</v>
      </c>
      <c r="F67" s="8">
        <f t="shared" si="4"/>
        <v>1016.14</v>
      </c>
      <c r="G67" s="14">
        <f t="shared" ref="G67:G130" si="7">C67*D67</f>
        <v>0</v>
      </c>
    </row>
    <row r="68" spans="1:7">
      <c r="A68" s="12" t="s">
        <v>81</v>
      </c>
      <c r="B68" s="8">
        <v>3.67</v>
      </c>
      <c r="D68" s="10">
        <f t="shared" si="5"/>
        <v>269</v>
      </c>
      <c r="E68" s="8">
        <f t="shared" si="6"/>
        <v>987.23</v>
      </c>
      <c r="F68" s="8">
        <f t="shared" si="4"/>
        <v>989.24</v>
      </c>
      <c r="G68" s="14">
        <f t="shared" si="7"/>
        <v>0</v>
      </c>
    </row>
    <row r="69" spans="1:7">
      <c r="A69" s="12" t="s">
        <v>82</v>
      </c>
      <c r="B69" s="8">
        <v>3.73</v>
      </c>
      <c r="D69" s="10">
        <f t="shared" si="5"/>
        <v>269</v>
      </c>
      <c r="E69" s="8">
        <f t="shared" si="6"/>
        <v>1003.37</v>
      </c>
      <c r="F69" s="8">
        <f t="shared" si="4"/>
        <v>1005.38</v>
      </c>
      <c r="G69" s="14">
        <f t="shared" si="7"/>
        <v>0</v>
      </c>
    </row>
    <row r="70" spans="1:7">
      <c r="A70" s="12" t="s">
        <v>83</v>
      </c>
      <c r="B70" s="8">
        <v>3.74</v>
      </c>
      <c r="D70" s="10">
        <f t="shared" si="5"/>
        <v>269</v>
      </c>
      <c r="E70" s="8">
        <f t="shared" si="6"/>
        <v>1006.0600000000001</v>
      </c>
      <c r="F70" s="8">
        <f t="shared" si="4"/>
        <v>1008.07</v>
      </c>
      <c r="G70" s="14">
        <f t="shared" si="7"/>
        <v>0</v>
      </c>
    </row>
    <row r="71" spans="1:7">
      <c r="A71" s="12" t="s">
        <v>84</v>
      </c>
      <c r="B71" s="8">
        <v>3.68</v>
      </c>
      <c r="D71" s="10">
        <f t="shared" si="5"/>
        <v>269</v>
      </c>
      <c r="E71" s="8">
        <f t="shared" si="6"/>
        <v>989.92000000000007</v>
      </c>
      <c r="F71" s="8">
        <f t="shared" si="4"/>
        <v>991.93000000000006</v>
      </c>
      <c r="G71" s="14">
        <f t="shared" si="7"/>
        <v>0</v>
      </c>
    </row>
    <row r="72" spans="1:7">
      <c r="A72" s="12" t="s">
        <v>85</v>
      </c>
      <c r="B72" s="8">
        <v>3.7</v>
      </c>
      <c r="D72" s="10">
        <f t="shared" si="5"/>
        <v>269</v>
      </c>
      <c r="E72" s="8">
        <f t="shared" si="6"/>
        <v>995.30000000000007</v>
      </c>
      <c r="F72" s="8">
        <f t="shared" ref="F72:F135" si="8">E72+$J$2</f>
        <v>997.31000000000006</v>
      </c>
      <c r="G72" s="14">
        <f t="shared" si="7"/>
        <v>0</v>
      </c>
    </row>
    <row r="73" spans="1:7">
      <c r="A73" s="12" t="s">
        <v>86</v>
      </c>
      <c r="B73" s="8">
        <v>3.6</v>
      </c>
      <c r="D73" s="10">
        <f t="shared" si="5"/>
        <v>269</v>
      </c>
      <c r="E73" s="8">
        <f t="shared" si="6"/>
        <v>968.4</v>
      </c>
      <c r="F73" s="8">
        <f t="shared" si="8"/>
        <v>970.41</v>
      </c>
      <c r="G73" s="14">
        <f t="shared" si="7"/>
        <v>0</v>
      </c>
    </row>
    <row r="74" spans="1:7">
      <c r="A74" s="12" t="s">
        <v>87</v>
      </c>
      <c r="B74" s="8">
        <v>3.53</v>
      </c>
      <c r="D74" s="10">
        <f t="shared" si="5"/>
        <v>269</v>
      </c>
      <c r="E74" s="8">
        <f t="shared" si="6"/>
        <v>949.56999999999994</v>
      </c>
      <c r="F74" s="8">
        <f t="shared" si="8"/>
        <v>951.57999999999993</v>
      </c>
      <c r="G74" s="14">
        <f t="shared" si="7"/>
        <v>0</v>
      </c>
    </row>
    <row r="75" spans="1:7">
      <c r="A75" s="12" t="s">
        <v>88</v>
      </c>
      <c r="B75" s="8">
        <v>3.61</v>
      </c>
      <c r="D75" s="10">
        <f t="shared" si="5"/>
        <v>269</v>
      </c>
      <c r="E75" s="8">
        <f t="shared" si="6"/>
        <v>971.08999999999992</v>
      </c>
      <c r="F75" s="8">
        <f t="shared" si="8"/>
        <v>973.09999999999991</v>
      </c>
      <c r="G75" s="14">
        <f t="shared" si="7"/>
        <v>0</v>
      </c>
    </row>
    <row r="76" spans="1:7">
      <c r="A76" s="12" t="s">
        <v>89</v>
      </c>
      <c r="B76" s="8">
        <v>3.6</v>
      </c>
      <c r="D76" s="10">
        <f t="shared" si="5"/>
        <v>269</v>
      </c>
      <c r="E76" s="8">
        <f t="shared" si="6"/>
        <v>968.4</v>
      </c>
      <c r="F76" s="8">
        <f t="shared" si="8"/>
        <v>970.41</v>
      </c>
      <c r="G76" s="14">
        <f t="shared" si="7"/>
        <v>0</v>
      </c>
    </row>
    <row r="77" spans="1:7">
      <c r="A77" s="12" t="s">
        <v>90</v>
      </c>
      <c r="B77" s="8">
        <v>3.73</v>
      </c>
      <c r="D77" s="10">
        <f t="shared" si="5"/>
        <v>269</v>
      </c>
      <c r="E77" s="8">
        <f t="shared" si="6"/>
        <v>1003.37</v>
      </c>
      <c r="F77" s="8">
        <f t="shared" si="8"/>
        <v>1005.38</v>
      </c>
      <c r="G77" s="14">
        <f t="shared" si="7"/>
        <v>0</v>
      </c>
    </row>
    <row r="78" spans="1:7">
      <c r="A78" s="12" t="s">
        <v>91</v>
      </c>
      <c r="B78" s="8">
        <v>3.7</v>
      </c>
      <c r="D78" s="10">
        <f t="shared" si="5"/>
        <v>269</v>
      </c>
      <c r="E78" s="8">
        <f t="shared" si="6"/>
        <v>995.30000000000007</v>
      </c>
      <c r="F78" s="8">
        <f t="shared" si="8"/>
        <v>997.31000000000006</v>
      </c>
      <c r="G78" s="14">
        <f t="shared" si="7"/>
        <v>0</v>
      </c>
    </row>
    <row r="79" spans="1:7">
      <c r="A79" s="12" t="s">
        <v>92</v>
      </c>
      <c r="B79" s="8">
        <v>3.67</v>
      </c>
      <c r="D79" s="10">
        <f t="shared" si="5"/>
        <v>269</v>
      </c>
      <c r="E79" s="8">
        <f t="shared" si="6"/>
        <v>987.23</v>
      </c>
      <c r="F79" s="8">
        <f t="shared" si="8"/>
        <v>989.24</v>
      </c>
      <c r="G79" s="14">
        <f t="shared" si="7"/>
        <v>0</v>
      </c>
    </row>
    <row r="80" spans="1:7">
      <c r="A80" s="12" t="s">
        <v>93</v>
      </c>
      <c r="B80" s="8">
        <v>3.77</v>
      </c>
      <c r="C80" s="14">
        <v>4.5999999999999999E-2</v>
      </c>
      <c r="D80" s="10">
        <f t="shared" si="5"/>
        <v>269</v>
      </c>
      <c r="E80" s="8">
        <f t="shared" si="6"/>
        <v>1014.13</v>
      </c>
      <c r="F80" s="8">
        <f t="shared" si="8"/>
        <v>1016.14</v>
      </c>
      <c r="G80" s="14">
        <f>C80*D80</f>
        <v>12.374000000000001</v>
      </c>
    </row>
    <row r="81" spans="1:7">
      <c r="A81" s="12" t="s">
        <v>94</v>
      </c>
      <c r="B81" s="8">
        <v>3.7</v>
      </c>
      <c r="D81" s="10">
        <f t="shared" si="5"/>
        <v>269</v>
      </c>
      <c r="E81" s="8">
        <f t="shared" si="6"/>
        <v>995.30000000000007</v>
      </c>
      <c r="F81" s="8">
        <f t="shared" si="8"/>
        <v>997.31000000000006</v>
      </c>
      <c r="G81" s="14">
        <f t="shared" si="7"/>
        <v>0</v>
      </c>
    </row>
    <row r="82" spans="1:7">
      <c r="A82" s="12" t="s">
        <v>95</v>
      </c>
      <c r="B82" s="8">
        <v>3.69</v>
      </c>
      <c r="D82" s="10">
        <f t="shared" si="5"/>
        <v>269</v>
      </c>
      <c r="E82" s="8">
        <f t="shared" si="6"/>
        <v>992.61</v>
      </c>
      <c r="F82" s="8">
        <f t="shared" si="8"/>
        <v>994.62</v>
      </c>
      <c r="G82" s="14">
        <f t="shared" si="7"/>
        <v>0</v>
      </c>
    </row>
    <row r="83" spans="1:7">
      <c r="A83" s="12" t="s">
        <v>96</v>
      </c>
      <c r="B83" s="8">
        <v>3.62</v>
      </c>
      <c r="D83" s="10">
        <f t="shared" si="5"/>
        <v>269</v>
      </c>
      <c r="E83" s="8">
        <f t="shared" si="6"/>
        <v>973.78</v>
      </c>
      <c r="F83" s="8">
        <f t="shared" si="8"/>
        <v>975.79</v>
      </c>
      <c r="G83" s="14">
        <f t="shared" si="7"/>
        <v>0</v>
      </c>
    </row>
    <row r="84" spans="1:7">
      <c r="A84" s="12" t="s">
        <v>97</v>
      </c>
      <c r="B84" s="8">
        <v>3.65</v>
      </c>
      <c r="D84" s="10">
        <f t="shared" si="5"/>
        <v>269</v>
      </c>
      <c r="E84" s="8">
        <f t="shared" si="6"/>
        <v>981.85</v>
      </c>
      <c r="F84" s="8">
        <f t="shared" si="8"/>
        <v>983.86</v>
      </c>
      <c r="G84" s="14">
        <f t="shared" si="7"/>
        <v>0</v>
      </c>
    </row>
    <row r="85" spans="1:7">
      <c r="A85" s="12" t="s">
        <v>98</v>
      </c>
      <c r="B85" s="8">
        <v>3.69</v>
      </c>
      <c r="D85" s="10">
        <f t="shared" si="5"/>
        <v>269</v>
      </c>
      <c r="E85" s="8">
        <f t="shared" si="6"/>
        <v>992.61</v>
      </c>
      <c r="F85" s="8">
        <f t="shared" si="8"/>
        <v>994.62</v>
      </c>
      <c r="G85" s="14">
        <f t="shared" si="7"/>
        <v>0</v>
      </c>
    </row>
    <row r="86" spans="1:7">
      <c r="A86" s="12" t="s">
        <v>99</v>
      </c>
      <c r="B86" s="8">
        <v>3.71</v>
      </c>
      <c r="D86" s="10">
        <f t="shared" si="5"/>
        <v>269</v>
      </c>
      <c r="E86" s="8">
        <f t="shared" si="6"/>
        <v>997.99</v>
      </c>
      <c r="F86" s="8">
        <f t="shared" si="8"/>
        <v>1000</v>
      </c>
      <c r="G86" s="14">
        <f t="shared" si="7"/>
        <v>0</v>
      </c>
    </row>
    <row r="87" spans="1:7">
      <c r="A87" s="12" t="s">
        <v>100</v>
      </c>
      <c r="B87" s="8">
        <v>3.73</v>
      </c>
      <c r="D87" s="10">
        <f t="shared" si="5"/>
        <v>269</v>
      </c>
      <c r="E87" s="8">
        <f t="shared" si="6"/>
        <v>1003.37</v>
      </c>
      <c r="F87" s="8">
        <f t="shared" si="8"/>
        <v>1005.38</v>
      </c>
      <c r="G87" s="14">
        <f t="shared" si="7"/>
        <v>0</v>
      </c>
    </row>
    <row r="88" spans="1:7">
      <c r="A88" s="12" t="s">
        <v>101</v>
      </c>
      <c r="B88" s="8">
        <v>3.72</v>
      </c>
      <c r="D88" s="10">
        <f t="shared" si="5"/>
        <v>269</v>
      </c>
      <c r="E88" s="8">
        <f t="shared" si="6"/>
        <v>1000.6800000000001</v>
      </c>
      <c r="F88" s="8">
        <f t="shared" si="8"/>
        <v>1002.69</v>
      </c>
      <c r="G88" s="14">
        <f t="shared" si="7"/>
        <v>0</v>
      </c>
    </row>
    <row r="89" spans="1:7">
      <c r="A89" s="12" t="s">
        <v>102</v>
      </c>
      <c r="B89" s="8">
        <v>3.67</v>
      </c>
      <c r="D89" s="10">
        <f t="shared" si="5"/>
        <v>269</v>
      </c>
      <c r="E89" s="8">
        <f t="shared" si="6"/>
        <v>987.23</v>
      </c>
      <c r="F89" s="8">
        <f t="shared" si="8"/>
        <v>989.24</v>
      </c>
      <c r="G89" s="14">
        <f t="shared" si="7"/>
        <v>0</v>
      </c>
    </row>
    <row r="90" spans="1:7">
      <c r="A90" s="12" t="s">
        <v>103</v>
      </c>
      <c r="B90" s="8">
        <v>3.68</v>
      </c>
      <c r="D90" s="10">
        <f t="shared" si="5"/>
        <v>269</v>
      </c>
      <c r="E90" s="8">
        <f t="shared" si="6"/>
        <v>989.92000000000007</v>
      </c>
      <c r="F90" s="8">
        <f t="shared" si="8"/>
        <v>991.93000000000006</v>
      </c>
      <c r="G90" s="14">
        <f t="shared" si="7"/>
        <v>0</v>
      </c>
    </row>
    <row r="91" spans="1:7">
      <c r="A91" s="12" t="s">
        <v>104</v>
      </c>
      <c r="B91" s="8">
        <v>3.72</v>
      </c>
      <c r="D91" s="10">
        <f t="shared" si="5"/>
        <v>269</v>
      </c>
      <c r="E91" s="8">
        <f t="shared" si="6"/>
        <v>1000.6800000000001</v>
      </c>
      <c r="F91" s="8">
        <f t="shared" si="8"/>
        <v>1002.69</v>
      </c>
      <c r="G91" s="14">
        <f t="shared" si="7"/>
        <v>0</v>
      </c>
    </row>
    <row r="92" spans="1:7">
      <c r="A92" s="12" t="s">
        <v>105</v>
      </c>
      <c r="B92" s="8">
        <v>3.73</v>
      </c>
      <c r="D92" s="10">
        <f t="shared" si="5"/>
        <v>269</v>
      </c>
      <c r="E92" s="8">
        <f t="shared" si="6"/>
        <v>1003.37</v>
      </c>
      <c r="F92" s="8">
        <f t="shared" si="8"/>
        <v>1005.38</v>
      </c>
      <c r="G92" s="14">
        <f t="shared" si="7"/>
        <v>0</v>
      </c>
    </row>
    <row r="93" spans="1:7">
      <c r="A93" s="12" t="s">
        <v>106</v>
      </c>
      <c r="B93" s="8">
        <v>3.75</v>
      </c>
      <c r="D93" s="10">
        <f t="shared" si="5"/>
        <v>269</v>
      </c>
      <c r="E93" s="8">
        <f t="shared" si="6"/>
        <v>1008.75</v>
      </c>
      <c r="F93" s="8">
        <f t="shared" si="8"/>
        <v>1010.76</v>
      </c>
      <c r="G93" s="14">
        <f t="shared" si="7"/>
        <v>0</v>
      </c>
    </row>
    <row r="94" spans="1:7">
      <c r="A94" s="12" t="s">
        <v>107</v>
      </c>
      <c r="B94" s="8">
        <v>3.76</v>
      </c>
      <c r="D94" s="10">
        <f t="shared" si="5"/>
        <v>269</v>
      </c>
      <c r="E94" s="8">
        <f t="shared" si="6"/>
        <v>1011.4399999999999</v>
      </c>
      <c r="F94" s="8">
        <f t="shared" si="8"/>
        <v>1013.4499999999999</v>
      </c>
      <c r="G94" s="14">
        <f t="shared" si="7"/>
        <v>0</v>
      </c>
    </row>
    <row r="95" spans="1:7">
      <c r="A95" s="12" t="s">
        <v>108</v>
      </c>
      <c r="B95" s="8">
        <v>3.83</v>
      </c>
      <c r="D95" s="10">
        <f t="shared" si="5"/>
        <v>269</v>
      </c>
      <c r="E95" s="8">
        <f t="shared" si="6"/>
        <v>1030.27</v>
      </c>
      <c r="F95" s="8">
        <f t="shared" si="8"/>
        <v>1032.28</v>
      </c>
      <c r="G95" s="14">
        <f t="shared" si="7"/>
        <v>0</v>
      </c>
    </row>
    <row r="96" spans="1:7">
      <c r="A96" s="12" t="s">
        <v>109</v>
      </c>
      <c r="B96" s="8">
        <v>3.8</v>
      </c>
      <c r="D96" s="10">
        <f t="shared" si="5"/>
        <v>269</v>
      </c>
      <c r="E96" s="8">
        <f t="shared" si="6"/>
        <v>1022.1999999999999</v>
      </c>
      <c r="F96" s="8">
        <f t="shared" si="8"/>
        <v>1024.21</v>
      </c>
      <c r="G96" s="14">
        <f t="shared" si="7"/>
        <v>0</v>
      </c>
    </row>
    <row r="97" spans="1:7">
      <c r="A97" s="12" t="s">
        <v>110</v>
      </c>
      <c r="B97" s="8">
        <v>3.7</v>
      </c>
      <c r="D97" s="10">
        <f t="shared" si="5"/>
        <v>269</v>
      </c>
      <c r="E97" s="8">
        <f t="shared" si="6"/>
        <v>995.30000000000007</v>
      </c>
      <c r="F97" s="8">
        <f t="shared" si="8"/>
        <v>997.31000000000006</v>
      </c>
      <c r="G97" s="14">
        <f t="shared" si="7"/>
        <v>0</v>
      </c>
    </row>
    <row r="98" spans="1:7">
      <c r="A98" s="12" t="s">
        <v>111</v>
      </c>
      <c r="B98" s="8">
        <v>3.61</v>
      </c>
      <c r="D98" s="10">
        <f t="shared" si="5"/>
        <v>269</v>
      </c>
      <c r="E98" s="8">
        <f t="shared" si="6"/>
        <v>971.08999999999992</v>
      </c>
      <c r="F98" s="8">
        <f t="shared" si="8"/>
        <v>973.09999999999991</v>
      </c>
      <c r="G98" s="14">
        <f t="shared" si="7"/>
        <v>0</v>
      </c>
    </row>
    <row r="99" spans="1:7">
      <c r="A99" s="12" t="s">
        <v>112</v>
      </c>
      <c r="B99" s="8">
        <v>3.54</v>
      </c>
      <c r="D99" s="10">
        <f t="shared" si="5"/>
        <v>269</v>
      </c>
      <c r="E99" s="8">
        <f t="shared" si="6"/>
        <v>952.26</v>
      </c>
      <c r="F99" s="8">
        <f t="shared" si="8"/>
        <v>954.27</v>
      </c>
      <c r="G99" s="14">
        <f t="shared" si="7"/>
        <v>0</v>
      </c>
    </row>
    <row r="100" spans="1:7">
      <c r="A100" s="12" t="s">
        <v>113</v>
      </c>
      <c r="B100" s="8">
        <v>3.49</v>
      </c>
      <c r="D100" s="10">
        <f t="shared" si="5"/>
        <v>269</v>
      </c>
      <c r="E100" s="8">
        <f t="shared" si="6"/>
        <v>938.81000000000006</v>
      </c>
      <c r="F100" s="8">
        <f t="shared" si="8"/>
        <v>940.82</v>
      </c>
      <c r="G100" s="14">
        <f t="shared" si="7"/>
        <v>0</v>
      </c>
    </row>
    <row r="101" spans="1:7">
      <c r="A101" s="12" t="s">
        <v>114</v>
      </c>
      <c r="B101" s="8">
        <v>3.55</v>
      </c>
      <c r="D101" s="10">
        <f t="shared" si="5"/>
        <v>269</v>
      </c>
      <c r="E101" s="8">
        <f t="shared" si="6"/>
        <v>954.94999999999993</v>
      </c>
      <c r="F101" s="8">
        <f t="shared" si="8"/>
        <v>956.95999999999992</v>
      </c>
      <c r="G101" s="14">
        <f t="shared" si="7"/>
        <v>0</v>
      </c>
    </row>
    <row r="102" spans="1:7">
      <c r="A102" s="12" t="s">
        <v>115</v>
      </c>
      <c r="B102" s="8">
        <v>3.77</v>
      </c>
      <c r="D102" s="10">
        <f t="shared" si="5"/>
        <v>269</v>
      </c>
      <c r="E102" s="8">
        <f t="shared" si="6"/>
        <v>1014.13</v>
      </c>
      <c r="F102" s="8">
        <f t="shared" si="8"/>
        <v>1016.14</v>
      </c>
      <c r="G102" s="14">
        <f t="shared" si="7"/>
        <v>0</v>
      </c>
    </row>
    <row r="103" spans="1:7">
      <c r="A103" s="12" t="s">
        <v>116</v>
      </c>
      <c r="B103" s="8">
        <v>3.67</v>
      </c>
      <c r="D103" s="10">
        <f t="shared" si="5"/>
        <v>269</v>
      </c>
      <c r="E103" s="8">
        <f t="shared" si="6"/>
        <v>987.23</v>
      </c>
      <c r="F103" s="8">
        <f t="shared" si="8"/>
        <v>989.24</v>
      </c>
      <c r="G103" s="14">
        <f t="shared" si="7"/>
        <v>0</v>
      </c>
    </row>
    <row r="104" spans="1:7">
      <c r="A104" s="12" t="s">
        <v>117</v>
      </c>
      <c r="B104" s="8">
        <v>3.7</v>
      </c>
      <c r="D104" s="10">
        <f t="shared" si="5"/>
        <v>269</v>
      </c>
      <c r="E104" s="8">
        <f t="shared" si="6"/>
        <v>995.30000000000007</v>
      </c>
      <c r="F104" s="8">
        <f t="shared" si="8"/>
        <v>997.31000000000006</v>
      </c>
      <c r="G104" s="14">
        <f t="shared" si="7"/>
        <v>0</v>
      </c>
    </row>
    <row r="105" spans="1:7">
      <c r="A105" s="12" t="s">
        <v>118</v>
      </c>
      <c r="B105" s="8">
        <v>3.73</v>
      </c>
      <c r="D105" s="10">
        <f t="shared" si="5"/>
        <v>269</v>
      </c>
      <c r="E105" s="8">
        <f t="shared" si="6"/>
        <v>1003.37</v>
      </c>
      <c r="F105" s="8">
        <f t="shared" si="8"/>
        <v>1005.38</v>
      </c>
      <c r="G105" s="14">
        <f t="shared" si="7"/>
        <v>0</v>
      </c>
    </row>
    <row r="106" spans="1:7">
      <c r="A106" s="12" t="s">
        <v>119</v>
      </c>
      <c r="B106" s="8">
        <v>3.83</v>
      </c>
      <c r="D106" s="10">
        <f t="shared" si="5"/>
        <v>269</v>
      </c>
      <c r="E106" s="8">
        <f t="shared" si="6"/>
        <v>1030.27</v>
      </c>
      <c r="F106" s="8">
        <f t="shared" si="8"/>
        <v>1032.28</v>
      </c>
      <c r="G106" s="14">
        <f t="shared" si="7"/>
        <v>0</v>
      </c>
    </row>
    <row r="107" spans="1:7">
      <c r="A107" s="12" t="s">
        <v>120</v>
      </c>
      <c r="B107" s="8">
        <v>3.74</v>
      </c>
      <c r="D107" s="10">
        <f t="shared" si="5"/>
        <v>269</v>
      </c>
      <c r="E107" s="8">
        <f t="shared" si="6"/>
        <v>1006.0600000000001</v>
      </c>
      <c r="F107" s="8">
        <f t="shared" si="8"/>
        <v>1008.07</v>
      </c>
      <c r="G107" s="14">
        <f t="shared" si="7"/>
        <v>0</v>
      </c>
    </row>
    <row r="108" spans="1:7">
      <c r="A108" s="12" t="s">
        <v>121</v>
      </c>
      <c r="B108" s="8">
        <v>3.78</v>
      </c>
      <c r="D108" s="10">
        <f t="shared" si="5"/>
        <v>269</v>
      </c>
      <c r="E108" s="8">
        <f t="shared" si="6"/>
        <v>1016.8199999999999</v>
      </c>
      <c r="F108" s="8">
        <f t="shared" si="8"/>
        <v>1018.8299999999999</v>
      </c>
      <c r="G108" s="14">
        <f t="shared" si="7"/>
        <v>0</v>
      </c>
    </row>
    <row r="109" spans="1:7">
      <c r="A109" s="12" t="s">
        <v>122</v>
      </c>
      <c r="B109" s="8">
        <v>3.77</v>
      </c>
      <c r="D109" s="10">
        <f t="shared" si="5"/>
        <v>269</v>
      </c>
      <c r="E109" s="8">
        <f t="shared" si="6"/>
        <v>1014.13</v>
      </c>
      <c r="F109" s="8">
        <f t="shared" si="8"/>
        <v>1016.14</v>
      </c>
      <c r="G109" s="14">
        <f t="shared" si="7"/>
        <v>0</v>
      </c>
    </row>
    <row r="110" spans="1:7">
      <c r="A110" s="12" t="s">
        <v>123</v>
      </c>
      <c r="B110" s="8">
        <v>3.74</v>
      </c>
      <c r="D110" s="10">
        <f t="shared" si="5"/>
        <v>269</v>
      </c>
      <c r="E110" s="8">
        <f t="shared" si="6"/>
        <v>1006.0600000000001</v>
      </c>
      <c r="F110" s="8">
        <f t="shared" si="8"/>
        <v>1008.07</v>
      </c>
      <c r="G110" s="14">
        <f t="shared" si="7"/>
        <v>0</v>
      </c>
    </row>
    <row r="111" spans="1:7">
      <c r="A111" s="12" t="s">
        <v>124</v>
      </c>
      <c r="B111" s="8">
        <v>3.72</v>
      </c>
      <c r="D111" s="10">
        <f t="shared" si="5"/>
        <v>269</v>
      </c>
      <c r="E111" s="8">
        <f t="shared" si="6"/>
        <v>1000.6800000000001</v>
      </c>
      <c r="F111" s="8">
        <f t="shared" si="8"/>
        <v>1002.69</v>
      </c>
      <c r="G111" s="14">
        <f t="shared" si="7"/>
        <v>0</v>
      </c>
    </row>
    <row r="112" spans="1:7">
      <c r="A112" s="12" t="s">
        <v>125</v>
      </c>
      <c r="B112" s="8">
        <v>3.68</v>
      </c>
      <c r="D112" s="10">
        <f t="shared" si="5"/>
        <v>269</v>
      </c>
      <c r="E112" s="8">
        <f t="shared" si="6"/>
        <v>989.92000000000007</v>
      </c>
      <c r="F112" s="8">
        <f t="shared" si="8"/>
        <v>991.93000000000006</v>
      </c>
      <c r="G112" s="14">
        <f t="shared" si="7"/>
        <v>0</v>
      </c>
    </row>
    <row r="113" spans="1:7">
      <c r="A113" s="12" t="s">
        <v>126</v>
      </c>
      <c r="B113" s="8">
        <v>3.62</v>
      </c>
      <c r="D113" s="10">
        <f t="shared" si="5"/>
        <v>269</v>
      </c>
      <c r="E113" s="8">
        <f t="shared" si="6"/>
        <v>973.78</v>
      </c>
      <c r="F113" s="8">
        <f t="shared" si="8"/>
        <v>975.79</v>
      </c>
      <c r="G113" s="14">
        <f t="shared" si="7"/>
        <v>0</v>
      </c>
    </row>
    <row r="114" spans="1:7">
      <c r="A114" s="12" t="s">
        <v>127</v>
      </c>
      <c r="B114" s="8">
        <v>3.6</v>
      </c>
      <c r="D114" s="10">
        <f t="shared" si="5"/>
        <v>269</v>
      </c>
      <c r="E114" s="8">
        <f t="shared" si="6"/>
        <v>968.4</v>
      </c>
      <c r="F114" s="8">
        <f t="shared" si="8"/>
        <v>970.41</v>
      </c>
      <c r="G114" s="14">
        <f t="shared" si="7"/>
        <v>0</v>
      </c>
    </row>
    <row r="115" spans="1:7">
      <c r="A115" s="12" t="s">
        <v>128</v>
      </c>
      <c r="B115" s="8">
        <v>3.7</v>
      </c>
      <c r="D115" s="10">
        <f t="shared" si="5"/>
        <v>269</v>
      </c>
      <c r="E115" s="8">
        <f t="shared" si="6"/>
        <v>995.30000000000007</v>
      </c>
      <c r="F115" s="8">
        <f t="shared" si="8"/>
        <v>997.31000000000006</v>
      </c>
      <c r="G115" s="14">
        <f t="shared" si="7"/>
        <v>0</v>
      </c>
    </row>
    <row r="116" spans="1:7">
      <c r="A116" s="12" t="s">
        <v>129</v>
      </c>
      <c r="B116" s="8">
        <v>3.63</v>
      </c>
      <c r="D116" s="10">
        <f t="shared" si="5"/>
        <v>269</v>
      </c>
      <c r="E116" s="8">
        <f t="shared" si="6"/>
        <v>976.47</v>
      </c>
      <c r="F116" s="8">
        <f t="shared" si="8"/>
        <v>978.48</v>
      </c>
      <c r="G116" s="14">
        <f t="shared" si="7"/>
        <v>0</v>
      </c>
    </row>
    <row r="117" spans="1:7">
      <c r="A117" s="12" t="s">
        <v>130</v>
      </c>
      <c r="B117" s="8">
        <v>3.6</v>
      </c>
      <c r="D117" s="10">
        <f t="shared" si="5"/>
        <v>269</v>
      </c>
      <c r="E117" s="8">
        <f t="shared" si="6"/>
        <v>968.4</v>
      </c>
      <c r="F117" s="8">
        <f t="shared" si="8"/>
        <v>970.41</v>
      </c>
      <c r="G117" s="14">
        <f t="shared" si="7"/>
        <v>0</v>
      </c>
    </row>
    <row r="118" spans="1:7">
      <c r="A118" s="12" t="s">
        <v>131</v>
      </c>
      <c r="B118" s="8">
        <v>3.68</v>
      </c>
      <c r="D118" s="10">
        <f t="shared" si="5"/>
        <v>269</v>
      </c>
      <c r="E118" s="8">
        <f t="shared" si="6"/>
        <v>989.92000000000007</v>
      </c>
      <c r="F118" s="8">
        <f t="shared" si="8"/>
        <v>991.93000000000006</v>
      </c>
      <c r="G118" s="14">
        <f t="shared" si="7"/>
        <v>0</v>
      </c>
    </row>
    <row r="119" spans="1:7">
      <c r="A119" s="12" t="s">
        <v>132</v>
      </c>
      <c r="B119" s="8">
        <v>3.52</v>
      </c>
      <c r="D119" s="10">
        <f t="shared" si="5"/>
        <v>269</v>
      </c>
      <c r="E119" s="8">
        <f t="shared" si="6"/>
        <v>946.88</v>
      </c>
      <c r="F119" s="8">
        <f t="shared" si="8"/>
        <v>948.89</v>
      </c>
      <c r="G119" s="14">
        <f t="shared" si="7"/>
        <v>0</v>
      </c>
    </row>
    <row r="120" spans="1:7">
      <c r="A120" s="12" t="s">
        <v>133</v>
      </c>
      <c r="B120" s="8">
        <v>3.44</v>
      </c>
      <c r="D120" s="10">
        <f t="shared" si="5"/>
        <v>269</v>
      </c>
      <c r="E120" s="8">
        <f t="shared" si="6"/>
        <v>925.36</v>
      </c>
      <c r="F120" s="8">
        <f t="shared" si="8"/>
        <v>927.37</v>
      </c>
      <c r="G120" s="14">
        <f t="shared" si="7"/>
        <v>0</v>
      </c>
    </row>
    <row r="121" spans="1:7">
      <c r="A121" s="12" t="s">
        <v>134</v>
      </c>
      <c r="B121" s="8">
        <v>3.4</v>
      </c>
      <c r="D121" s="10">
        <f t="shared" si="5"/>
        <v>269</v>
      </c>
      <c r="E121" s="8">
        <f t="shared" si="6"/>
        <v>914.6</v>
      </c>
      <c r="F121" s="8">
        <f t="shared" si="8"/>
        <v>916.61</v>
      </c>
      <c r="G121" s="14">
        <f t="shared" si="7"/>
        <v>0</v>
      </c>
    </row>
    <row r="122" spans="1:7">
      <c r="A122" s="12" t="s">
        <v>135</v>
      </c>
      <c r="B122" s="8">
        <v>3.37</v>
      </c>
      <c r="D122" s="10">
        <f t="shared" si="5"/>
        <v>269</v>
      </c>
      <c r="E122" s="8">
        <f t="shared" si="6"/>
        <v>906.53</v>
      </c>
      <c r="F122" s="8">
        <f t="shared" si="8"/>
        <v>908.54</v>
      </c>
      <c r="G122" s="14">
        <f t="shared" si="7"/>
        <v>0</v>
      </c>
    </row>
    <row r="123" spans="1:7">
      <c r="A123" s="12" t="s">
        <v>136</v>
      </c>
      <c r="B123" s="8">
        <v>3.4</v>
      </c>
      <c r="D123" s="10">
        <f t="shared" si="5"/>
        <v>269</v>
      </c>
      <c r="E123" s="8">
        <f t="shared" si="6"/>
        <v>914.6</v>
      </c>
      <c r="F123" s="8">
        <f t="shared" si="8"/>
        <v>916.61</v>
      </c>
      <c r="G123" s="14">
        <f t="shared" si="7"/>
        <v>0</v>
      </c>
    </row>
    <row r="124" spans="1:7">
      <c r="A124" s="12" t="s">
        <v>137</v>
      </c>
      <c r="B124" s="8">
        <v>3.38</v>
      </c>
      <c r="D124" s="10">
        <f t="shared" si="5"/>
        <v>269</v>
      </c>
      <c r="E124" s="8">
        <f t="shared" si="6"/>
        <v>909.22</v>
      </c>
      <c r="F124" s="8">
        <f t="shared" si="8"/>
        <v>911.23</v>
      </c>
      <c r="G124" s="14">
        <f t="shared" si="7"/>
        <v>0</v>
      </c>
    </row>
    <row r="125" spans="1:7">
      <c r="A125" s="12" t="s">
        <v>138</v>
      </c>
      <c r="B125" s="8">
        <v>3.36</v>
      </c>
      <c r="D125" s="10">
        <f t="shared" si="5"/>
        <v>269</v>
      </c>
      <c r="E125" s="8">
        <f t="shared" si="6"/>
        <v>903.83999999999992</v>
      </c>
      <c r="F125" s="8">
        <f t="shared" si="8"/>
        <v>905.84999999999991</v>
      </c>
      <c r="G125" s="14">
        <f t="shared" si="7"/>
        <v>0</v>
      </c>
    </row>
    <row r="126" spans="1:7">
      <c r="A126" s="12" t="s">
        <v>139</v>
      </c>
      <c r="B126" s="8">
        <v>3.34</v>
      </c>
      <c r="D126" s="10">
        <f t="shared" si="5"/>
        <v>269</v>
      </c>
      <c r="E126" s="8">
        <f t="shared" si="6"/>
        <v>898.45999999999992</v>
      </c>
      <c r="F126" s="8">
        <f t="shared" si="8"/>
        <v>900.46999999999991</v>
      </c>
      <c r="G126" s="14">
        <f t="shared" si="7"/>
        <v>0</v>
      </c>
    </row>
    <row r="127" spans="1:7">
      <c r="A127" s="12" t="s">
        <v>140</v>
      </c>
      <c r="B127" s="8">
        <v>3.41</v>
      </c>
      <c r="D127" s="10">
        <f t="shared" si="5"/>
        <v>269</v>
      </c>
      <c r="E127" s="8">
        <f t="shared" si="6"/>
        <v>917.29000000000008</v>
      </c>
      <c r="F127" s="8">
        <f t="shared" si="8"/>
        <v>919.30000000000007</v>
      </c>
      <c r="G127" s="14">
        <f t="shared" si="7"/>
        <v>0</v>
      </c>
    </row>
    <row r="128" spans="1:7">
      <c r="A128" s="12" t="s">
        <v>141</v>
      </c>
      <c r="B128" s="8">
        <v>3.41</v>
      </c>
      <c r="D128" s="10">
        <f t="shared" si="5"/>
        <v>269</v>
      </c>
      <c r="E128" s="8">
        <f t="shared" si="6"/>
        <v>917.29000000000008</v>
      </c>
      <c r="F128" s="8">
        <f t="shared" si="8"/>
        <v>919.30000000000007</v>
      </c>
      <c r="G128" s="14">
        <f t="shared" si="7"/>
        <v>0</v>
      </c>
    </row>
    <row r="129" spans="1:7">
      <c r="A129" s="12" t="s">
        <v>142</v>
      </c>
      <c r="B129" s="8">
        <v>3.4</v>
      </c>
      <c r="D129" s="10">
        <f t="shared" si="5"/>
        <v>269</v>
      </c>
      <c r="E129" s="8">
        <f t="shared" si="6"/>
        <v>914.6</v>
      </c>
      <c r="F129" s="8">
        <f t="shared" si="8"/>
        <v>916.61</v>
      </c>
      <c r="G129" s="14">
        <f t="shared" si="7"/>
        <v>0</v>
      </c>
    </row>
    <row r="130" spans="1:7">
      <c r="A130" s="12" t="s">
        <v>143</v>
      </c>
      <c r="B130" s="8">
        <v>3.4</v>
      </c>
      <c r="D130" s="10">
        <f t="shared" si="5"/>
        <v>269</v>
      </c>
      <c r="E130" s="8">
        <f t="shared" si="6"/>
        <v>914.6</v>
      </c>
      <c r="F130" s="8">
        <f t="shared" si="8"/>
        <v>916.61</v>
      </c>
      <c r="G130" s="14">
        <f t="shared" si="7"/>
        <v>0</v>
      </c>
    </row>
    <row r="131" spans="1:7">
      <c r="A131" s="12" t="s">
        <v>144</v>
      </c>
      <c r="B131" s="8">
        <v>3.4</v>
      </c>
      <c r="D131" s="10">
        <f t="shared" ref="D131:D194" si="9">ROUNDDOWN(1000/$B$2,0)</f>
        <v>269</v>
      </c>
      <c r="E131" s="8">
        <f t="shared" ref="E131:E194" si="10">D131*B131</f>
        <v>914.6</v>
      </c>
      <c r="F131" s="8">
        <f t="shared" si="8"/>
        <v>916.61</v>
      </c>
      <c r="G131" s="14">
        <f t="shared" ref="G131:G194" si="11">C131*D131</f>
        <v>0</v>
      </c>
    </row>
    <row r="132" spans="1:7">
      <c r="A132" s="12" t="s">
        <v>145</v>
      </c>
      <c r="B132" s="8">
        <v>3.46</v>
      </c>
      <c r="D132" s="10">
        <f t="shared" si="9"/>
        <v>269</v>
      </c>
      <c r="E132" s="8">
        <f t="shared" si="10"/>
        <v>930.74</v>
      </c>
      <c r="F132" s="8">
        <f t="shared" si="8"/>
        <v>932.75</v>
      </c>
      <c r="G132" s="14">
        <f t="shared" si="11"/>
        <v>0</v>
      </c>
    </row>
    <row r="133" spans="1:7">
      <c r="A133" s="12" t="s">
        <v>146</v>
      </c>
      <c r="B133" s="8">
        <v>3.46</v>
      </c>
      <c r="D133" s="10">
        <f t="shared" si="9"/>
        <v>269</v>
      </c>
      <c r="E133" s="8">
        <f t="shared" si="10"/>
        <v>930.74</v>
      </c>
      <c r="F133" s="8">
        <f t="shared" si="8"/>
        <v>932.75</v>
      </c>
      <c r="G133" s="14">
        <f t="shared" si="11"/>
        <v>0</v>
      </c>
    </row>
    <row r="134" spans="1:7">
      <c r="A134" s="12" t="s">
        <v>147</v>
      </c>
      <c r="B134" s="8">
        <v>3.4</v>
      </c>
      <c r="D134" s="10">
        <f t="shared" si="9"/>
        <v>269</v>
      </c>
      <c r="E134" s="8">
        <f t="shared" si="10"/>
        <v>914.6</v>
      </c>
      <c r="F134" s="8">
        <f t="shared" si="8"/>
        <v>916.61</v>
      </c>
      <c r="G134" s="14">
        <f t="shared" si="11"/>
        <v>0</v>
      </c>
    </row>
    <row r="135" spans="1:7">
      <c r="A135" s="12" t="s">
        <v>148</v>
      </c>
      <c r="B135" s="8">
        <v>3.4</v>
      </c>
      <c r="D135" s="10">
        <f t="shared" si="9"/>
        <v>269</v>
      </c>
      <c r="E135" s="8">
        <f t="shared" si="10"/>
        <v>914.6</v>
      </c>
      <c r="F135" s="8">
        <f t="shared" si="8"/>
        <v>916.61</v>
      </c>
      <c r="G135" s="14">
        <f t="shared" si="11"/>
        <v>0</v>
      </c>
    </row>
    <row r="136" spans="1:7">
      <c r="A136" s="12" t="s">
        <v>149</v>
      </c>
      <c r="B136" s="8">
        <v>3.41</v>
      </c>
      <c r="D136" s="10">
        <f t="shared" si="9"/>
        <v>269</v>
      </c>
      <c r="E136" s="8">
        <f t="shared" si="10"/>
        <v>917.29000000000008</v>
      </c>
      <c r="F136" s="8">
        <f t="shared" ref="F136:F199" si="12">E136+$J$2</f>
        <v>919.30000000000007</v>
      </c>
      <c r="G136" s="14">
        <f t="shared" si="11"/>
        <v>0</v>
      </c>
    </row>
    <row r="137" spans="1:7">
      <c r="A137" s="12" t="s">
        <v>150</v>
      </c>
      <c r="B137" s="8">
        <v>3.38</v>
      </c>
      <c r="D137" s="10">
        <f t="shared" si="9"/>
        <v>269</v>
      </c>
      <c r="E137" s="8">
        <f t="shared" si="10"/>
        <v>909.22</v>
      </c>
      <c r="F137" s="8">
        <f t="shared" si="12"/>
        <v>911.23</v>
      </c>
      <c r="G137" s="14">
        <f t="shared" si="11"/>
        <v>0</v>
      </c>
    </row>
    <row r="138" spans="1:7">
      <c r="A138" s="12" t="s">
        <v>151</v>
      </c>
      <c r="B138" s="8">
        <v>3.4</v>
      </c>
      <c r="D138" s="10">
        <f t="shared" si="9"/>
        <v>269</v>
      </c>
      <c r="E138" s="8">
        <f t="shared" si="10"/>
        <v>914.6</v>
      </c>
      <c r="F138" s="8">
        <f t="shared" si="12"/>
        <v>916.61</v>
      </c>
      <c r="G138" s="14">
        <f t="shared" si="11"/>
        <v>0</v>
      </c>
    </row>
    <row r="139" spans="1:7">
      <c r="A139" s="12" t="s">
        <v>152</v>
      </c>
      <c r="B139" s="8">
        <v>3.37</v>
      </c>
      <c r="D139" s="10">
        <f t="shared" si="9"/>
        <v>269</v>
      </c>
      <c r="E139" s="8">
        <f t="shared" si="10"/>
        <v>906.53</v>
      </c>
      <c r="F139" s="8">
        <f t="shared" si="12"/>
        <v>908.54</v>
      </c>
      <c r="G139" s="14">
        <f t="shared" si="11"/>
        <v>0</v>
      </c>
    </row>
    <row r="140" spans="1:7">
      <c r="A140" s="12" t="s">
        <v>153</v>
      </c>
      <c r="B140" s="8">
        <v>3.42</v>
      </c>
      <c r="D140" s="10">
        <f t="shared" si="9"/>
        <v>269</v>
      </c>
      <c r="E140" s="8">
        <f t="shared" si="10"/>
        <v>919.98</v>
      </c>
      <c r="F140" s="8">
        <f t="shared" si="12"/>
        <v>921.99</v>
      </c>
      <c r="G140" s="14">
        <f t="shared" si="11"/>
        <v>0</v>
      </c>
    </row>
    <row r="141" spans="1:7">
      <c r="A141" s="12" t="s">
        <v>154</v>
      </c>
      <c r="B141" s="8">
        <v>3.42</v>
      </c>
      <c r="D141" s="10">
        <f t="shared" si="9"/>
        <v>269</v>
      </c>
      <c r="E141" s="8">
        <f t="shared" si="10"/>
        <v>919.98</v>
      </c>
      <c r="F141" s="8">
        <f t="shared" si="12"/>
        <v>921.99</v>
      </c>
      <c r="G141" s="14">
        <f t="shared" si="11"/>
        <v>0</v>
      </c>
    </row>
    <row r="142" spans="1:7">
      <c r="A142" s="12" t="s">
        <v>155</v>
      </c>
      <c r="B142" s="8">
        <v>3.49</v>
      </c>
      <c r="D142" s="10">
        <f t="shared" si="9"/>
        <v>269</v>
      </c>
      <c r="E142" s="8">
        <f t="shared" si="10"/>
        <v>938.81000000000006</v>
      </c>
      <c r="F142" s="8">
        <f t="shared" si="12"/>
        <v>940.82</v>
      </c>
      <c r="G142" s="14">
        <f t="shared" si="11"/>
        <v>0</v>
      </c>
    </row>
    <row r="143" spans="1:7">
      <c r="A143" s="12" t="s">
        <v>156</v>
      </c>
      <c r="B143" s="8">
        <v>3.48</v>
      </c>
      <c r="D143" s="10">
        <f t="shared" si="9"/>
        <v>269</v>
      </c>
      <c r="E143" s="8">
        <f t="shared" si="10"/>
        <v>936.12</v>
      </c>
      <c r="F143" s="8">
        <f t="shared" si="12"/>
        <v>938.13</v>
      </c>
      <c r="G143" s="14">
        <f t="shared" si="11"/>
        <v>0</v>
      </c>
    </row>
    <row r="144" spans="1:7">
      <c r="A144" s="12" t="s">
        <v>157</v>
      </c>
      <c r="B144" s="8">
        <v>3.51</v>
      </c>
      <c r="D144" s="10">
        <f t="shared" si="9"/>
        <v>269</v>
      </c>
      <c r="E144" s="8">
        <f t="shared" si="10"/>
        <v>944.18999999999994</v>
      </c>
      <c r="F144" s="8">
        <f t="shared" si="12"/>
        <v>946.19999999999993</v>
      </c>
      <c r="G144" s="14">
        <f t="shared" si="11"/>
        <v>0</v>
      </c>
    </row>
    <row r="145" spans="1:7">
      <c r="A145" s="12" t="s">
        <v>158</v>
      </c>
      <c r="B145" s="8">
        <v>3.58</v>
      </c>
      <c r="D145" s="10">
        <f t="shared" si="9"/>
        <v>269</v>
      </c>
      <c r="E145" s="8">
        <f t="shared" si="10"/>
        <v>963.02</v>
      </c>
      <c r="F145" s="8">
        <f t="shared" si="12"/>
        <v>965.03</v>
      </c>
      <c r="G145" s="14">
        <f t="shared" si="11"/>
        <v>0</v>
      </c>
    </row>
    <row r="146" spans="1:7">
      <c r="A146" s="12" t="s">
        <v>159</v>
      </c>
      <c r="B146" s="8">
        <v>3.56</v>
      </c>
      <c r="D146" s="10">
        <f t="shared" si="9"/>
        <v>269</v>
      </c>
      <c r="E146" s="8">
        <f t="shared" si="10"/>
        <v>957.64</v>
      </c>
      <c r="F146" s="8">
        <f t="shared" si="12"/>
        <v>959.65</v>
      </c>
      <c r="G146" s="14">
        <f t="shared" si="11"/>
        <v>0</v>
      </c>
    </row>
    <row r="147" spans="1:7">
      <c r="A147" s="12" t="s">
        <v>160</v>
      </c>
      <c r="B147" s="8">
        <v>3.53</v>
      </c>
      <c r="D147" s="10">
        <f t="shared" si="9"/>
        <v>269</v>
      </c>
      <c r="E147" s="8">
        <f t="shared" si="10"/>
        <v>949.56999999999994</v>
      </c>
      <c r="F147" s="8">
        <f t="shared" si="12"/>
        <v>951.57999999999993</v>
      </c>
      <c r="G147" s="14">
        <f t="shared" si="11"/>
        <v>0</v>
      </c>
    </row>
    <row r="148" spans="1:7">
      <c r="A148" s="12" t="s">
        <v>161</v>
      </c>
      <c r="B148" s="8">
        <v>3.54</v>
      </c>
      <c r="D148" s="10">
        <f t="shared" si="9"/>
        <v>269</v>
      </c>
      <c r="E148" s="8">
        <f t="shared" si="10"/>
        <v>952.26</v>
      </c>
      <c r="F148" s="8">
        <f t="shared" si="12"/>
        <v>954.27</v>
      </c>
      <c r="G148" s="14">
        <f t="shared" si="11"/>
        <v>0</v>
      </c>
    </row>
    <row r="149" spans="1:7">
      <c r="A149" s="12" t="s">
        <v>162</v>
      </c>
      <c r="B149" s="8">
        <v>3.37</v>
      </c>
      <c r="D149" s="10">
        <f t="shared" si="9"/>
        <v>269</v>
      </c>
      <c r="E149" s="8">
        <f t="shared" si="10"/>
        <v>906.53</v>
      </c>
      <c r="F149" s="8">
        <f t="shared" si="12"/>
        <v>908.54</v>
      </c>
      <c r="G149" s="14">
        <f t="shared" si="11"/>
        <v>0</v>
      </c>
    </row>
    <row r="150" spans="1:7">
      <c r="A150" s="12" t="s">
        <v>163</v>
      </c>
      <c r="B150" s="8">
        <v>3.29</v>
      </c>
      <c r="D150" s="10">
        <f t="shared" si="9"/>
        <v>269</v>
      </c>
      <c r="E150" s="8">
        <f t="shared" si="10"/>
        <v>885.01</v>
      </c>
      <c r="F150" s="8">
        <f t="shared" si="12"/>
        <v>887.02</v>
      </c>
      <c r="G150" s="14">
        <f t="shared" si="11"/>
        <v>0</v>
      </c>
    </row>
    <row r="151" spans="1:7">
      <c r="A151" s="12" t="s">
        <v>164</v>
      </c>
      <c r="B151" s="8">
        <v>3.36</v>
      </c>
      <c r="D151" s="10">
        <f t="shared" si="9"/>
        <v>269</v>
      </c>
      <c r="E151" s="8">
        <f t="shared" si="10"/>
        <v>903.83999999999992</v>
      </c>
      <c r="F151" s="8">
        <f t="shared" si="12"/>
        <v>905.84999999999991</v>
      </c>
      <c r="G151" s="14">
        <f t="shared" si="11"/>
        <v>0</v>
      </c>
    </row>
    <row r="152" spans="1:7">
      <c r="A152" s="12" t="s">
        <v>165</v>
      </c>
      <c r="B152" s="8">
        <v>3.36</v>
      </c>
      <c r="D152" s="10">
        <f t="shared" si="9"/>
        <v>269</v>
      </c>
      <c r="E152" s="8">
        <f t="shared" si="10"/>
        <v>903.83999999999992</v>
      </c>
      <c r="F152" s="8">
        <f t="shared" si="12"/>
        <v>905.84999999999991</v>
      </c>
      <c r="G152" s="14">
        <f t="shared" si="11"/>
        <v>0</v>
      </c>
    </row>
    <row r="153" spans="1:7">
      <c r="A153" s="12" t="s">
        <v>166</v>
      </c>
      <c r="B153" s="8">
        <v>3.31</v>
      </c>
      <c r="D153" s="10">
        <f t="shared" si="9"/>
        <v>269</v>
      </c>
      <c r="E153" s="8">
        <f t="shared" si="10"/>
        <v>890.39</v>
      </c>
      <c r="F153" s="8">
        <f t="shared" si="12"/>
        <v>892.4</v>
      </c>
      <c r="G153" s="14">
        <f t="shared" si="11"/>
        <v>0</v>
      </c>
    </row>
    <row r="154" spans="1:7">
      <c r="A154" s="12" t="s">
        <v>167</v>
      </c>
      <c r="B154" s="8">
        <v>3.38</v>
      </c>
      <c r="D154" s="10">
        <f t="shared" si="9"/>
        <v>269</v>
      </c>
      <c r="E154" s="8">
        <f t="shared" si="10"/>
        <v>909.22</v>
      </c>
      <c r="F154" s="8">
        <f t="shared" si="12"/>
        <v>911.23</v>
      </c>
      <c r="G154" s="14">
        <f t="shared" si="11"/>
        <v>0</v>
      </c>
    </row>
    <row r="155" spans="1:7">
      <c r="A155" s="12" t="s">
        <v>168</v>
      </c>
      <c r="B155" s="8">
        <v>3.45</v>
      </c>
      <c r="D155" s="10">
        <f t="shared" si="9"/>
        <v>269</v>
      </c>
      <c r="E155" s="8">
        <f t="shared" si="10"/>
        <v>928.05000000000007</v>
      </c>
      <c r="F155" s="8">
        <f t="shared" si="12"/>
        <v>930.06000000000006</v>
      </c>
      <c r="G155" s="14">
        <f t="shared" si="11"/>
        <v>0</v>
      </c>
    </row>
    <row r="156" spans="1:7">
      <c r="A156" s="12" t="s">
        <v>169</v>
      </c>
      <c r="B156" s="8">
        <v>3.47</v>
      </c>
      <c r="D156" s="10">
        <f t="shared" si="9"/>
        <v>269</v>
      </c>
      <c r="E156" s="8">
        <f t="shared" si="10"/>
        <v>933.43000000000006</v>
      </c>
      <c r="F156" s="8">
        <f t="shared" si="12"/>
        <v>935.44</v>
      </c>
      <c r="G156" s="14">
        <f t="shared" si="11"/>
        <v>0</v>
      </c>
    </row>
    <row r="157" spans="1:7">
      <c r="A157" s="12" t="s">
        <v>170</v>
      </c>
      <c r="B157" s="8">
        <v>3.5</v>
      </c>
      <c r="D157" s="10">
        <f t="shared" si="9"/>
        <v>269</v>
      </c>
      <c r="E157" s="8">
        <f t="shared" si="10"/>
        <v>941.5</v>
      </c>
      <c r="F157" s="8">
        <f t="shared" si="12"/>
        <v>943.51</v>
      </c>
      <c r="G157" s="14">
        <f t="shared" si="11"/>
        <v>0</v>
      </c>
    </row>
    <row r="158" spans="1:7">
      <c r="A158" s="12" t="s">
        <v>171</v>
      </c>
      <c r="B158" s="8">
        <v>3.44</v>
      </c>
      <c r="D158" s="10">
        <f t="shared" si="9"/>
        <v>269</v>
      </c>
      <c r="E158" s="8">
        <f t="shared" si="10"/>
        <v>925.36</v>
      </c>
      <c r="F158" s="8">
        <f t="shared" si="12"/>
        <v>927.37</v>
      </c>
      <c r="G158" s="14">
        <f t="shared" si="11"/>
        <v>0</v>
      </c>
    </row>
    <row r="159" spans="1:7">
      <c r="A159" s="12" t="s">
        <v>172</v>
      </c>
      <c r="B159" s="8">
        <v>3.43</v>
      </c>
      <c r="D159" s="10">
        <f t="shared" si="9"/>
        <v>269</v>
      </c>
      <c r="E159" s="8">
        <f t="shared" si="10"/>
        <v>922.67000000000007</v>
      </c>
      <c r="F159" s="8">
        <f t="shared" si="12"/>
        <v>924.68000000000006</v>
      </c>
      <c r="G159" s="14">
        <f t="shared" si="11"/>
        <v>0</v>
      </c>
    </row>
    <row r="160" spans="1:7">
      <c r="A160" s="12" t="s">
        <v>173</v>
      </c>
      <c r="B160" s="8">
        <v>3.43</v>
      </c>
      <c r="D160" s="10">
        <f t="shared" si="9"/>
        <v>269</v>
      </c>
      <c r="E160" s="8">
        <f t="shared" si="10"/>
        <v>922.67000000000007</v>
      </c>
      <c r="F160" s="8">
        <f t="shared" si="12"/>
        <v>924.68000000000006</v>
      </c>
      <c r="G160" s="14">
        <f t="shared" si="11"/>
        <v>0</v>
      </c>
    </row>
    <row r="161" spans="1:7">
      <c r="A161" s="12" t="s">
        <v>174</v>
      </c>
      <c r="B161" s="8">
        <v>3.57</v>
      </c>
      <c r="D161" s="10">
        <f t="shared" si="9"/>
        <v>269</v>
      </c>
      <c r="E161" s="8">
        <f t="shared" si="10"/>
        <v>960.32999999999993</v>
      </c>
      <c r="F161" s="8">
        <f t="shared" si="12"/>
        <v>962.33999999999992</v>
      </c>
      <c r="G161" s="14">
        <f t="shared" si="11"/>
        <v>0</v>
      </c>
    </row>
    <row r="162" spans="1:7">
      <c r="A162" s="12" t="s">
        <v>175</v>
      </c>
      <c r="B162" s="8">
        <v>3.65</v>
      </c>
      <c r="D162" s="10">
        <f t="shared" si="9"/>
        <v>269</v>
      </c>
      <c r="E162" s="8">
        <f t="shared" si="10"/>
        <v>981.85</v>
      </c>
      <c r="F162" s="8">
        <f t="shared" si="12"/>
        <v>983.86</v>
      </c>
      <c r="G162" s="14">
        <f t="shared" si="11"/>
        <v>0</v>
      </c>
    </row>
    <row r="163" spans="1:7">
      <c r="A163" s="12" t="s">
        <v>176</v>
      </c>
      <c r="B163" s="8">
        <v>3.69</v>
      </c>
      <c r="D163" s="10">
        <f t="shared" si="9"/>
        <v>269</v>
      </c>
      <c r="E163" s="8">
        <f t="shared" si="10"/>
        <v>992.61</v>
      </c>
      <c r="F163" s="8">
        <f t="shared" si="12"/>
        <v>994.62</v>
      </c>
      <c r="G163" s="14">
        <f t="shared" si="11"/>
        <v>0</v>
      </c>
    </row>
    <row r="164" spans="1:7">
      <c r="A164" s="12" t="s">
        <v>177</v>
      </c>
      <c r="B164" s="8">
        <v>3.67</v>
      </c>
      <c r="D164" s="10">
        <f t="shared" si="9"/>
        <v>269</v>
      </c>
      <c r="E164" s="8">
        <f t="shared" si="10"/>
        <v>987.23</v>
      </c>
      <c r="F164" s="8">
        <f t="shared" si="12"/>
        <v>989.24</v>
      </c>
      <c r="G164" s="14">
        <f t="shared" si="11"/>
        <v>0</v>
      </c>
    </row>
    <row r="165" spans="1:7">
      <c r="A165" s="12" t="s">
        <v>178</v>
      </c>
      <c r="B165" s="8">
        <v>3.66</v>
      </c>
      <c r="D165" s="10">
        <f t="shared" si="9"/>
        <v>269</v>
      </c>
      <c r="E165" s="8">
        <f t="shared" si="10"/>
        <v>984.54000000000008</v>
      </c>
      <c r="F165" s="8">
        <f t="shared" si="12"/>
        <v>986.55000000000007</v>
      </c>
      <c r="G165" s="14">
        <f t="shared" si="11"/>
        <v>0</v>
      </c>
    </row>
    <row r="166" spans="1:7">
      <c r="A166" s="12" t="s">
        <v>179</v>
      </c>
      <c r="B166" s="8">
        <v>3.71</v>
      </c>
      <c r="D166" s="10">
        <f t="shared" si="9"/>
        <v>269</v>
      </c>
      <c r="E166" s="8">
        <f t="shared" si="10"/>
        <v>997.99</v>
      </c>
      <c r="F166" s="8">
        <f t="shared" si="12"/>
        <v>1000</v>
      </c>
      <c r="G166" s="14">
        <f t="shared" si="11"/>
        <v>0</v>
      </c>
    </row>
    <row r="167" spans="1:7">
      <c r="A167" s="12" t="s">
        <v>180</v>
      </c>
      <c r="B167" s="8">
        <v>3.74</v>
      </c>
      <c r="D167" s="10">
        <f t="shared" si="9"/>
        <v>269</v>
      </c>
      <c r="E167" s="8">
        <f t="shared" si="10"/>
        <v>1006.0600000000001</v>
      </c>
      <c r="F167" s="8">
        <f t="shared" si="12"/>
        <v>1008.07</v>
      </c>
      <c r="G167" s="14">
        <f t="shared" si="11"/>
        <v>0</v>
      </c>
    </row>
    <row r="168" spans="1:7">
      <c r="A168" s="12" t="s">
        <v>181</v>
      </c>
      <c r="B168" s="8">
        <v>3.67</v>
      </c>
      <c r="D168" s="10">
        <f t="shared" si="9"/>
        <v>269</v>
      </c>
      <c r="E168" s="8">
        <f t="shared" si="10"/>
        <v>987.23</v>
      </c>
      <c r="F168" s="8">
        <f t="shared" si="12"/>
        <v>989.24</v>
      </c>
      <c r="G168" s="14">
        <f t="shared" si="11"/>
        <v>0</v>
      </c>
    </row>
    <row r="169" spans="1:7">
      <c r="A169" s="12" t="s">
        <v>182</v>
      </c>
      <c r="B169" s="8">
        <v>3.65</v>
      </c>
      <c r="D169" s="10">
        <f t="shared" si="9"/>
        <v>269</v>
      </c>
      <c r="E169" s="8">
        <f t="shared" si="10"/>
        <v>981.85</v>
      </c>
      <c r="F169" s="8">
        <f t="shared" si="12"/>
        <v>983.86</v>
      </c>
      <c r="G169" s="14">
        <f t="shared" si="11"/>
        <v>0</v>
      </c>
    </row>
    <row r="170" spans="1:7">
      <c r="A170" s="12" t="s">
        <v>183</v>
      </c>
      <c r="B170" s="8">
        <v>3.61</v>
      </c>
      <c r="D170" s="10">
        <f t="shared" si="9"/>
        <v>269</v>
      </c>
      <c r="E170" s="8">
        <f t="shared" si="10"/>
        <v>971.08999999999992</v>
      </c>
      <c r="F170" s="8">
        <f t="shared" si="12"/>
        <v>973.09999999999991</v>
      </c>
      <c r="G170" s="14">
        <f t="shared" si="11"/>
        <v>0</v>
      </c>
    </row>
    <row r="171" spans="1:7">
      <c r="A171" s="12" t="s">
        <v>184</v>
      </c>
      <c r="B171" s="8">
        <v>3.64</v>
      </c>
      <c r="D171" s="10">
        <f t="shared" si="9"/>
        <v>269</v>
      </c>
      <c r="E171" s="8">
        <f t="shared" si="10"/>
        <v>979.16000000000008</v>
      </c>
      <c r="F171" s="8">
        <f t="shared" si="12"/>
        <v>981.17000000000007</v>
      </c>
      <c r="G171" s="14">
        <f t="shared" si="11"/>
        <v>0</v>
      </c>
    </row>
    <row r="172" spans="1:7">
      <c r="A172" s="12" t="s">
        <v>185</v>
      </c>
      <c r="B172" s="8">
        <v>3.52</v>
      </c>
      <c r="D172" s="10">
        <f t="shared" si="9"/>
        <v>269</v>
      </c>
      <c r="E172" s="8">
        <f t="shared" si="10"/>
        <v>946.88</v>
      </c>
      <c r="F172" s="8">
        <f t="shared" si="12"/>
        <v>948.89</v>
      </c>
      <c r="G172" s="14">
        <f t="shared" si="11"/>
        <v>0</v>
      </c>
    </row>
    <row r="173" spans="1:7">
      <c r="A173" s="12" t="s">
        <v>186</v>
      </c>
      <c r="B173" s="8">
        <v>3.63</v>
      </c>
      <c r="D173" s="10">
        <f t="shared" si="9"/>
        <v>269</v>
      </c>
      <c r="E173" s="8">
        <f t="shared" si="10"/>
        <v>976.47</v>
      </c>
      <c r="F173" s="8">
        <f t="shared" si="12"/>
        <v>978.48</v>
      </c>
      <c r="G173" s="14">
        <f t="shared" si="11"/>
        <v>0</v>
      </c>
    </row>
    <row r="174" spans="1:7">
      <c r="A174" s="12" t="s">
        <v>187</v>
      </c>
      <c r="B174" s="8">
        <v>3.52</v>
      </c>
      <c r="D174" s="10">
        <f t="shared" si="9"/>
        <v>269</v>
      </c>
      <c r="E174" s="8">
        <f t="shared" si="10"/>
        <v>946.88</v>
      </c>
      <c r="F174" s="8">
        <f t="shared" si="12"/>
        <v>948.89</v>
      </c>
      <c r="G174" s="14">
        <f t="shared" si="11"/>
        <v>0</v>
      </c>
    </row>
    <row r="175" spans="1:7">
      <c r="A175" s="12" t="s">
        <v>188</v>
      </c>
      <c r="B175" s="8">
        <v>3.51</v>
      </c>
      <c r="D175" s="10">
        <f t="shared" si="9"/>
        <v>269</v>
      </c>
      <c r="E175" s="8">
        <f t="shared" si="10"/>
        <v>944.18999999999994</v>
      </c>
      <c r="F175" s="8">
        <f t="shared" si="12"/>
        <v>946.19999999999993</v>
      </c>
      <c r="G175" s="14">
        <f t="shared" si="11"/>
        <v>0</v>
      </c>
    </row>
    <row r="176" spans="1:7">
      <c r="A176" s="12" t="s">
        <v>189</v>
      </c>
      <c r="B176" s="8">
        <v>3.64</v>
      </c>
      <c r="D176" s="10">
        <f t="shared" si="9"/>
        <v>269</v>
      </c>
      <c r="E176" s="8">
        <f t="shared" si="10"/>
        <v>979.16000000000008</v>
      </c>
      <c r="F176" s="8">
        <f t="shared" si="12"/>
        <v>981.17000000000007</v>
      </c>
      <c r="G176" s="14">
        <f t="shared" si="11"/>
        <v>0</v>
      </c>
    </row>
    <row r="177" spans="1:7">
      <c r="A177" s="12" t="s">
        <v>190</v>
      </c>
      <c r="B177" s="8">
        <v>3.59</v>
      </c>
      <c r="D177" s="10">
        <f t="shared" si="9"/>
        <v>269</v>
      </c>
      <c r="E177" s="8">
        <f t="shared" si="10"/>
        <v>965.70999999999992</v>
      </c>
      <c r="F177" s="8">
        <f t="shared" si="12"/>
        <v>967.71999999999991</v>
      </c>
      <c r="G177" s="14">
        <f t="shared" si="11"/>
        <v>0</v>
      </c>
    </row>
    <row r="178" spans="1:7">
      <c r="A178" s="12" t="s">
        <v>191</v>
      </c>
      <c r="B178" s="8">
        <v>3.61</v>
      </c>
      <c r="D178" s="10">
        <f t="shared" si="9"/>
        <v>269</v>
      </c>
      <c r="E178" s="8">
        <f t="shared" si="10"/>
        <v>971.08999999999992</v>
      </c>
      <c r="F178" s="8">
        <f t="shared" si="12"/>
        <v>973.09999999999991</v>
      </c>
      <c r="G178" s="14">
        <f t="shared" si="11"/>
        <v>0</v>
      </c>
    </row>
    <row r="179" spans="1:7">
      <c r="A179" s="12" t="s">
        <v>192</v>
      </c>
      <c r="B179" s="8">
        <v>3.59</v>
      </c>
      <c r="D179" s="10">
        <f t="shared" si="9"/>
        <v>269</v>
      </c>
      <c r="E179" s="8">
        <f t="shared" si="10"/>
        <v>965.70999999999992</v>
      </c>
      <c r="F179" s="8">
        <f t="shared" si="12"/>
        <v>967.71999999999991</v>
      </c>
      <c r="G179" s="14">
        <f t="shared" si="11"/>
        <v>0</v>
      </c>
    </row>
    <row r="180" spans="1:7">
      <c r="A180" s="12" t="s">
        <v>193</v>
      </c>
      <c r="B180" s="8">
        <v>3.58</v>
      </c>
      <c r="D180" s="10">
        <f t="shared" si="9"/>
        <v>269</v>
      </c>
      <c r="E180" s="8">
        <f t="shared" si="10"/>
        <v>963.02</v>
      </c>
      <c r="F180" s="8">
        <f t="shared" si="12"/>
        <v>965.03</v>
      </c>
      <c r="G180" s="14">
        <f t="shared" si="11"/>
        <v>0</v>
      </c>
    </row>
    <row r="181" spans="1:7">
      <c r="A181" s="12" t="s">
        <v>194</v>
      </c>
      <c r="B181" s="8">
        <v>3.53</v>
      </c>
      <c r="D181" s="10">
        <f t="shared" si="9"/>
        <v>269</v>
      </c>
      <c r="E181" s="8">
        <f t="shared" si="10"/>
        <v>949.56999999999994</v>
      </c>
      <c r="F181" s="8">
        <f t="shared" si="12"/>
        <v>951.57999999999993</v>
      </c>
      <c r="G181" s="14">
        <f t="shared" si="11"/>
        <v>0</v>
      </c>
    </row>
    <row r="182" spans="1:7">
      <c r="A182" s="12" t="s">
        <v>195</v>
      </c>
      <c r="B182" s="8">
        <v>3.53</v>
      </c>
      <c r="D182" s="10">
        <f t="shared" si="9"/>
        <v>269</v>
      </c>
      <c r="E182" s="8">
        <f t="shared" si="10"/>
        <v>949.56999999999994</v>
      </c>
      <c r="F182" s="8">
        <f t="shared" si="12"/>
        <v>951.57999999999993</v>
      </c>
      <c r="G182" s="14">
        <f t="shared" si="11"/>
        <v>0</v>
      </c>
    </row>
    <row r="183" spans="1:7">
      <c r="A183" s="12" t="s">
        <v>196</v>
      </c>
      <c r="B183" s="8">
        <v>3.6</v>
      </c>
      <c r="D183" s="10">
        <f t="shared" si="9"/>
        <v>269</v>
      </c>
      <c r="E183" s="8">
        <f t="shared" si="10"/>
        <v>968.4</v>
      </c>
      <c r="F183" s="8">
        <f t="shared" si="12"/>
        <v>970.41</v>
      </c>
      <c r="G183" s="14">
        <f t="shared" si="11"/>
        <v>0</v>
      </c>
    </row>
    <row r="184" spans="1:7">
      <c r="A184" s="12" t="s">
        <v>197</v>
      </c>
      <c r="B184" s="8">
        <v>3.61</v>
      </c>
      <c r="D184" s="10">
        <f t="shared" si="9"/>
        <v>269</v>
      </c>
      <c r="E184" s="8">
        <f t="shared" si="10"/>
        <v>971.08999999999992</v>
      </c>
      <c r="F184" s="8">
        <f t="shared" si="12"/>
        <v>973.09999999999991</v>
      </c>
      <c r="G184" s="14">
        <f t="shared" si="11"/>
        <v>0</v>
      </c>
    </row>
    <row r="185" spans="1:7">
      <c r="A185" s="12" t="s">
        <v>198</v>
      </c>
      <c r="B185" s="8">
        <v>3.61</v>
      </c>
      <c r="D185" s="10">
        <f t="shared" si="9"/>
        <v>269</v>
      </c>
      <c r="E185" s="8">
        <f t="shared" si="10"/>
        <v>971.08999999999992</v>
      </c>
      <c r="F185" s="8">
        <f t="shared" si="12"/>
        <v>973.09999999999991</v>
      </c>
      <c r="G185" s="14">
        <f t="shared" si="11"/>
        <v>0</v>
      </c>
    </row>
    <row r="186" spans="1:7">
      <c r="A186" s="12" t="s">
        <v>199</v>
      </c>
      <c r="B186" s="8">
        <v>3.62</v>
      </c>
      <c r="D186" s="10">
        <f t="shared" si="9"/>
        <v>269</v>
      </c>
      <c r="E186" s="8">
        <f t="shared" si="10"/>
        <v>973.78</v>
      </c>
      <c r="F186" s="8">
        <f t="shared" si="12"/>
        <v>975.79</v>
      </c>
      <c r="G186" s="14">
        <f t="shared" si="11"/>
        <v>0</v>
      </c>
    </row>
    <row r="187" spans="1:7">
      <c r="A187" s="12" t="s">
        <v>200</v>
      </c>
      <c r="B187" s="8">
        <v>3.53</v>
      </c>
      <c r="D187" s="10">
        <f t="shared" si="9"/>
        <v>269</v>
      </c>
      <c r="E187" s="8">
        <f t="shared" si="10"/>
        <v>949.56999999999994</v>
      </c>
      <c r="F187" s="8">
        <f t="shared" si="12"/>
        <v>951.57999999999993</v>
      </c>
      <c r="G187" s="14">
        <f t="shared" si="11"/>
        <v>0</v>
      </c>
    </row>
    <row r="188" spans="1:7">
      <c r="A188" s="12" t="s">
        <v>201</v>
      </c>
      <c r="B188" s="8">
        <v>3.49</v>
      </c>
      <c r="D188" s="10">
        <f t="shared" si="9"/>
        <v>269</v>
      </c>
      <c r="E188" s="8">
        <f t="shared" si="10"/>
        <v>938.81000000000006</v>
      </c>
      <c r="F188" s="8">
        <f t="shared" si="12"/>
        <v>940.82</v>
      </c>
      <c r="G188" s="14">
        <f t="shared" si="11"/>
        <v>0</v>
      </c>
    </row>
    <row r="189" spans="1:7">
      <c r="A189" s="12" t="s">
        <v>202</v>
      </c>
      <c r="B189" s="8">
        <v>3.51</v>
      </c>
      <c r="D189" s="10">
        <f t="shared" si="9"/>
        <v>269</v>
      </c>
      <c r="E189" s="8">
        <f t="shared" si="10"/>
        <v>944.18999999999994</v>
      </c>
      <c r="F189" s="8">
        <f t="shared" si="12"/>
        <v>946.19999999999993</v>
      </c>
      <c r="G189" s="14">
        <f t="shared" si="11"/>
        <v>0</v>
      </c>
    </row>
    <row r="190" spans="1:7">
      <c r="A190" s="12" t="s">
        <v>203</v>
      </c>
      <c r="B190" s="8">
        <v>3.51</v>
      </c>
      <c r="D190" s="10">
        <f t="shared" si="9"/>
        <v>269</v>
      </c>
      <c r="E190" s="8">
        <f t="shared" si="10"/>
        <v>944.18999999999994</v>
      </c>
      <c r="F190" s="8">
        <f t="shared" si="12"/>
        <v>946.19999999999993</v>
      </c>
      <c r="G190" s="14">
        <f t="shared" si="11"/>
        <v>0</v>
      </c>
    </row>
    <row r="191" spans="1:7">
      <c r="A191" s="12" t="s">
        <v>204</v>
      </c>
      <c r="B191" s="8">
        <v>3.47</v>
      </c>
      <c r="D191" s="10">
        <f t="shared" si="9"/>
        <v>269</v>
      </c>
      <c r="E191" s="8">
        <f t="shared" si="10"/>
        <v>933.43000000000006</v>
      </c>
      <c r="F191" s="8">
        <f t="shared" si="12"/>
        <v>935.44</v>
      </c>
      <c r="G191" s="14">
        <f t="shared" si="11"/>
        <v>0</v>
      </c>
    </row>
    <row r="192" spans="1:7">
      <c r="A192" s="12" t="s">
        <v>205</v>
      </c>
      <c r="B192" s="8">
        <v>3.37</v>
      </c>
      <c r="D192" s="10">
        <f t="shared" si="9"/>
        <v>269</v>
      </c>
      <c r="E192" s="8">
        <f t="shared" si="10"/>
        <v>906.53</v>
      </c>
      <c r="F192" s="8">
        <f t="shared" si="12"/>
        <v>908.54</v>
      </c>
      <c r="G192" s="14">
        <f t="shared" si="11"/>
        <v>0</v>
      </c>
    </row>
    <row r="193" spans="1:7">
      <c r="A193" s="12" t="s">
        <v>206</v>
      </c>
      <c r="B193" s="8">
        <v>3.22</v>
      </c>
      <c r="D193" s="10">
        <f t="shared" si="9"/>
        <v>269</v>
      </c>
      <c r="E193" s="8">
        <f t="shared" si="10"/>
        <v>866.18000000000006</v>
      </c>
      <c r="F193" s="8">
        <f t="shared" si="12"/>
        <v>868.19</v>
      </c>
      <c r="G193" s="14">
        <f t="shared" si="11"/>
        <v>0</v>
      </c>
    </row>
    <row r="194" spans="1:7">
      <c r="A194" s="12" t="s">
        <v>207</v>
      </c>
      <c r="B194" s="8">
        <v>3.21</v>
      </c>
      <c r="D194" s="10">
        <f t="shared" si="9"/>
        <v>269</v>
      </c>
      <c r="E194" s="8">
        <f t="shared" si="10"/>
        <v>863.49</v>
      </c>
      <c r="F194" s="8">
        <f t="shared" si="12"/>
        <v>865.5</v>
      </c>
      <c r="G194" s="14">
        <f t="shared" si="11"/>
        <v>0</v>
      </c>
    </row>
    <row r="195" spans="1:7">
      <c r="A195" s="12" t="s">
        <v>208</v>
      </c>
      <c r="B195" s="8">
        <v>3.12</v>
      </c>
      <c r="D195" s="10">
        <f t="shared" ref="D195:D254" si="13">ROUNDDOWN(1000/$B$2,0)</f>
        <v>269</v>
      </c>
      <c r="E195" s="8">
        <f t="shared" ref="E195:E254" si="14">D195*B195</f>
        <v>839.28</v>
      </c>
      <c r="F195" s="8">
        <f t="shared" si="12"/>
        <v>841.29</v>
      </c>
      <c r="G195" s="14">
        <f t="shared" ref="G195:G254" si="15">C195*D195</f>
        <v>0</v>
      </c>
    </row>
    <row r="196" spans="1:7">
      <c r="A196" s="12" t="s">
        <v>209</v>
      </c>
      <c r="B196" s="8">
        <v>2.97</v>
      </c>
      <c r="C196" s="14">
        <v>5.3999999999999999E-2</v>
      </c>
      <c r="D196" s="10">
        <f t="shared" si="13"/>
        <v>269</v>
      </c>
      <c r="E196" s="8">
        <f t="shared" si="14"/>
        <v>798.93000000000006</v>
      </c>
      <c r="F196" s="8">
        <f t="shared" si="12"/>
        <v>800.94</v>
      </c>
      <c r="G196" s="14">
        <f>C196*D196</f>
        <v>14.526</v>
      </c>
    </row>
    <row r="197" spans="1:7">
      <c r="A197" s="12" t="s">
        <v>210</v>
      </c>
      <c r="B197" s="8">
        <v>2.81</v>
      </c>
      <c r="D197" s="10">
        <f t="shared" si="13"/>
        <v>269</v>
      </c>
      <c r="E197" s="8">
        <f t="shared" si="14"/>
        <v>755.89</v>
      </c>
      <c r="F197" s="8">
        <f t="shared" si="12"/>
        <v>757.9</v>
      </c>
      <c r="G197" s="14">
        <f t="shared" si="15"/>
        <v>0</v>
      </c>
    </row>
    <row r="198" spans="1:7">
      <c r="A198" s="12" t="s">
        <v>211</v>
      </c>
      <c r="B198" s="8">
        <v>2.59</v>
      </c>
      <c r="D198" s="10">
        <f t="shared" si="13"/>
        <v>269</v>
      </c>
      <c r="E198" s="8">
        <f t="shared" si="14"/>
        <v>696.70999999999992</v>
      </c>
      <c r="F198" s="8">
        <f t="shared" si="12"/>
        <v>698.71999999999991</v>
      </c>
      <c r="G198" s="14">
        <f t="shared" si="15"/>
        <v>0</v>
      </c>
    </row>
    <row r="199" spans="1:7">
      <c r="A199" s="12" t="s">
        <v>212</v>
      </c>
      <c r="B199" s="8">
        <v>2.65</v>
      </c>
      <c r="D199" s="10">
        <f t="shared" si="13"/>
        <v>269</v>
      </c>
      <c r="E199" s="8">
        <f t="shared" si="14"/>
        <v>712.85</v>
      </c>
      <c r="F199" s="8">
        <f t="shared" si="12"/>
        <v>714.86</v>
      </c>
      <c r="G199" s="14">
        <f t="shared" si="15"/>
        <v>0</v>
      </c>
    </row>
    <row r="200" spans="1:7">
      <c r="A200" s="12" t="s">
        <v>213</v>
      </c>
      <c r="B200" s="8">
        <v>2.52</v>
      </c>
      <c r="D200" s="10">
        <f t="shared" si="13"/>
        <v>269</v>
      </c>
      <c r="E200" s="8">
        <f t="shared" si="14"/>
        <v>677.88</v>
      </c>
      <c r="F200" s="8">
        <f t="shared" ref="F200:F254" si="16">E200+$J$2</f>
        <v>679.89</v>
      </c>
      <c r="G200" s="14">
        <f t="shared" si="15"/>
        <v>0</v>
      </c>
    </row>
    <row r="201" spans="1:7">
      <c r="A201" s="12" t="s">
        <v>214</v>
      </c>
      <c r="B201" s="8">
        <v>2.76</v>
      </c>
      <c r="D201" s="10">
        <f t="shared" si="13"/>
        <v>269</v>
      </c>
      <c r="E201" s="8">
        <f t="shared" si="14"/>
        <v>742.43999999999994</v>
      </c>
      <c r="F201" s="8">
        <f t="shared" si="16"/>
        <v>744.44999999999993</v>
      </c>
      <c r="G201" s="14">
        <f t="shared" si="15"/>
        <v>0</v>
      </c>
    </row>
    <row r="202" spans="1:7">
      <c r="A202" s="12" t="s">
        <v>215</v>
      </c>
      <c r="B202" s="8">
        <v>2.74</v>
      </c>
      <c r="D202" s="10">
        <f t="shared" si="13"/>
        <v>269</v>
      </c>
      <c r="E202" s="8">
        <f t="shared" si="14"/>
        <v>737.06000000000006</v>
      </c>
      <c r="F202" s="8">
        <f t="shared" si="16"/>
        <v>739.07</v>
      </c>
      <c r="G202" s="14">
        <f t="shared" si="15"/>
        <v>0</v>
      </c>
    </row>
    <row r="203" spans="1:7">
      <c r="A203" s="12" t="s">
        <v>216</v>
      </c>
      <c r="B203" s="8">
        <v>2.8</v>
      </c>
      <c r="D203" s="10">
        <f t="shared" si="13"/>
        <v>269</v>
      </c>
      <c r="E203" s="8">
        <f t="shared" si="14"/>
        <v>753.19999999999993</v>
      </c>
      <c r="F203" s="8">
        <f t="shared" si="16"/>
        <v>755.20999999999992</v>
      </c>
      <c r="G203" s="14">
        <f t="shared" si="15"/>
        <v>0</v>
      </c>
    </row>
    <row r="204" spans="1:7">
      <c r="A204" s="12" t="s">
        <v>217</v>
      </c>
      <c r="B204" s="8">
        <v>2.79</v>
      </c>
      <c r="D204" s="10">
        <f t="shared" si="13"/>
        <v>269</v>
      </c>
      <c r="E204" s="8">
        <f t="shared" si="14"/>
        <v>750.51</v>
      </c>
      <c r="F204" s="8">
        <f t="shared" si="16"/>
        <v>752.52</v>
      </c>
      <c r="G204" s="14">
        <f t="shared" si="15"/>
        <v>0</v>
      </c>
    </row>
    <row r="205" spans="1:7">
      <c r="A205" s="12" t="s">
        <v>218</v>
      </c>
      <c r="B205" s="8">
        <v>2.67</v>
      </c>
      <c r="D205" s="10">
        <f t="shared" si="13"/>
        <v>269</v>
      </c>
      <c r="E205" s="8">
        <f t="shared" si="14"/>
        <v>718.23</v>
      </c>
      <c r="F205" s="8">
        <f t="shared" si="16"/>
        <v>720.24</v>
      </c>
      <c r="G205" s="14">
        <f t="shared" si="15"/>
        <v>0</v>
      </c>
    </row>
    <row r="206" spans="1:7">
      <c r="A206" s="12" t="s">
        <v>219</v>
      </c>
      <c r="B206" s="8">
        <v>2.69</v>
      </c>
      <c r="D206" s="10">
        <f t="shared" si="13"/>
        <v>269</v>
      </c>
      <c r="E206" s="8">
        <f t="shared" si="14"/>
        <v>723.61</v>
      </c>
      <c r="F206" s="8">
        <f t="shared" si="16"/>
        <v>725.62</v>
      </c>
      <c r="G206" s="14">
        <f t="shared" si="15"/>
        <v>0</v>
      </c>
    </row>
    <row r="207" spans="1:7">
      <c r="A207" s="12" t="s">
        <v>220</v>
      </c>
      <c r="B207" s="8">
        <v>2.61</v>
      </c>
      <c r="D207" s="10">
        <f t="shared" si="13"/>
        <v>269</v>
      </c>
      <c r="E207" s="8">
        <f t="shared" si="14"/>
        <v>702.08999999999992</v>
      </c>
      <c r="F207" s="8">
        <f t="shared" si="16"/>
        <v>704.09999999999991</v>
      </c>
      <c r="G207" s="14">
        <f t="shared" si="15"/>
        <v>0</v>
      </c>
    </row>
    <row r="208" spans="1:7">
      <c r="A208" s="12" t="s">
        <v>221</v>
      </c>
      <c r="B208" s="8">
        <v>2.65</v>
      </c>
      <c r="D208" s="10">
        <f t="shared" si="13"/>
        <v>269</v>
      </c>
      <c r="E208" s="8">
        <f t="shared" si="14"/>
        <v>712.85</v>
      </c>
      <c r="F208" s="8">
        <f t="shared" si="16"/>
        <v>714.86</v>
      </c>
      <c r="G208" s="14">
        <f t="shared" si="15"/>
        <v>0</v>
      </c>
    </row>
    <row r="209" spans="1:7">
      <c r="A209" s="12" t="s">
        <v>222</v>
      </c>
      <c r="B209" s="8">
        <v>2.71</v>
      </c>
      <c r="D209" s="10">
        <f t="shared" si="13"/>
        <v>269</v>
      </c>
      <c r="E209" s="8">
        <f t="shared" si="14"/>
        <v>728.99</v>
      </c>
      <c r="F209" s="8">
        <f t="shared" si="16"/>
        <v>731</v>
      </c>
      <c r="G209" s="14">
        <f t="shared" si="15"/>
        <v>0</v>
      </c>
    </row>
    <row r="210" spans="1:7">
      <c r="A210" s="12" t="s">
        <v>223</v>
      </c>
      <c r="B210" s="8">
        <v>2.71</v>
      </c>
      <c r="D210" s="10">
        <f t="shared" si="13"/>
        <v>269</v>
      </c>
      <c r="E210" s="8">
        <f t="shared" si="14"/>
        <v>728.99</v>
      </c>
      <c r="F210" s="8">
        <f t="shared" si="16"/>
        <v>731</v>
      </c>
      <c r="G210" s="14">
        <f t="shared" si="15"/>
        <v>0</v>
      </c>
    </row>
    <row r="211" spans="1:7">
      <c r="A211" s="12" t="s">
        <v>224</v>
      </c>
      <c r="B211" s="8">
        <v>2.78</v>
      </c>
      <c r="D211" s="10">
        <f t="shared" si="13"/>
        <v>269</v>
      </c>
      <c r="E211" s="8">
        <f t="shared" si="14"/>
        <v>747.81999999999994</v>
      </c>
      <c r="F211" s="8">
        <f t="shared" si="16"/>
        <v>749.82999999999993</v>
      </c>
      <c r="G211" s="14">
        <f t="shared" si="15"/>
        <v>0</v>
      </c>
    </row>
    <row r="212" spans="1:7">
      <c r="A212" s="12" t="s">
        <v>225</v>
      </c>
      <c r="B212" s="8">
        <v>2.75</v>
      </c>
      <c r="D212" s="10">
        <f t="shared" si="13"/>
        <v>269</v>
      </c>
      <c r="E212" s="8">
        <f t="shared" si="14"/>
        <v>739.75</v>
      </c>
      <c r="F212" s="8">
        <f t="shared" si="16"/>
        <v>741.76</v>
      </c>
      <c r="G212" s="14">
        <f t="shared" si="15"/>
        <v>0</v>
      </c>
    </row>
    <row r="213" spans="1:7">
      <c r="A213" s="12" t="s">
        <v>226</v>
      </c>
      <c r="B213" s="8">
        <v>2.74</v>
      </c>
      <c r="D213" s="10">
        <f t="shared" si="13"/>
        <v>269</v>
      </c>
      <c r="E213" s="8">
        <f t="shared" si="14"/>
        <v>737.06000000000006</v>
      </c>
      <c r="F213" s="8">
        <f t="shared" si="16"/>
        <v>739.07</v>
      </c>
      <c r="G213" s="14">
        <f t="shared" si="15"/>
        <v>0</v>
      </c>
    </row>
    <row r="214" spans="1:7">
      <c r="A214" s="12" t="s">
        <v>227</v>
      </c>
      <c r="B214" s="8">
        <v>2.83</v>
      </c>
      <c r="D214" s="10">
        <f t="shared" si="13"/>
        <v>269</v>
      </c>
      <c r="E214" s="8">
        <f t="shared" si="14"/>
        <v>761.27</v>
      </c>
      <c r="F214" s="8">
        <f t="shared" si="16"/>
        <v>763.28</v>
      </c>
      <c r="G214" s="14">
        <f t="shared" si="15"/>
        <v>0</v>
      </c>
    </row>
    <row r="215" spans="1:7">
      <c r="A215" s="12" t="s">
        <v>228</v>
      </c>
      <c r="B215" s="8">
        <v>2.8</v>
      </c>
      <c r="D215" s="10">
        <f t="shared" si="13"/>
        <v>269</v>
      </c>
      <c r="E215" s="8">
        <f t="shared" si="14"/>
        <v>753.19999999999993</v>
      </c>
      <c r="F215" s="8">
        <f t="shared" si="16"/>
        <v>755.20999999999992</v>
      </c>
      <c r="G215" s="14">
        <f t="shared" si="15"/>
        <v>0</v>
      </c>
    </row>
    <row r="216" spans="1:7">
      <c r="A216" s="12" t="s">
        <v>229</v>
      </c>
      <c r="B216" s="8">
        <v>2.84</v>
      </c>
      <c r="D216" s="10">
        <f t="shared" si="13"/>
        <v>269</v>
      </c>
      <c r="E216" s="8">
        <f t="shared" si="14"/>
        <v>763.95999999999992</v>
      </c>
      <c r="F216" s="8">
        <f t="shared" si="16"/>
        <v>765.96999999999991</v>
      </c>
      <c r="G216" s="14">
        <f t="shared" si="15"/>
        <v>0</v>
      </c>
    </row>
    <row r="217" spans="1:7">
      <c r="A217" s="12" t="s">
        <v>230</v>
      </c>
      <c r="B217" s="8">
        <v>2.85</v>
      </c>
      <c r="D217" s="10">
        <f t="shared" si="13"/>
        <v>269</v>
      </c>
      <c r="E217" s="8">
        <f t="shared" si="14"/>
        <v>766.65</v>
      </c>
      <c r="F217" s="8">
        <f t="shared" si="16"/>
        <v>768.66</v>
      </c>
      <c r="G217" s="14">
        <f t="shared" si="15"/>
        <v>0</v>
      </c>
    </row>
    <row r="218" spans="1:7">
      <c r="A218" s="12" t="s">
        <v>231</v>
      </c>
      <c r="B218" s="8">
        <v>2.82</v>
      </c>
      <c r="D218" s="10">
        <f t="shared" si="13"/>
        <v>269</v>
      </c>
      <c r="E218" s="8">
        <f t="shared" si="14"/>
        <v>758.57999999999993</v>
      </c>
      <c r="F218" s="8">
        <f t="shared" si="16"/>
        <v>760.58999999999992</v>
      </c>
      <c r="G218" s="14">
        <f t="shared" si="15"/>
        <v>0</v>
      </c>
    </row>
    <row r="219" spans="1:7">
      <c r="A219" s="12" t="s">
        <v>232</v>
      </c>
      <c r="B219" s="8">
        <v>2.79</v>
      </c>
      <c r="D219" s="10">
        <f t="shared" si="13"/>
        <v>269</v>
      </c>
      <c r="E219" s="8">
        <f t="shared" si="14"/>
        <v>750.51</v>
      </c>
      <c r="F219" s="8">
        <f t="shared" si="16"/>
        <v>752.52</v>
      </c>
      <c r="G219" s="14">
        <f t="shared" si="15"/>
        <v>0</v>
      </c>
    </row>
    <row r="220" spans="1:7">
      <c r="A220" s="12" t="s">
        <v>233</v>
      </c>
      <c r="B220" s="8">
        <v>2.87</v>
      </c>
      <c r="D220" s="10">
        <f t="shared" si="13"/>
        <v>269</v>
      </c>
      <c r="E220" s="8">
        <f t="shared" si="14"/>
        <v>772.03</v>
      </c>
      <c r="F220" s="8">
        <f t="shared" si="16"/>
        <v>774.04</v>
      </c>
      <c r="G220" s="14">
        <f t="shared" si="15"/>
        <v>0</v>
      </c>
    </row>
    <row r="221" spans="1:7">
      <c r="A221" s="12" t="s">
        <v>234</v>
      </c>
      <c r="B221" s="8">
        <v>3.03</v>
      </c>
      <c r="D221" s="10">
        <f t="shared" si="13"/>
        <v>269</v>
      </c>
      <c r="E221" s="8">
        <f t="shared" si="14"/>
        <v>815.06999999999994</v>
      </c>
      <c r="F221" s="8">
        <f t="shared" si="16"/>
        <v>817.07999999999993</v>
      </c>
      <c r="G221" s="14">
        <f t="shared" si="15"/>
        <v>0</v>
      </c>
    </row>
    <row r="222" spans="1:7">
      <c r="A222" s="12" t="s">
        <v>235</v>
      </c>
      <c r="B222" s="8">
        <v>2.99</v>
      </c>
      <c r="D222" s="10">
        <f t="shared" si="13"/>
        <v>269</v>
      </c>
      <c r="E222" s="8">
        <f t="shared" si="14"/>
        <v>804.31000000000006</v>
      </c>
      <c r="F222" s="8">
        <f t="shared" si="16"/>
        <v>806.32</v>
      </c>
      <c r="G222" s="14">
        <f t="shared" si="15"/>
        <v>0</v>
      </c>
    </row>
    <row r="223" spans="1:7">
      <c r="A223" s="12" t="s">
        <v>236</v>
      </c>
      <c r="B223" s="8">
        <v>2.98</v>
      </c>
      <c r="D223" s="10">
        <f t="shared" si="13"/>
        <v>269</v>
      </c>
      <c r="E223" s="8">
        <f t="shared" si="14"/>
        <v>801.62</v>
      </c>
      <c r="F223" s="8">
        <f t="shared" si="16"/>
        <v>803.63</v>
      </c>
      <c r="G223" s="14">
        <f t="shared" si="15"/>
        <v>0</v>
      </c>
    </row>
    <row r="224" spans="1:7">
      <c r="A224" s="12" t="s">
        <v>237</v>
      </c>
      <c r="B224" s="8">
        <v>2.96</v>
      </c>
      <c r="D224" s="10">
        <f t="shared" si="13"/>
        <v>269</v>
      </c>
      <c r="E224" s="8">
        <f t="shared" si="14"/>
        <v>796.24</v>
      </c>
      <c r="F224" s="8">
        <f t="shared" si="16"/>
        <v>798.25</v>
      </c>
      <c r="G224" s="14">
        <f t="shared" si="15"/>
        <v>0</v>
      </c>
    </row>
    <row r="225" spans="1:7">
      <c r="A225" s="12" t="s">
        <v>238</v>
      </c>
      <c r="B225" s="8">
        <v>2.94</v>
      </c>
      <c r="D225" s="10">
        <f t="shared" si="13"/>
        <v>269</v>
      </c>
      <c r="E225" s="8">
        <f t="shared" si="14"/>
        <v>790.86</v>
      </c>
      <c r="F225" s="8">
        <f t="shared" si="16"/>
        <v>792.87</v>
      </c>
      <c r="G225" s="14">
        <f t="shared" si="15"/>
        <v>0</v>
      </c>
    </row>
    <row r="226" spans="1:7">
      <c r="A226" s="12" t="s">
        <v>239</v>
      </c>
      <c r="B226" s="8">
        <v>3.06</v>
      </c>
      <c r="D226" s="10">
        <f t="shared" si="13"/>
        <v>269</v>
      </c>
      <c r="E226" s="8">
        <f t="shared" si="14"/>
        <v>823.14</v>
      </c>
      <c r="F226" s="8">
        <f t="shared" si="16"/>
        <v>825.15</v>
      </c>
      <c r="G226" s="14">
        <f t="shared" si="15"/>
        <v>0</v>
      </c>
    </row>
    <row r="227" spans="1:7">
      <c r="A227" s="12" t="s">
        <v>240</v>
      </c>
      <c r="B227" s="8">
        <v>3.08</v>
      </c>
      <c r="D227" s="10">
        <f t="shared" si="13"/>
        <v>269</v>
      </c>
      <c r="E227" s="8">
        <f t="shared" si="14"/>
        <v>828.52</v>
      </c>
      <c r="F227" s="8">
        <f t="shared" si="16"/>
        <v>830.53</v>
      </c>
      <c r="G227" s="14">
        <f t="shared" si="15"/>
        <v>0</v>
      </c>
    </row>
    <row r="228" spans="1:7">
      <c r="A228" s="12" t="s">
        <v>241</v>
      </c>
      <c r="B228" s="8">
        <v>3.09</v>
      </c>
      <c r="D228" s="10">
        <f t="shared" si="13"/>
        <v>269</v>
      </c>
      <c r="E228" s="8">
        <f t="shared" si="14"/>
        <v>831.20999999999992</v>
      </c>
      <c r="F228" s="8">
        <f t="shared" si="16"/>
        <v>833.21999999999991</v>
      </c>
      <c r="G228" s="14">
        <f t="shared" si="15"/>
        <v>0</v>
      </c>
    </row>
    <row r="229" spans="1:7">
      <c r="A229" s="12" t="s">
        <v>242</v>
      </c>
      <c r="B229" s="8">
        <v>3.03</v>
      </c>
      <c r="D229" s="10">
        <f t="shared" si="13"/>
        <v>269</v>
      </c>
      <c r="E229" s="8">
        <f t="shared" si="14"/>
        <v>815.06999999999994</v>
      </c>
      <c r="F229" s="8">
        <f t="shared" si="16"/>
        <v>817.07999999999993</v>
      </c>
      <c r="G229" s="14">
        <f t="shared" si="15"/>
        <v>0</v>
      </c>
    </row>
    <row r="230" spans="1:7">
      <c r="A230" s="12" t="s">
        <v>243</v>
      </c>
      <c r="B230" s="8">
        <v>3.05</v>
      </c>
      <c r="D230" s="10">
        <f t="shared" si="13"/>
        <v>269</v>
      </c>
      <c r="E230" s="8">
        <f t="shared" si="14"/>
        <v>820.44999999999993</v>
      </c>
      <c r="F230" s="8">
        <f t="shared" si="16"/>
        <v>822.45999999999992</v>
      </c>
      <c r="G230" s="14">
        <f t="shared" si="15"/>
        <v>0</v>
      </c>
    </row>
    <row r="231" spans="1:7">
      <c r="A231" s="12" t="s">
        <v>244</v>
      </c>
      <c r="B231" s="8">
        <v>3.09</v>
      </c>
      <c r="D231" s="10">
        <f t="shared" si="13"/>
        <v>269</v>
      </c>
      <c r="E231" s="8">
        <f t="shared" si="14"/>
        <v>831.20999999999992</v>
      </c>
      <c r="F231" s="8">
        <f t="shared" si="16"/>
        <v>833.21999999999991</v>
      </c>
      <c r="G231" s="14">
        <f t="shared" si="15"/>
        <v>0</v>
      </c>
    </row>
    <row r="232" spans="1:7">
      <c r="A232" s="12" t="s">
        <v>245</v>
      </c>
      <c r="B232" s="8">
        <v>3.07</v>
      </c>
      <c r="D232" s="10">
        <f t="shared" si="13"/>
        <v>269</v>
      </c>
      <c r="E232" s="8">
        <f t="shared" si="14"/>
        <v>825.82999999999993</v>
      </c>
      <c r="F232" s="8">
        <f t="shared" si="16"/>
        <v>827.83999999999992</v>
      </c>
      <c r="G232" s="14">
        <f t="shared" si="15"/>
        <v>0</v>
      </c>
    </row>
    <row r="233" spans="1:7">
      <c r="A233" s="12" t="s">
        <v>246</v>
      </c>
      <c r="B233" s="8">
        <v>3.04</v>
      </c>
      <c r="D233" s="10">
        <f t="shared" si="13"/>
        <v>269</v>
      </c>
      <c r="E233" s="8">
        <f t="shared" si="14"/>
        <v>817.76</v>
      </c>
      <c r="F233" s="8">
        <f t="shared" si="16"/>
        <v>819.77</v>
      </c>
      <c r="G233" s="14">
        <f t="shared" si="15"/>
        <v>0</v>
      </c>
    </row>
    <row r="234" spans="1:7">
      <c r="A234" s="12" t="s">
        <v>247</v>
      </c>
      <c r="B234" s="8">
        <v>3.05</v>
      </c>
      <c r="D234" s="10">
        <f t="shared" si="13"/>
        <v>269</v>
      </c>
      <c r="E234" s="8">
        <f t="shared" si="14"/>
        <v>820.44999999999993</v>
      </c>
      <c r="F234" s="8">
        <f t="shared" si="16"/>
        <v>822.45999999999992</v>
      </c>
      <c r="G234" s="14">
        <f t="shared" si="15"/>
        <v>0</v>
      </c>
    </row>
    <row r="235" spans="1:7">
      <c r="A235" s="12" t="s">
        <v>248</v>
      </c>
      <c r="B235" s="8">
        <v>2.94</v>
      </c>
      <c r="D235" s="10">
        <f t="shared" si="13"/>
        <v>269</v>
      </c>
      <c r="E235" s="8">
        <f t="shared" si="14"/>
        <v>790.86</v>
      </c>
      <c r="F235" s="8">
        <f t="shared" si="16"/>
        <v>792.87</v>
      </c>
      <c r="G235" s="14">
        <f t="shared" si="15"/>
        <v>0</v>
      </c>
    </row>
    <row r="236" spans="1:7">
      <c r="A236" s="12" t="s">
        <v>249</v>
      </c>
      <c r="B236" s="8">
        <v>2.95</v>
      </c>
      <c r="D236" s="10">
        <f t="shared" si="13"/>
        <v>269</v>
      </c>
      <c r="E236" s="8">
        <f t="shared" si="14"/>
        <v>793.55000000000007</v>
      </c>
      <c r="F236" s="8">
        <f t="shared" si="16"/>
        <v>795.56000000000006</v>
      </c>
      <c r="G236" s="14">
        <f t="shared" si="15"/>
        <v>0</v>
      </c>
    </row>
    <row r="237" spans="1:7">
      <c r="A237" s="12" t="s">
        <v>250</v>
      </c>
      <c r="B237" s="8">
        <v>3.02</v>
      </c>
      <c r="D237" s="10">
        <f t="shared" si="13"/>
        <v>269</v>
      </c>
      <c r="E237" s="8">
        <f t="shared" si="14"/>
        <v>812.38</v>
      </c>
      <c r="F237" s="8">
        <f t="shared" si="16"/>
        <v>814.39</v>
      </c>
      <c r="G237" s="14">
        <f t="shared" si="15"/>
        <v>0</v>
      </c>
    </row>
    <row r="238" spans="1:7">
      <c r="A238" s="12" t="s">
        <v>251</v>
      </c>
      <c r="B238" s="8">
        <v>3.02</v>
      </c>
      <c r="D238" s="10">
        <f t="shared" si="13"/>
        <v>269</v>
      </c>
      <c r="E238" s="8">
        <f t="shared" si="14"/>
        <v>812.38</v>
      </c>
      <c r="F238" s="8">
        <f t="shared" si="16"/>
        <v>814.39</v>
      </c>
      <c r="G238" s="14">
        <f t="shared" si="15"/>
        <v>0</v>
      </c>
    </row>
    <row r="239" spans="1:7">
      <c r="A239" s="12" t="s">
        <v>252</v>
      </c>
      <c r="B239" s="8">
        <v>3.02</v>
      </c>
      <c r="D239" s="10">
        <f t="shared" si="13"/>
        <v>269</v>
      </c>
      <c r="E239" s="8">
        <f t="shared" si="14"/>
        <v>812.38</v>
      </c>
      <c r="F239" s="8">
        <f t="shared" si="16"/>
        <v>814.39</v>
      </c>
      <c r="G239" s="14">
        <f t="shared" si="15"/>
        <v>0</v>
      </c>
    </row>
    <row r="240" spans="1:7">
      <c r="A240" s="12" t="s">
        <v>253</v>
      </c>
      <c r="B240" s="8">
        <v>3.04</v>
      </c>
      <c r="D240" s="10">
        <f t="shared" si="13"/>
        <v>269</v>
      </c>
      <c r="E240" s="8">
        <f t="shared" si="14"/>
        <v>817.76</v>
      </c>
      <c r="F240" s="8">
        <f t="shared" si="16"/>
        <v>819.77</v>
      </c>
      <c r="G240" s="14">
        <f t="shared" si="15"/>
        <v>0</v>
      </c>
    </row>
    <row r="241" spans="1:7">
      <c r="A241" s="12" t="s">
        <v>254</v>
      </c>
      <c r="B241" s="8">
        <v>3.06</v>
      </c>
      <c r="D241" s="10">
        <f t="shared" si="13"/>
        <v>269</v>
      </c>
      <c r="E241" s="8">
        <f t="shared" si="14"/>
        <v>823.14</v>
      </c>
      <c r="F241" s="8">
        <f t="shared" si="16"/>
        <v>825.15</v>
      </c>
      <c r="G241" s="14">
        <f t="shared" si="15"/>
        <v>0</v>
      </c>
    </row>
    <row r="242" spans="1:7">
      <c r="A242" s="12" t="s">
        <v>255</v>
      </c>
      <c r="B242" s="8">
        <v>3.01</v>
      </c>
      <c r="D242" s="10">
        <f t="shared" si="13"/>
        <v>269</v>
      </c>
      <c r="E242" s="8">
        <f t="shared" si="14"/>
        <v>809.68999999999994</v>
      </c>
      <c r="F242" s="8">
        <f t="shared" si="16"/>
        <v>811.69999999999993</v>
      </c>
      <c r="G242" s="14">
        <f t="shared" si="15"/>
        <v>0</v>
      </c>
    </row>
    <row r="243" spans="1:7">
      <c r="A243" s="12" t="s">
        <v>256</v>
      </c>
      <c r="B243" s="8">
        <v>2.94</v>
      </c>
      <c r="D243" s="10">
        <f t="shared" si="13"/>
        <v>269</v>
      </c>
      <c r="E243" s="8">
        <f t="shared" si="14"/>
        <v>790.86</v>
      </c>
      <c r="F243" s="8">
        <f t="shared" si="16"/>
        <v>792.87</v>
      </c>
      <c r="G243" s="14">
        <f t="shared" si="15"/>
        <v>0</v>
      </c>
    </row>
    <row r="244" spans="1:7">
      <c r="A244" s="12" t="s">
        <v>257</v>
      </c>
      <c r="B244" s="8">
        <v>3</v>
      </c>
      <c r="D244" s="10">
        <f t="shared" si="13"/>
        <v>269</v>
      </c>
      <c r="E244" s="8">
        <f t="shared" si="14"/>
        <v>807</v>
      </c>
      <c r="F244" s="8">
        <f t="shared" si="16"/>
        <v>809.01</v>
      </c>
      <c r="G244" s="14">
        <f t="shared" si="15"/>
        <v>0</v>
      </c>
    </row>
    <row r="245" spans="1:7">
      <c r="A245" s="12" t="s">
        <v>258</v>
      </c>
      <c r="B245" s="8">
        <v>3.02</v>
      </c>
      <c r="D245" s="10">
        <f t="shared" si="13"/>
        <v>269</v>
      </c>
      <c r="E245" s="8">
        <f t="shared" si="14"/>
        <v>812.38</v>
      </c>
      <c r="F245" s="8">
        <f t="shared" si="16"/>
        <v>814.39</v>
      </c>
      <c r="G245" s="14">
        <f t="shared" si="15"/>
        <v>0</v>
      </c>
    </row>
    <row r="246" spans="1:7">
      <c r="A246" s="12" t="s">
        <v>259</v>
      </c>
      <c r="B246" s="8">
        <v>2.98</v>
      </c>
      <c r="D246" s="10">
        <f t="shared" si="13"/>
        <v>269</v>
      </c>
      <c r="E246" s="8">
        <f t="shared" si="14"/>
        <v>801.62</v>
      </c>
      <c r="F246" s="8">
        <f t="shared" si="16"/>
        <v>803.63</v>
      </c>
      <c r="G246" s="14">
        <f t="shared" si="15"/>
        <v>0</v>
      </c>
    </row>
    <row r="247" spans="1:7">
      <c r="A247" s="12" t="s">
        <v>260</v>
      </c>
      <c r="B247" s="8">
        <v>2.9</v>
      </c>
      <c r="D247" s="10">
        <f t="shared" si="13"/>
        <v>269</v>
      </c>
      <c r="E247" s="8">
        <f t="shared" si="14"/>
        <v>780.1</v>
      </c>
      <c r="F247" s="8">
        <f t="shared" si="16"/>
        <v>782.11</v>
      </c>
      <c r="G247" s="14">
        <f t="shared" si="15"/>
        <v>0</v>
      </c>
    </row>
    <row r="248" spans="1:7">
      <c r="A248" s="12" t="s">
        <v>261</v>
      </c>
      <c r="B248" s="8">
        <v>2.88</v>
      </c>
      <c r="D248" s="10">
        <f t="shared" si="13"/>
        <v>269</v>
      </c>
      <c r="E248" s="8">
        <f t="shared" si="14"/>
        <v>774.72</v>
      </c>
      <c r="F248" s="8">
        <f t="shared" si="16"/>
        <v>776.73</v>
      </c>
      <c r="G248" s="14">
        <f t="shared" si="15"/>
        <v>0</v>
      </c>
    </row>
    <row r="249" spans="1:7">
      <c r="A249" s="12" t="s">
        <v>262</v>
      </c>
      <c r="B249" s="8">
        <v>2.85</v>
      </c>
      <c r="D249" s="10">
        <f t="shared" si="13"/>
        <v>269</v>
      </c>
      <c r="E249" s="8">
        <f t="shared" si="14"/>
        <v>766.65</v>
      </c>
      <c r="F249" s="8">
        <f t="shared" si="16"/>
        <v>768.66</v>
      </c>
      <c r="G249" s="14">
        <f t="shared" si="15"/>
        <v>0</v>
      </c>
    </row>
    <row r="250" spans="1:7">
      <c r="A250" s="12" t="s">
        <v>263</v>
      </c>
      <c r="B250" s="8">
        <v>2.92</v>
      </c>
      <c r="D250" s="10">
        <f t="shared" si="13"/>
        <v>269</v>
      </c>
      <c r="E250" s="8">
        <f t="shared" si="14"/>
        <v>785.48</v>
      </c>
      <c r="F250" s="8">
        <f t="shared" si="16"/>
        <v>787.49</v>
      </c>
      <c r="G250" s="14">
        <f t="shared" si="15"/>
        <v>0</v>
      </c>
    </row>
    <row r="251" spans="1:7">
      <c r="A251" s="12" t="s">
        <v>264</v>
      </c>
      <c r="B251" s="8">
        <v>2.84</v>
      </c>
      <c r="D251" s="10">
        <f t="shared" si="13"/>
        <v>269</v>
      </c>
      <c r="E251" s="8">
        <f t="shared" si="14"/>
        <v>763.95999999999992</v>
      </c>
      <c r="F251" s="8">
        <f t="shared" si="16"/>
        <v>765.96999999999991</v>
      </c>
      <c r="G251" s="14">
        <f t="shared" si="15"/>
        <v>0</v>
      </c>
    </row>
    <row r="252" spans="1:7">
      <c r="A252" s="12" t="s">
        <v>265</v>
      </c>
      <c r="B252" s="8">
        <v>2.9</v>
      </c>
      <c r="D252" s="10">
        <f t="shared" si="13"/>
        <v>269</v>
      </c>
      <c r="E252" s="8">
        <f t="shared" si="14"/>
        <v>780.1</v>
      </c>
      <c r="F252" s="8">
        <f t="shared" si="16"/>
        <v>782.11</v>
      </c>
      <c r="G252" s="14">
        <f t="shared" si="15"/>
        <v>0</v>
      </c>
    </row>
    <row r="253" spans="1:7">
      <c r="A253" s="12" t="s">
        <v>266</v>
      </c>
      <c r="B253" s="8">
        <v>2.94</v>
      </c>
      <c r="D253" s="10">
        <f t="shared" si="13"/>
        <v>269</v>
      </c>
      <c r="E253" s="8">
        <f t="shared" si="14"/>
        <v>790.86</v>
      </c>
      <c r="F253" s="8">
        <f t="shared" si="16"/>
        <v>792.87</v>
      </c>
      <c r="G253" s="14">
        <f t="shared" si="15"/>
        <v>0</v>
      </c>
    </row>
    <row r="254" spans="1:7">
      <c r="A254" s="12" t="s">
        <v>267</v>
      </c>
      <c r="B254" s="8">
        <v>2.91</v>
      </c>
      <c r="D254" s="10">
        <f t="shared" si="13"/>
        <v>269</v>
      </c>
      <c r="E254" s="8">
        <f t="shared" si="14"/>
        <v>782.79000000000008</v>
      </c>
      <c r="F254" s="8">
        <f t="shared" si="16"/>
        <v>784.80000000000007</v>
      </c>
      <c r="G254" s="14">
        <f t="shared" si="15"/>
        <v>0</v>
      </c>
    </row>
    <row r="256" spans="1:7">
      <c r="A256" s="26"/>
      <c r="G256" s="1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18AA-5E82-475F-9472-EA227324EAFD}">
  <dimension ref="A1:J254"/>
  <sheetViews>
    <sheetView topLeftCell="F1" zoomScale="130" zoomScaleNormal="130" workbookViewId="0">
      <selection activeCell="U88" sqref="U88"/>
    </sheetView>
  </sheetViews>
  <sheetFormatPr defaultRowHeight="12.75"/>
  <cols>
    <col min="1" max="4" width="14.28515625" style="12" customWidth="1"/>
    <col min="5" max="5" width="10.7109375" style="9" customWidth="1"/>
    <col min="6" max="6" width="16.85546875" style="1" customWidth="1"/>
    <col min="7" max="7" width="13.85546875" style="19" customWidth="1"/>
    <col min="8" max="8" width="13.28515625" customWidth="1"/>
    <col min="9" max="9" width="16.5703125" customWidth="1"/>
    <col min="10" max="10" width="14.42578125" customWidth="1"/>
  </cols>
  <sheetData>
    <row r="1" spans="1:10" ht="15">
      <c r="A1" s="11" t="s">
        <v>2</v>
      </c>
      <c r="B1" s="4" t="s">
        <v>3</v>
      </c>
      <c r="C1" s="7" t="s">
        <v>4</v>
      </c>
      <c r="D1" s="7" t="s">
        <v>5</v>
      </c>
      <c r="E1" s="7" t="s">
        <v>6</v>
      </c>
      <c r="F1" s="2" t="s">
        <v>8</v>
      </c>
      <c r="G1" s="20" t="s">
        <v>269</v>
      </c>
      <c r="H1" t="s">
        <v>12</v>
      </c>
      <c r="I1" s="28" t="s">
        <v>278</v>
      </c>
      <c r="J1" s="8">
        <f>MIN(E2:E254)</f>
        <v>2.52</v>
      </c>
    </row>
    <row r="2" spans="1:10">
      <c r="A2" s="12" t="s">
        <v>15</v>
      </c>
      <c r="B2" s="5">
        <v>3.65</v>
      </c>
      <c r="C2" s="8">
        <v>3.72</v>
      </c>
      <c r="D2" s="8">
        <v>3.64</v>
      </c>
      <c r="E2" s="8">
        <v>3.71</v>
      </c>
      <c r="F2" s="3">
        <v>9106807</v>
      </c>
      <c r="G2" s="19">
        <v>0</v>
      </c>
      <c r="H2">
        <v>0.48944591029023748</v>
      </c>
      <c r="I2" s="21" t="s">
        <v>2</v>
      </c>
      <c r="J2" s="12" t="s">
        <v>213</v>
      </c>
    </row>
    <row r="3" spans="1:10">
      <c r="A3" s="12" t="s">
        <v>16</v>
      </c>
      <c r="B3" s="5">
        <v>3.75</v>
      </c>
      <c r="C3" s="8">
        <v>3.77</v>
      </c>
      <c r="D3" s="8">
        <v>3.6949999999999998</v>
      </c>
      <c r="E3" s="8">
        <v>3.73</v>
      </c>
      <c r="F3" s="3">
        <v>12394093</v>
      </c>
      <c r="G3" s="19">
        <v>0</v>
      </c>
      <c r="H3">
        <v>0.4920844327176781</v>
      </c>
    </row>
    <row r="4" spans="1:10">
      <c r="A4" s="12" t="s">
        <v>17</v>
      </c>
      <c r="B4" s="5">
        <v>3.79</v>
      </c>
      <c r="C4" s="8">
        <v>3.86</v>
      </c>
      <c r="D4" s="8">
        <v>3.77</v>
      </c>
      <c r="E4" s="8">
        <v>3.78</v>
      </c>
      <c r="F4" s="3">
        <v>13794144</v>
      </c>
      <c r="G4" s="19">
        <v>0</v>
      </c>
      <c r="H4">
        <v>0.49868073878627966</v>
      </c>
      <c r="I4" s="28" t="s">
        <v>279</v>
      </c>
      <c r="J4" s="8">
        <f>MAX(E201:E254)</f>
        <v>3.09</v>
      </c>
    </row>
    <row r="5" spans="1:10">
      <c r="A5" s="12" t="s">
        <v>18</v>
      </c>
      <c r="B5" s="5">
        <v>3.85</v>
      </c>
      <c r="C5" s="8">
        <v>3.86</v>
      </c>
      <c r="D5" s="8">
        <v>3.79</v>
      </c>
      <c r="E5" s="8">
        <v>3.85</v>
      </c>
      <c r="F5" s="3">
        <v>20956236</v>
      </c>
      <c r="G5" s="19">
        <v>0</v>
      </c>
      <c r="H5">
        <v>0.5079155672823219</v>
      </c>
      <c r="I5" s="21" t="s">
        <v>2</v>
      </c>
      <c r="J5" s="12" t="s">
        <v>241</v>
      </c>
    </row>
    <row r="6" spans="1:10">
      <c r="A6" s="12" t="s">
        <v>19</v>
      </c>
      <c r="B6" s="5">
        <v>3.85</v>
      </c>
      <c r="C6" s="8">
        <v>3.8650000000000002</v>
      </c>
      <c r="D6" s="8">
        <v>3.7949999999999999</v>
      </c>
      <c r="E6" s="8">
        <v>3.82</v>
      </c>
      <c r="F6" s="3">
        <v>9689371</v>
      </c>
      <c r="G6" s="19">
        <v>0</v>
      </c>
      <c r="H6">
        <v>0.50395778364116095</v>
      </c>
    </row>
    <row r="7" spans="1:10">
      <c r="A7" s="12" t="s">
        <v>20</v>
      </c>
      <c r="B7" s="5">
        <v>3.82</v>
      </c>
      <c r="C7" s="8">
        <v>3.83</v>
      </c>
      <c r="D7" s="8">
        <v>3.68</v>
      </c>
      <c r="E7" s="8">
        <v>3.7</v>
      </c>
      <c r="F7" s="3">
        <v>12881063</v>
      </c>
      <c r="G7" s="19">
        <v>0</v>
      </c>
      <c r="H7">
        <v>0.48812664907651715</v>
      </c>
      <c r="I7" s="28" t="s">
        <v>270</v>
      </c>
      <c r="J7" s="10">
        <f>1000/J1</f>
        <v>396.82539682539681</v>
      </c>
    </row>
    <row r="8" spans="1:10">
      <c r="A8" s="12" t="s">
        <v>21</v>
      </c>
      <c r="B8" s="5">
        <v>3.75</v>
      </c>
      <c r="C8" s="8">
        <v>3.75</v>
      </c>
      <c r="D8" s="8">
        <v>3.67</v>
      </c>
      <c r="E8" s="8">
        <v>3.72</v>
      </c>
      <c r="F8" s="3">
        <v>13428251</v>
      </c>
      <c r="G8" s="19">
        <v>0</v>
      </c>
      <c r="H8">
        <v>0.49076517150395782</v>
      </c>
      <c r="I8" s="28" t="s">
        <v>280</v>
      </c>
      <c r="J8" s="8">
        <f>J7*J4</f>
        <v>1226.1904761904761</v>
      </c>
    </row>
    <row r="9" spans="1:10">
      <c r="A9" s="12" t="s">
        <v>22</v>
      </c>
      <c r="B9" s="5">
        <v>3.66</v>
      </c>
      <c r="C9" s="8">
        <v>3.67</v>
      </c>
      <c r="D9" s="8">
        <v>3.625</v>
      </c>
      <c r="E9" s="8">
        <v>3.64</v>
      </c>
      <c r="F9" s="3">
        <v>10158463</v>
      </c>
      <c r="G9" s="19">
        <v>0</v>
      </c>
      <c r="H9">
        <v>0.48021108179419525</v>
      </c>
      <c r="I9" s="28" t="s">
        <v>281</v>
      </c>
      <c r="J9" s="8">
        <f>J8-1000</f>
        <v>226.19047619047615</v>
      </c>
    </row>
    <row r="10" spans="1:10">
      <c r="A10" s="12" t="s">
        <v>23</v>
      </c>
      <c r="B10" s="5">
        <v>3.67</v>
      </c>
      <c r="C10" s="8">
        <v>3.6749999999999998</v>
      </c>
      <c r="D10" s="8">
        <v>3.59</v>
      </c>
      <c r="E10" s="8">
        <v>3.62</v>
      </c>
      <c r="F10" s="3">
        <v>26396401</v>
      </c>
      <c r="G10" s="19">
        <v>0</v>
      </c>
      <c r="H10">
        <v>0.47757255936675463</v>
      </c>
    </row>
    <row r="11" spans="1:10">
      <c r="A11" s="12" t="s">
        <v>24</v>
      </c>
      <c r="B11" s="5">
        <v>3.64</v>
      </c>
      <c r="C11" s="8">
        <v>3.67</v>
      </c>
      <c r="D11" s="8">
        <v>3.61</v>
      </c>
      <c r="E11" s="8">
        <v>3.62</v>
      </c>
      <c r="F11" s="3">
        <v>13100483</v>
      </c>
      <c r="G11" s="19">
        <v>0</v>
      </c>
      <c r="H11">
        <v>0.47757255936675463</v>
      </c>
    </row>
    <row r="12" spans="1:10">
      <c r="A12" s="12" t="s">
        <v>25</v>
      </c>
      <c r="B12" s="5">
        <v>3.63</v>
      </c>
      <c r="C12" s="8">
        <v>3.64</v>
      </c>
      <c r="D12" s="8">
        <v>3.59</v>
      </c>
      <c r="E12" s="8">
        <v>3.62</v>
      </c>
      <c r="F12" s="3">
        <v>12435172</v>
      </c>
      <c r="G12" s="19">
        <v>0</v>
      </c>
      <c r="H12">
        <v>0.47757255936675463</v>
      </c>
    </row>
    <row r="13" spans="1:10">
      <c r="A13" s="12" t="s">
        <v>26</v>
      </c>
      <c r="B13" s="5">
        <v>3.6</v>
      </c>
      <c r="C13" s="8">
        <v>3.605</v>
      </c>
      <c r="D13" s="8">
        <v>3.5550000000000002</v>
      </c>
      <c r="E13" s="8">
        <v>3.57</v>
      </c>
      <c r="F13" s="3">
        <v>12406333</v>
      </c>
      <c r="G13" s="19">
        <v>0</v>
      </c>
      <c r="H13">
        <v>0.47097625329815301</v>
      </c>
    </row>
    <row r="14" spans="1:10">
      <c r="A14" s="12" t="s">
        <v>27</v>
      </c>
      <c r="B14" s="5">
        <v>3.59</v>
      </c>
      <c r="C14" s="8">
        <v>3.61</v>
      </c>
      <c r="D14" s="8">
        <v>3.54</v>
      </c>
      <c r="E14" s="8">
        <v>3.55</v>
      </c>
      <c r="F14" s="3">
        <v>11173908</v>
      </c>
      <c r="G14" s="19">
        <v>0</v>
      </c>
      <c r="H14">
        <v>0.4683377308707124</v>
      </c>
    </row>
    <row r="15" spans="1:10">
      <c r="A15" s="12" t="s">
        <v>28</v>
      </c>
      <c r="B15" s="5">
        <v>3.54</v>
      </c>
      <c r="C15" s="8">
        <v>3.5449999999999999</v>
      </c>
      <c r="D15" s="8">
        <v>3.47</v>
      </c>
      <c r="E15" s="8">
        <v>3.49</v>
      </c>
      <c r="F15" s="3">
        <v>10817106</v>
      </c>
      <c r="G15" s="19">
        <v>0</v>
      </c>
      <c r="H15">
        <v>0.4604221635883905</v>
      </c>
    </row>
    <row r="16" spans="1:10">
      <c r="A16" s="12" t="s">
        <v>29</v>
      </c>
      <c r="B16" s="5">
        <v>3.42</v>
      </c>
      <c r="C16" s="8">
        <v>3.43</v>
      </c>
      <c r="D16" s="8">
        <v>3.38</v>
      </c>
      <c r="E16" s="8">
        <v>3.42</v>
      </c>
      <c r="F16" s="3">
        <v>16152362</v>
      </c>
      <c r="G16" s="19">
        <v>0</v>
      </c>
      <c r="H16">
        <v>0.45118733509234826</v>
      </c>
    </row>
    <row r="17" spans="1:8">
      <c r="A17" s="12" t="s">
        <v>30</v>
      </c>
      <c r="B17" s="5">
        <v>3.14</v>
      </c>
      <c r="C17" s="8">
        <v>3.16</v>
      </c>
      <c r="D17" s="8">
        <v>2.9350000000000001</v>
      </c>
      <c r="E17" s="8">
        <v>2.99</v>
      </c>
      <c r="F17" s="3">
        <v>54812357</v>
      </c>
      <c r="G17" s="19">
        <v>0</v>
      </c>
      <c r="H17">
        <v>0.39445910290237468</v>
      </c>
    </row>
    <row r="18" spans="1:8">
      <c r="A18" s="12" t="s">
        <v>31</v>
      </c>
      <c r="B18" s="5">
        <v>2.99</v>
      </c>
      <c r="C18" s="8">
        <v>3.05</v>
      </c>
      <c r="D18" s="8">
        <v>2.94</v>
      </c>
      <c r="E18" s="8">
        <v>2.98</v>
      </c>
      <c r="F18" s="3">
        <v>23134988</v>
      </c>
      <c r="G18" s="19">
        <v>0</v>
      </c>
      <c r="H18">
        <v>0.39313984168865435</v>
      </c>
    </row>
    <row r="19" spans="1:8">
      <c r="A19" s="12" t="s">
        <v>32</v>
      </c>
      <c r="B19" s="5">
        <v>2.99</v>
      </c>
      <c r="C19" s="8">
        <v>2.99</v>
      </c>
      <c r="D19" s="8">
        <v>2.91</v>
      </c>
      <c r="E19" s="8">
        <v>2.96</v>
      </c>
      <c r="F19" s="3">
        <v>18835336</v>
      </c>
      <c r="G19" s="19">
        <v>0</v>
      </c>
      <c r="H19">
        <v>0.39050131926121373</v>
      </c>
    </row>
    <row r="20" spans="1:8">
      <c r="A20" s="12" t="s">
        <v>33</v>
      </c>
      <c r="B20" s="5">
        <v>2.91</v>
      </c>
      <c r="C20" s="8">
        <v>2.97</v>
      </c>
      <c r="D20" s="8">
        <v>2.89</v>
      </c>
      <c r="E20" s="8">
        <v>2.91</v>
      </c>
      <c r="F20" s="3">
        <v>20154737</v>
      </c>
      <c r="G20" s="19">
        <v>0</v>
      </c>
      <c r="H20">
        <v>0.38390501319261217</v>
      </c>
    </row>
    <row r="21" spans="1:8">
      <c r="A21" s="12" t="s">
        <v>34</v>
      </c>
      <c r="B21" s="5">
        <v>2.95</v>
      </c>
      <c r="C21" s="8">
        <v>2.99</v>
      </c>
      <c r="D21" s="8">
        <v>2.94</v>
      </c>
      <c r="E21" s="8">
        <v>2.98</v>
      </c>
      <c r="F21" s="3">
        <v>16115189</v>
      </c>
      <c r="G21" s="19">
        <v>0</v>
      </c>
      <c r="H21">
        <v>0.39313984168865435</v>
      </c>
    </row>
    <row r="22" spans="1:8">
      <c r="A22" s="12" t="s">
        <v>35</v>
      </c>
      <c r="B22" s="5">
        <v>3.03</v>
      </c>
      <c r="C22" s="8">
        <v>3.05</v>
      </c>
      <c r="D22" s="8">
        <v>3.01</v>
      </c>
      <c r="E22" s="8">
        <v>3.02</v>
      </c>
      <c r="F22" s="3">
        <v>14373894</v>
      </c>
      <c r="G22" s="19">
        <v>0</v>
      </c>
      <c r="H22">
        <v>0.39841688654353563</v>
      </c>
    </row>
    <row r="23" spans="1:8">
      <c r="A23" s="12" t="s">
        <v>36</v>
      </c>
      <c r="B23" s="5">
        <v>3</v>
      </c>
      <c r="C23" s="8">
        <v>3.03</v>
      </c>
      <c r="D23" s="8">
        <v>2.99</v>
      </c>
      <c r="E23" s="8">
        <v>3.01</v>
      </c>
      <c r="F23" s="3">
        <v>14273745</v>
      </c>
      <c r="G23" s="19">
        <v>0</v>
      </c>
      <c r="H23">
        <v>0.3970976253298153</v>
      </c>
    </row>
    <row r="24" spans="1:8">
      <c r="A24" s="12" t="s">
        <v>37</v>
      </c>
      <c r="B24" s="5">
        <v>3.05</v>
      </c>
      <c r="C24" s="8">
        <v>3.09</v>
      </c>
      <c r="D24" s="8">
        <v>3</v>
      </c>
      <c r="E24" s="8">
        <v>3.07</v>
      </c>
      <c r="F24" s="3">
        <v>21660548</v>
      </c>
      <c r="G24" s="19">
        <v>0</v>
      </c>
      <c r="H24">
        <v>0.4050131926121372</v>
      </c>
    </row>
    <row r="25" spans="1:8">
      <c r="A25" s="12" t="s">
        <v>38</v>
      </c>
      <c r="B25" s="5">
        <v>3.12</v>
      </c>
      <c r="C25" s="8">
        <v>3.15</v>
      </c>
      <c r="D25" s="8">
        <v>3.08</v>
      </c>
      <c r="E25" s="8">
        <v>3.14</v>
      </c>
      <c r="F25" s="3">
        <v>18882555</v>
      </c>
      <c r="G25" s="19">
        <v>0</v>
      </c>
      <c r="H25">
        <v>0.41424802110817943</v>
      </c>
    </row>
    <row r="26" spans="1:8">
      <c r="A26" s="12" t="s">
        <v>39</v>
      </c>
      <c r="B26" s="5">
        <v>3.05</v>
      </c>
      <c r="C26" s="8">
        <v>3.0750000000000002</v>
      </c>
      <c r="D26" s="8">
        <v>2.9950000000000001</v>
      </c>
      <c r="E26" s="8">
        <v>3.02</v>
      </c>
      <c r="F26" s="3">
        <v>19896907</v>
      </c>
      <c r="G26" s="19">
        <v>0</v>
      </c>
      <c r="H26">
        <v>0.39841688654353563</v>
      </c>
    </row>
    <row r="27" spans="1:8">
      <c r="A27" s="12" t="s">
        <v>40</v>
      </c>
      <c r="B27" s="5">
        <v>2.9</v>
      </c>
      <c r="C27" s="8">
        <v>2.9249999999999998</v>
      </c>
      <c r="D27" s="8">
        <v>2.84</v>
      </c>
      <c r="E27" s="8">
        <v>2.84</v>
      </c>
      <c r="F27" s="3">
        <v>20345335</v>
      </c>
      <c r="G27" s="19">
        <v>0</v>
      </c>
      <c r="H27">
        <v>0.37467018469656987</v>
      </c>
    </row>
    <row r="28" spans="1:8">
      <c r="A28" s="12" t="s">
        <v>41</v>
      </c>
      <c r="B28" s="5">
        <v>2.87</v>
      </c>
      <c r="C28" s="8">
        <v>2.93</v>
      </c>
      <c r="D28" s="8">
        <v>2.86</v>
      </c>
      <c r="E28" s="8">
        <v>2.86</v>
      </c>
      <c r="F28" s="3">
        <v>17012868</v>
      </c>
      <c r="G28" s="19">
        <v>0</v>
      </c>
      <c r="H28">
        <v>0.37730870712401055</v>
      </c>
    </row>
    <row r="29" spans="1:8">
      <c r="A29" s="12" t="s">
        <v>42</v>
      </c>
      <c r="B29" s="5">
        <v>2.86</v>
      </c>
      <c r="C29" s="8">
        <v>2.92</v>
      </c>
      <c r="D29" s="8">
        <v>2.84</v>
      </c>
      <c r="E29" s="8">
        <v>2.88</v>
      </c>
      <c r="F29" s="3">
        <v>23768976</v>
      </c>
      <c r="G29" s="19">
        <v>0</v>
      </c>
      <c r="H29">
        <v>0.37994722955145116</v>
      </c>
    </row>
    <row r="30" spans="1:8">
      <c r="A30" s="12" t="s">
        <v>43</v>
      </c>
      <c r="B30" s="5">
        <v>2.84</v>
      </c>
      <c r="C30" s="8">
        <v>2.86</v>
      </c>
      <c r="D30" s="8">
        <v>2.79</v>
      </c>
      <c r="E30" s="8">
        <v>2.83</v>
      </c>
      <c r="F30" s="3">
        <v>13810471</v>
      </c>
      <c r="G30" s="19">
        <v>0</v>
      </c>
      <c r="H30">
        <v>0.37335092348284959</v>
      </c>
    </row>
    <row r="31" spans="1:8">
      <c r="A31" s="12" t="s">
        <v>44</v>
      </c>
      <c r="B31" s="5">
        <v>2.85</v>
      </c>
      <c r="C31" s="8">
        <v>2.94</v>
      </c>
      <c r="D31" s="8">
        <v>2.84</v>
      </c>
      <c r="E31" s="8">
        <v>2.94</v>
      </c>
      <c r="F31" s="3">
        <v>23253359</v>
      </c>
      <c r="G31" s="19">
        <v>0</v>
      </c>
      <c r="H31">
        <v>0.38786279683377306</v>
      </c>
    </row>
    <row r="32" spans="1:8">
      <c r="A32" s="12" t="s">
        <v>45</v>
      </c>
      <c r="B32" s="5">
        <v>2.94</v>
      </c>
      <c r="C32" s="8">
        <v>2.95</v>
      </c>
      <c r="D32" s="8">
        <v>2.91</v>
      </c>
      <c r="E32" s="8">
        <v>2.93</v>
      </c>
      <c r="F32" s="3">
        <v>8648846</v>
      </c>
      <c r="G32" s="19">
        <v>0</v>
      </c>
      <c r="H32">
        <v>0.38654353562005278</v>
      </c>
    </row>
    <row r="33" spans="1:8">
      <c r="A33" s="12" t="s">
        <v>46</v>
      </c>
      <c r="B33" s="5">
        <v>2.96</v>
      </c>
      <c r="C33" s="8">
        <v>2.9750000000000001</v>
      </c>
      <c r="D33" s="8">
        <v>2.93</v>
      </c>
      <c r="E33" s="8">
        <v>2.96</v>
      </c>
      <c r="F33" s="3">
        <v>10662640</v>
      </c>
      <c r="G33" s="19">
        <v>0</v>
      </c>
      <c r="H33">
        <v>0.39050131926121373</v>
      </c>
    </row>
    <row r="34" spans="1:8">
      <c r="A34" s="12" t="s">
        <v>47</v>
      </c>
      <c r="B34" s="5">
        <v>2.97</v>
      </c>
      <c r="C34" s="8">
        <v>3</v>
      </c>
      <c r="D34" s="8">
        <v>2.89</v>
      </c>
      <c r="E34" s="8">
        <v>2.91</v>
      </c>
      <c r="F34" s="3">
        <v>14400303</v>
      </c>
      <c r="G34" s="19">
        <v>0</v>
      </c>
      <c r="H34">
        <v>0.38390501319261217</v>
      </c>
    </row>
    <row r="35" spans="1:8">
      <c r="A35" s="12" t="s">
        <v>48</v>
      </c>
      <c r="B35" s="5">
        <v>2.93</v>
      </c>
      <c r="C35" s="8">
        <v>2.95</v>
      </c>
      <c r="D35" s="8">
        <v>2.9</v>
      </c>
      <c r="E35" s="8">
        <v>2.92</v>
      </c>
      <c r="F35" s="3">
        <v>13069010</v>
      </c>
      <c r="G35" s="19">
        <v>0</v>
      </c>
      <c r="H35">
        <v>0.38522427440633245</v>
      </c>
    </row>
    <row r="36" spans="1:8">
      <c r="A36" s="12" t="s">
        <v>49</v>
      </c>
      <c r="B36" s="5">
        <v>2.96</v>
      </c>
      <c r="C36" s="8">
        <v>3</v>
      </c>
      <c r="D36" s="8">
        <v>2.94</v>
      </c>
      <c r="E36" s="8">
        <v>2.98</v>
      </c>
      <c r="F36" s="3">
        <v>20523485</v>
      </c>
      <c r="G36" s="19">
        <v>0</v>
      </c>
      <c r="H36">
        <v>0.39313984168865435</v>
      </c>
    </row>
    <row r="37" spans="1:8">
      <c r="A37" s="12" t="s">
        <v>50</v>
      </c>
      <c r="B37" s="5">
        <v>2.96</v>
      </c>
      <c r="C37" s="8">
        <v>2.9849999999999999</v>
      </c>
      <c r="D37" s="8">
        <v>2.9249999999999998</v>
      </c>
      <c r="E37" s="8">
        <v>2.96</v>
      </c>
      <c r="F37" s="3">
        <v>9279929</v>
      </c>
      <c r="G37" s="19">
        <v>0</v>
      </c>
      <c r="H37">
        <v>0.39050131926121373</v>
      </c>
    </row>
    <row r="38" spans="1:8">
      <c r="A38" s="12" t="s">
        <v>51</v>
      </c>
      <c r="B38" s="5">
        <v>3.03</v>
      </c>
      <c r="C38" s="8">
        <v>3.07</v>
      </c>
      <c r="D38" s="8">
        <v>3.01</v>
      </c>
      <c r="E38" s="8">
        <v>3.01</v>
      </c>
      <c r="F38" s="3">
        <v>15788370</v>
      </c>
      <c r="G38" s="19">
        <v>0</v>
      </c>
      <c r="H38">
        <v>0.3970976253298153</v>
      </c>
    </row>
    <row r="39" spans="1:8">
      <c r="A39" s="12" t="s">
        <v>52</v>
      </c>
      <c r="B39" s="5">
        <v>2.95</v>
      </c>
      <c r="C39" s="8">
        <v>3.0150000000000001</v>
      </c>
      <c r="D39" s="8">
        <v>2.94</v>
      </c>
      <c r="E39" s="8">
        <v>3.01</v>
      </c>
      <c r="F39" s="3">
        <v>15016450</v>
      </c>
      <c r="G39" s="19">
        <v>0</v>
      </c>
      <c r="H39">
        <v>0.3970976253298153</v>
      </c>
    </row>
    <row r="40" spans="1:8">
      <c r="A40" s="12" t="s">
        <v>53</v>
      </c>
      <c r="B40" s="5">
        <v>3.04</v>
      </c>
      <c r="C40" s="8">
        <v>3.07</v>
      </c>
      <c r="D40" s="8">
        <v>3.01</v>
      </c>
      <c r="E40" s="8">
        <v>3.04</v>
      </c>
      <c r="F40" s="3">
        <v>8807000</v>
      </c>
      <c r="G40" s="19">
        <v>0</v>
      </c>
      <c r="H40">
        <v>0.40105540897097625</v>
      </c>
    </row>
    <row r="41" spans="1:8">
      <c r="A41" s="12" t="s">
        <v>54</v>
      </c>
      <c r="B41" s="5">
        <v>2.96</v>
      </c>
      <c r="C41" s="8">
        <v>3.0449999999999999</v>
      </c>
      <c r="D41" s="8">
        <v>2.96</v>
      </c>
      <c r="E41" s="8">
        <v>3.03</v>
      </c>
      <c r="F41" s="3">
        <v>35694427</v>
      </c>
      <c r="G41" s="19">
        <v>0</v>
      </c>
      <c r="H41">
        <v>0.39973614775725591</v>
      </c>
    </row>
    <row r="42" spans="1:8">
      <c r="A42" s="12" t="s">
        <v>55</v>
      </c>
      <c r="B42" s="5">
        <v>3.04</v>
      </c>
      <c r="C42" s="8">
        <v>3.11</v>
      </c>
      <c r="D42" s="8">
        <v>3.04</v>
      </c>
      <c r="E42" s="8">
        <v>3.09</v>
      </c>
      <c r="F42" s="3">
        <v>11068964</v>
      </c>
      <c r="G42" s="19">
        <v>0</v>
      </c>
      <c r="H42">
        <v>0.40765171503957781</v>
      </c>
    </row>
    <row r="43" spans="1:8">
      <c r="A43" s="12" t="s">
        <v>56</v>
      </c>
      <c r="B43" s="5">
        <v>3.11</v>
      </c>
      <c r="C43" s="8">
        <v>3.125</v>
      </c>
      <c r="D43" s="8">
        <v>3.09</v>
      </c>
      <c r="E43" s="8">
        <v>3.1</v>
      </c>
      <c r="F43" s="3">
        <v>6127008</v>
      </c>
      <c r="G43" s="19">
        <v>0</v>
      </c>
      <c r="H43">
        <v>0.40897097625329815</v>
      </c>
    </row>
    <row r="44" spans="1:8">
      <c r="A44" s="12" t="s">
        <v>57</v>
      </c>
      <c r="B44" s="5">
        <v>3.08</v>
      </c>
      <c r="C44" s="8">
        <v>3.1</v>
      </c>
      <c r="D44" s="8">
        <v>3.0550000000000002</v>
      </c>
      <c r="E44" s="8">
        <v>3.08</v>
      </c>
      <c r="F44" s="3">
        <v>8290015</v>
      </c>
      <c r="G44" s="19">
        <v>0</v>
      </c>
      <c r="H44">
        <v>0.40633245382585753</v>
      </c>
    </row>
    <row r="45" spans="1:8">
      <c r="A45" s="12" t="s">
        <v>58</v>
      </c>
      <c r="B45" s="5">
        <v>3.02</v>
      </c>
      <c r="C45" s="8">
        <v>3.11</v>
      </c>
      <c r="D45" s="8">
        <v>3.02</v>
      </c>
      <c r="E45" s="8">
        <v>3.1</v>
      </c>
      <c r="F45" s="3">
        <v>14884764</v>
      </c>
      <c r="G45" s="19">
        <v>0</v>
      </c>
      <c r="H45">
        <v>0.40897097625329815</v>
      </c>
    </row>
    <row r="46" spans="1:8">
      <c r="A46" s="12" t="s">
        <v>59</v>
      </c>
      <c r="B46" s="5">
        <v>3.09</v>
      </c>
      <c r="C46" s="8">
        <v>3.16</v>
      </c>
      <c r="D46" s="8">
        <v>3.09</v>
      </c>
      <c r="E46" s="8">
        <v>3.14</v>
      </c>
      <c r="F46" s="3">
        <v>27310472</v>
      </c>
      <c r="G46" s="19">
        <v>0</v>
      </c>
      <c r="H46">
        <v>0.41424802110817943</v>
      </c>
    </row>
    <row r="47" spans="1:8">
      <c r="A47" s="12" t="s">
        <v>60</v>
      </c>
      <c r="B47" s="5">
        <v>3.06</v>
      </c>
      <c r="C47" s="8">
        <v>3.12</v>
      </c>
      <c r="D47" s="8">
        <v>3.06</v>
      </c>
      <c r="E47" s="8">
        <v>3.1</v>
      </c>
      <c r="F47" s="3">
        <v>11343885</v>
      </c>
      <c r="G47" s="19">
        <v>0</v>
      </c>
      <c r="H47">
        <v>0.40897097625329815</v>
      </c>
    </row>
    <row r="48" spans="1:8">
      <c r="A48" s="12" t="s">
        <v>61</v>
      </c>
      <c r="B48" s="5">
        <v>3.1</v>
      </c>
      <c r="C48" s="8">
        <v>3.17</v>
      </c>
      <c r="D48" s="8">
        <v>3.08</v>
      </c>
      <c r="E48" s="8">
        <v>3.1</v>
      </c>
      <c r="F48" s="3">
        <v>15429700</v>
      </c>
      <c r="G48" s="19">
        <v>0</v>
      </c>
      <c r="H48">
        <v>0.40897097625329815</v>
      </c>
    </row>
    <row r="49" spans="1:8">
      <c r="A49" s="12" t="s">
        <v>62</v>
      </c>
      <c r="B49" s="5">
        <v>3</v>
      </c>
      <c r="C49" s="8">
        <v>3.0150000000000001</v>
      </c>
      <c r="D49" s="8">
        <v>2.98</v>
      </c>
      <c r="E49" s="8">
        <v>3</v>
      </c>
      <c r="F49" s="3">
        <v>19186593</v>
      </c>
      <c r="G49" s="19">
        <v>0</v>
      </c>
      <c r="H49">
        <v>0.39577836411609496</v>
      </c>
    </row>
    <row r="50" spans="1:8">
      <c r="A50" s="12" t="s">
        <v>63</v>
      </c>
      <c r="B50" s="5">
        <v>3</v>
      </c>
      <c r="C50" s="8">
        <v>3.05</v>
      </c>
      <c r="D50" s="8">
        <v>2.9950000000000001</v>
      </c>
      <c r="E50" s="8">
        <v>3.04</v>
      </c>
      <c r="F50" s="3">
        <v>15023048</v>
      </c>
      <c r="G50" s="19">
        <v>0</v>
      </c>
      <c r="H50">
        <v>0.40105540897097625</v>
      </c>
    </row>
    <row r="51" spans="1:8">
      <c r="A51" s="12" t="s">
        <v>64</v>
      </c>
      <c r="B51" s="5">
        <v>3.03</v>
      </c>
      <c r="C51" s="8">
        <v>3.03</v>
      </c>
      <c r="D51" s="8">
        <v>2.95</v>
      </c>
      <c r="E51" s="8">
        <v>2.98</v>
      </c>
      <c r="F51" s="3">
        <v>17896336</v>
      </c>
      <c r="G51" s="19">
        <v>0</v>
      </c>
      <c r="H51">
        <v>0.39313984168865435</v>
      </c>
    </row>
    <row r="52" spans="1:8">
      <c r="A52" s="12" t="s">
        <v>65</v>
      </c>
      <c r="B52" s="5">
        <v>2.92</v>
      </c>
      <c r="C52" s="8">
        <v>2.9950000000000001</v>
      </c>
      <c r="D52" s="8">
        <v>2.91</v>
      </c>
      <c r="E52" s="8">
        <v>2.97</v>
      </c>
      <c r="F52" s="3">
        <v>14175175</v>
      </c>
      <c r="G52" s="19">
        <v>0</v>
      </c>
      <c r="H52">
        <v>0.39182058047493407</v>
      </c>
    </row>
    <row r="53" spans="1:8">
      <c r="A53" s="12" t="s">
        <v>66</v>
      </c>
      <c r="B53" s="5">
        <v>3.01</v>
      </c>
      <c r="C53" s="8">
        <v>3.03</v>
      </c>
      <c r="D53" s="8">
        <v>2.97</v>
      </c>
      <c r="E53" s="8">
        <v>2.99</v>
      </c>
      <c r="F53" s="3">
        <v>15928234</v>
      </c>
      <c r="G53" s="19">
        <v>0</v>
      </c>
      <c r="H53">
        <v>0.39445910290237468</v>
      </c>
    </row>
    <row r="54" spans="1:8">
      <c r="A54" s="12" t="s">
        <v>67</v>
      </c>
      <c r="B54" s="5">
        <v>2.96</v>
      </c>
      <c r="C54" s="8">
        <v>3.03</v>
      </c>
      <c r="D54" s="8">
        <v>2.95</v>
      </c>
      <c r="E54" s="8">
        <v>3.01</v>
      </c>
      <c r="F54" s="3">
        <v>18691723</v>
      </c>
      <c r="G54" s="19">
        <v>0</v>
      </c>
      <c r="H54">
        <v>0.3970976253298153</v>
      </c>
    </row>
    <row r="55" spans="1:8">
      <c r="A55" s="12" t="s">
        <v>68</v>
      </c>
      <c r="B55" s="5">
        <v>3.03</v>
      </c>
      <c r="C55" s="8">
        <v>3.11</v>
      </c>
      <c r="D55" s="8">
        <v>3.01</v>
      </c>
      <c r="E55" s="8">
        <v>3.08</v>
      </c>
      <c r="F55" s="3">
        <v>21797512</v>
      </c>
      <c r="G55" s="19">
        <v>0</v>
      </c>
      <c r="H55">
        <v>0.40633245382585753</v>
      </c>
    </row>
    <row r="56" spans="1:8">
      <c r="A56" s="12" t="s">
        <v>69</v>
      </c>
      <c r="B56" s="5">
        <v>3.18</v>
      </c>
      <c r="C56" s="8">
        <v>3.21</v>
      </c>
      <c r="D56" s="8">
        <v>3.16</v>
      </c>
      <c r="E56" s="8">
        <v>3.19</v>
      </c>
      <c r="F56" s="3">
        <v>18380139</v>
      </c>
      <c r="G56" s="19">
        <v>0</v>
      </c>
      <c r="H56">
        <v>0.420844327176781</v>
      </c>
    </row>
    <row r="57" spans="1:8">
      <c r="A57" s="12" t="s">
        <v>70</v>
      </c>
      <c r="B57" s="5">
        <v>3.21</v>
      </c>
      <c r="C57" s="8">
        <v>3.22</v>
      </c>
      <c r="D57" s="8">
        <v>3.145</v>
      </c>
      <c r="E57" s="8">
        <v>3.17</v>
      </c>
      <c r="F57" s="3">
        <v>13693766</v>
      </c>
      <c r="G57" s="19">
        <v>0</v>
      </c>
      <c r="H57">
        <v>0.41820580474934038</v>
      </c>
    </row>
    <row r="58" spans="1:8">
      <c r="A58" s="12" t="s">
        <v>71</v>
      </c>
      <c r="B58" s="5">
        <v>3.22</v>
      </c>
      <c r="C58" s="8">
        <v>3.25</v>
      </c>
      <c r="D58" s="8">
        <v>3.18</v>
      </c>
      <c r="E58" s="8">
        <v>3.23</v>
      </c>
      <c r="F58" s="3">
        <v>14476326</v>
      </c>
      <c r="G58" s="19">
        <v>0</v>
      </c>
      <c r="H58">
        <v>0.42612137203166228</v>
      </c>
    </row>
    <row r="59" spans="1:8">
      <c r="A59" s="12" t="s">
        <v>72</v>
      </c>
      <c r="B59" s="5">
        <v>3.23</v>
      </c>
      <c r="C59" s="8">
        <v>3.2349999999999999</v>
      </c>
      <c r="D59" s="8">
        <v>3.165</v>
      </c>
      <c r="E59" s="8">
        <v>3.2</v>
      </c>
      <c r="F59" s="3">
        <v>11530975</v>
      </c>
      <c r="G59" s="19">
        <v>0</v>
      </c>
      <c r="H59">
        <v>0.42216358839050133</v>
      </c>
    </row>
    <row r="60" spans="1:8">
      <c r="A60" s="12" t="s">
        <v>73</v>
      </c>
      <c r="B60" s="5">
        <v>3.17</v>
      </c>
      <c r="C60" s="8">
        <v>3.23</v>
      </c>
      <c r="D60" s="8">
        <v>3.13</v>
      </c>
      <c r="E60" s="8">
        <v>3.2</v>
      </c>
      <c r="F60" s="3">
        <v>15823474</v>
      </c>
      <c r="G60" s="19">
        <v>0</v>
      </c>
      <c r="H60">
        <v>0.42216358839050133</v>
      </c>
    </row>
    <row r="61" spans="1:8">
      <c r="A61" s="12" t="s">
        <v>74</v>
      </c>
      <c r="B61" s="5">
        <v>3.21</v>
      </c>
      <c r="C61" s="8">
        <v>3.26</v>
      </c>
      <c r="D61" s="8">
        <v>3.19</v>
      </c>
      <c r="E61" s="8">
        <v>3.2</v>
      </c>
      <c r="F61" s="3">
        <v>23310385</v>
      </c>
      <c r="G61" s="19">
        <v>0</v>
      </c>
      <c r="H61">
        <v>0.42216358839050133</v>
      </c>
    </row>
    <row r="62" spans="1:8">
      <c r="A62" s="12" t="s">
        <v>75</v>
      </c>
      <c r="B62" s="5">
        <v>3.17</v>
      </c>
      <c r="C62" s="8">
        <v>3.24</v>
      </c>
      <c r="D62" s="8">
        <v>3.16</v>
      </c>
      <c r="E62" s="8">
        <v>3.2</v>
      </c>
      <c r="F62" s="3">
        <v>9780018</v>
      </c>
      <c r="G62" s="19">
        <v>0</v>
      </c>
      <c r="H62">
        <v>0.42216358839050133</v>
      </c>
    </row>
    <row r="63" spans="1:8">
      <c r="A63" s="12" t="s">
        <v>76</v>
      </c>
      <c r="B63" s="5">
        <v>3.24</v>
      </c>
      <c r="C63" s="8">
        <v>3.35</v>
      </c>
      <c r="D63" s="8">
        <v>3.2250000000000001</v>
      </c>
      <c r="E63" s="8">
        <v>3.33</v>
      </c>
      <c r="F63" s="3">
        <v>17248126</v>
      </c>
      <c r="G63" s="19">
        <v>0</v>
      </c>
      <c r="H63">
        <v>0.43931398416886547</v>
      </c>
    </row>
    <row r="64" spans="1:8">
      <c r="A64" s="12" t="s">
        <v>77</v>
      </c>
      <c r="B64" s="5">
        <v>3.4</v>
      </c>
      <c r="C64" s="8">
        <v>3.5</v>
      </c>
      <c r="D64" s="8">
        <v>3.4</v>
      </c>
      <c r="E64" s="8">
        <v>3.43</v>
      </c>
      <c r="F64" s="3">
        <v>22390742</v>
      </c>
      <c r="G64" s="19">
        <v>0</v>
      </c>
      <c r="H64">
        <v>0.4525065963060686</v>
      </c>
    </row>
    <row r="65" spans="1:8">
      <c r="A65" s="12" t="s">
        <v>78</v>
      </c>
      <c r="B65" s="5">
        <v>3.43</v>
      </c>
      <c r="C65" s="8">
        <v>3.54</v>
      </c>
      <c r="D65" s="8">
        <v>3.42</v>
      </c>
      <c r="E65" s="8">
        <v>3.53</v>
      </c>
      <c r="F65" s="3">
        <v>19880943</v>
      </c>
      <c r="G65" s="19">
        <v>0</v>
      </c>
      <c r="H65">
        <v>0.46569920844327173</v>
      </c>
    </row>
    <row r="66" spans="1:8">
      <c r="A66" s="12" t="s">
        <v>79</v>
      </c>
      <c r="B66" s="5">
        <v>3.65</v>
      </c>
      <c r="C66" s="8">
        <v>3.72</v>
      </c>
      <c r="D66" s="8">
        <v>3.61</v>
      </c>
      <c r="E66" s="8">
        <v>3.7</v>
      </c>
      <c r="F66" s="3">
        <v>27845325</v>
      </c>
      <c r="G66" s="19">
        <v>0</v>
      </c>
      <c r="H66">
        <v>0.48812664907651715</v>
      </c>
    </row>
    <row r="67" spans="1:8">
      <c r="A67" s="12" t="s">
        <v>80</v>
      </c>
      <c r="B67" s="5">
        <v>3.73</v>
      </c>
      <c r="C67" s="8">
        <v>3.81</v>
      </c>
      <c r="D67" s="8">
        <v>3.73</v>
      </c>
      <c r="E67" s="8">
        <v>3.77</v>
      </c>
      <c r="F67" s="3">
        <v>24777393</v>
      </c>
      <c r="G67" s="19">
        <v>0</v>
      </c>
      <c r="H67">
        <v>0.49736147757255939</v>
      </c>
    </row>
    <row r="68" spans="1:8">
      <c r="A68" s="12" t="s">
        <v>81</v>
      </c>
      <c r="B68" s="5">
        <v>3.69</v>
      </c>
      <c r="C68" s="8">
        <v>3.72</v>
      </c>
      <c r="D68" s="8">
        <v>3.64</v>
      </c>
      <c r="E68" s="8">
        <v>3.67</v>
      </c>
      <c r="F68" s="3">
        <v>15941549</v>
      </c>
      <c r="G68" s="19">
        <v>0</v>
      </c>
      <c r="H68">
        <v>0.4841688654353562</v>
      </c>
    </row>
    <row r="69" spans="1:8">
      <c r="A69" s="12" t="s">
        <v>82</v>
      </c>
      <c r="B69" s="5">
        <v>3.69</v>
      </c>
      <c r="C69" s="8">
        <v>3.75</v>
      </c>
      <c r="D69" s="8">
        <v>3.6549999999999998</v>
      </c>
      <c r="E69" s="8">
        <v>3.73</v>
      </c>
      <c r="F69" s="3">
        <v>12086688</v>
      </c>
      <c r="G69" s="19">
        <v>0</v>
      </c>
      <c r="H69">
        <v>0.4920844327176781</v>
      </c>
    </row>
    <row r="70" spans="1:8">
      <c r="A70" s="12" t="s">
        <v>83</v>
      </c>
      <c r="B70" s="5">
        <v>3.75</v>
      </c>
      <c r="C70" s="8">
        <v>3.75</v>
      </c>
      <c r="D70" s="8">
        <v>3.69</v>
      </c>
      <c r="E70" s="8">
        <v>3.74</v>
      </c>
      <c r="F70" s="3">
        <v>11816762</v>
      </c>
      <c r="G70" s="19">
        <v>0</v>
      </c>
      <c r="H70">
        <v>0.49340369393139843</v>
      </c>
    </row>
    <row r="71" spans="1:8">
      <c r="A71" s="12" t="s">
        <v>84</v>
      </c>
      <c r="B71" s="5">
        <v>3.64</v>
      </c>
      <c r="C71" s="8">
        <v>3.7</v>
      </c>
      <c r="D71" s="8">
        <v>3.63</v>
      </c>
      <c r="E71" s="8">
        <v>3.68</v>
      </c>
      <c r="F71" s="3">
        <v>12653259</v>
      </c>
      <c r="G71" s="19">
        <v>0</v>
      </c>
      <c r="H71">
        <v>0.48548812664907653</v>
      </c>
    </row>
    <row r="72" spans="1:8">
      <c r="A72" s="12" t="s">
        <v>85</v>
      </c>
      <c r="B72" s="5">
        <v>3.68</v>
      </c>
      <c r="C72" s="8">
        <v>3.72</v>
      </c>
      <c r="D72" s="8">
        <v>3.66</v>
      </c>
      <c r="E72" s="8">
        <v>3.7</v>
      </c>
      <c r="F72" s="3">
        <v>7659865</v>
      </c>
      <c r="G72" s="19">
        <v>0</v>
      </c>
      <c r="H72">
        <v>0.48812664907651715</v>
      </c>
    </row>
    <row r="73" spans="1:8">
      <c r="A73" s="12" t="s">
        <v>86</v>
      </c>
      <c r="B73" s="5">
        <v>3.66</v>
      </c>
      <c r="C73" s="8">
        <v>3.7650000000000001</v>
      </c>
      <c r="D73" s="8">
        <v>3.55</v>
      </c>
      <c r="E73" s="8">
        <v>3.6</v>
      </c>
      <c r="F73" s="3">
        <v>21852477</v>
      </c>
      <c r="G73" s="19">
        <v>0</v>
      </c>
      <c r="H73">
        <v>0.47493403693931396</v>
      </c>
    </row>
    <row r="74" spans="1:8">
      <c r="A74" s="12" t="s">
        <v>87</v>
      </c>
      <c r="B74" s="5">
        <v>3.51</v>
      </c>
      <c r="C74" s="8">
        <v>3.58</v>
      </c>
      <c r="D74" s="8">
        <v>3.4950000000000001</v>
      </c>
      <c r="E74" s="8">
        <v>3.53</v>
      </c>
      <c r="F74" s="3">
        <v>15112302</v>
      </c>
      <c r="G74" s="19">
        <v>0</v>
      </c>
      <c r="H74">
        <v>0.46569920844327173</v>
      </c>
    </row>
    <row r="75" spans="1:8">
      <c r="A75" s="12" t="s">
        <v>88</v>
      </c>
      <c r="B75" s="5">
        <v>3.58</v>
      </c>
      <c r="C75" s="8">
        <v>3.6150000000000002</v>
      </c>
      <c r="D75" s="8">
        <v>3.5449999999999999</v>
      </c>
      <c r="E75" s="8">
        <v>3.61</v>
      </c>
      <c r="F75" s="3">
        <v>11678922</v>
      </c>
      <c r="G75" s="19">
        <v>0</v>
      </c>
      <c r="H75">
        <v>0.4762532981530343</v>
      </c>
    </row>
    <row r="76" spans="1:8">
      <c r="A76" s="12" t="s">
        <v>89</v>
      </c>
      <c r="B76" s="5">
        <v>3.59</v>
      </c>
      <c r="C76" s="8">
        <v>3.6150000000000002</v>
      </c>
      <c r="D76" s="8">
        <v>3.5750000000000002</v>
      </c>
      <c r="E76" s="8">
        <v>3.6</v>
      </c>
      <c r="F76" s="3">
        <v>8008597</v>
      </c>
      <c r="G76" s="19">
        <v>0</v>
      </c>
      <c r="H76">
        <v>0.47493403693931396</v>
      </c>
    </row>
    <row r="77" spans="1:8">
      <c r="A77" s="12" t="s">
        <v>90</v>
      </c>
      <c r="B77" s="5">
        <v>3.66</v>
      </c>
      <c r="C77" s="8">
        <v>3.7850000000000001</v>
      </c>
      <c r="D77" s="8">
        <v>3.61</v>
      </c>
      <c r="E77" s="8">
        <v>3.73</v>
      </c>
      <c r="F77" s="3">
        <v>17833265</v>
      </c>
      <c r="G77" s="19">
        <v>0</v>
      </c>
      <c r="H77">
        <v>0.4920844327176781</v>
      </c>
    </row>
    <row r="78" spans="1:8">
      <c r="A78" s="12" t="s">
        <v>91</v>
      </c>
      <c r="B78" s="5">
        <v>3.69</v>
      </c>
      <c r="C78" s="8">
        <v>3.8</v>
      </c>
      <c r="D78" s="8">
        <v>3.68</v>
      </c>
      <c r="E78" s="8">
        <v>3.7</v>
      </c>
      <c r="F78" s="3">
        <v>22222009</v>
      </c>
      <c r="G78" s="19">
        <v>0</v>
      </c>
      <c r="H78">
        <v>0.48812664907651715</v>
      </c>
    </row>
    <row r="79" spans="1:8">
      <c r="A79" s="12" t="s">
        <v>92</v>
      </c>
      <c r="B79" s="5">
        <v>3.65</v>
      </c>
      <c r="C79" s="8">
        <v>3.71</v>
      </c>
      <c r="D79" s="8">
        <v>3.63</v>
      </c>
      <c r="E79" s="8">
        <v>3.67</v>
      </c>
      <c r="F79" s="3">
        <v>19870978</v>
      </c>
      <c r="G79" s="19">
        <v>0</v>
      </c>
      <c r="H79">
        <v>0.4841688654353562</v>
      </c>
    </row>
    <row r="80" spans="1:8">
      <c r="A80" s="12" t="s">
        <v>93</v>
      </c>
      <c r="B80" s="5">
        <v>3.79</v>
      </c>
      <c r="C80" s="8">
        <v>3.835</v>
      </c>
      <c r="D80" s="8">
        <v>3.76</v>
      </c>
      <c r="E80" s="8">
        <v>3.77</v>
      </c>
      <c r="F80" s="3">
        <v>22446900</v>
      </c>
      <c r="G80" s="19">
        <v>1.220159151193634E-2</v>
      </c>
      <c r="H80">
        <v>0.49736147757255939</v>
      </c>
    </row>
    <row r="81" spans="1:8">
      <c r="A81" s="12" t="s">
        <v>94</v>
      </c>
      <c r="B81" s="5">
        <v>3.72</v>
      </c>
      <c r="C81" s="8">
        <v>3.78</v>
      </c>
      <c r="D81" s="8">
        <v>3.68</v>
      </c>
      <c r="E81" s="8">
        <v>3.7</v>
      </c>
      <c r="F81" s="3">
        <v>16193067</v>
      </c>
      <c r="G81" s="19">
        <v>0</v>
      </c>
      <c r="H81">
        <v>0.48812664907651715</v>
      </c>
    </row>
    <row r="82" spans="1:8">
      <c r="A82" s="12" t="s">
        <v>95</v>
      </c>
      <c r="B82" s="5">
        <v>3.75</v>
      </c>
      <c r="C82" s="8">
        <v>3.76</v>
      </c>
      <c r="D82" s="8">
        <v>3.6349999999999998</v>
      </c>
      <c r="E82" s="8">
        <v>3.69</v>
      </c>
      <c r="F82" s="3">
        <v>17438041</v>
      </c>
      <c r="G82" s="19">
        <v>0</v>
      </c>
      <c r="H82">
        <v>0.48680738786279681</v>
      </c>
    </row>
    <row r="83" spans="1:8">
      <c r="A83" s="12" t="s">
        <v>96</v>
      </c>
      <c r="B83" s="5">
        <v>3.61</v>
      </c>
      <c r="C83" s="8">
        <v>3.65</v>
      </c>
      <c r="D83" s="8">
        <v>3.5950000000000002</v>
      </c>
      <c r="E83" s="8">
        <v>3.62</v>
      </c>
      <c r="F83" s="3">
        <v>14369754</v>
      </c>
      <c r="G83" s="19">
        <v>0</v>
      </c>
      <c r="H83">
        <v>0.47757255936675463</v>
      </c>
    </row>
    <row r="84" spans="1:8">
      <c r="A84" s="12" t="s">
        <v>97</v>
      </c>
      <c r="B84" s="5">
        <v>3.64</v>
      </c>
      <c r="C84" s="8">
        <v>3.68</v>
      </c>
      <c r="D84" s="8">
        <v>3.6349999999999998</v>
      </c>
      <c r="E84" s="8">
        <v>3.65</v>
      </c>
      <c r="F84" s="3">
        <v>8203001</v>
      </c>
      <c r="G84" s="19">
        <v>0</v>
      </c>
      <c r="H84">
        <v>0.48153034300791553</v>
      </c>
    </row>
    <row r="85" spans="1:8">
      <c r="A85" s="12" t="s">
        <v>98</v>
      </c>
      <c r="B85" s="5">
        <v>3.64</v>
      </c>
      <c r="C85" s="8">
        <v>3.77</v>
      </c>
      <c r="D85" s="8">
        <v>3.62</v>
      </c>
      <c r="E85" s="8">
        <v>3.69</v>
      </c>
      <c r="F85" s="3">
        <v>25670378</v>
      </c>
      <c r="G85" s="19">
        <v>0</v>
      </c>
      <c r="H85">
        <v>0.48680738786279681</v>
      </c>
    </row>
    <row r="86" spans="1:8">
      <c r="A86" s="12" t="s">
        <v>99</v>
      </c>
      <c r="B86" s="5">
        <v>3.68</v>
      </c>
      <c r="C86" s="8">
        <v>3.75</v>
      </c>
      <c r="D86" s="8">
        <v>3.68</v>
      </c>
      <c r="E86" s="8">
        <v>3.71</v>
      </c>
      <c r="F86" s="3">
        <v>7370135</v>
      </c>
      <c r="G86" s="19">
        <v>0</v>
      </c>
      <c r="H86">
        <v>0.48944591029023748</v>
      </c>
    </row>
    <row r="87" spans="1:8">
      <c r="A87" s="12" t="s">
        <v>100</v>
      </c>
      <c r="B87" s="5">
        <v>3.73</v>
      </c>
      <c r="C87" s="8">
        <v>3.75</v>
      </c>
      <c r="D87" s="8">
        <v>3.69</v>
      </c>
      <c r="E87" s="8">
        <v>3.73</v>
      </c>
      <c r="F87" s="3">
        <v>9312484</v>
      </c>
      <c r="G87" s="19">
        <v>0</v>
      </c>
      <c r="H87">
        <v>0.4920844327176781</v>
      </c>
    </row>
    <row r="88" spans="1:8">
      <c r="A88" s="12" t="s">
        <v>101</v>
      </c>
      <c r="B88" s="5">
        <v>3.76</v>
      </c>
      <c r="C88" s="8">
        <v>3.77</v>
      </c>
      <c r="D88" s="8">
        <v>3.7</v>
      </c>
      <c r="E88" s="8">
        <v>3.72</v>
      </c>
      <c r="F88" s="3">
        <v>15617684</v>
      </c>
      <c r="G88" s="19">
        <v>0</v>
      </c>
      <c r="H88">
        <v>0.49076517150395782</v>
      </c>
    </row>
    <row r="89" spans="1:8">
      <c r="A89" s="12" t="s">
        <v>102</v>
      </c>
      <c r="B89" s="5">
        <v>3.71</v>
      </c>
      <c r="C89" s="8">
        <v>3.77</v>
      </c>
      <c r="D89" s="8">
        <v>3.64</v>
      </c>
      <c r="E89" s="8">
        <v>3.67</v>
      </c>
      <c r="F89" s="3">
        <v>18969067</v>
      </c>
      <c r="G89" s="19">
        <v>0</v>
      </c>
      <c r="H89">
        <v>0.4841688654353562</v>
      </c>
    </row>
    <row r="90" spans="1:8">
      <c r="A90" s="12" t="s">
        <v>103</v>
      </c>
      <c r="B90" s="5">
        <v>3.64</v>
      </c>
      <c r="C90" s="8">
        <v>3.68</v>
      </c>
      <c r="D90" s="8">
        <v>3.59</v>
      </c>
      <c r="E90" s="8">
        <v>3.68</v>
      </c>
      <c r="F90" s="3">
        <v>21765111</v>
      </c>
      <c r="G90" s="19">
        <v>0</v>
      </c>
      <c r="H90">
        <v>0.48548812664907653</v>
      </c>
    </row>
    <row r="91" spans="1:8">
      <c r="A91" s="12" t="s">
        <v>104</v>
      </c>
      <c r="B91" s="5">
        <v>3.61</v>
      </c>
      <c r="C91" s="8">
        <v>3.7349999999999999</v>
      </c>
      <c r="D91" s="8">
        <v>3.6</v>
      </c>
      <c r="E91" s="8">
        <v>3.72</v>
      </c>
      <c r="F91" s="3">
        <v>10174277</v>
      </c>
      <c r="G91" s="19">
        <v>0</v>
      </c>
      <c r="H91">
        <v>0.49076517150395782</v>
      </c>
    </row>
    <row r="92" spans="1:8">
      <c r="A92" s="12" t="s">
        <v>105</v>
      </c>
      <c r="B92" s="5">
        <v>3.72</v>
      </c>
      <c r="C92" s="8">
        <v>3.74</v>
      </c>
      <c r="D92" s="8">
        <v>3.67</v>
      </c>
      <c r="E92" s="8">
        <v>3.73</v>
      </c>
      <c r="F92" s="3">
        <v>7434666</v>
      </c>
      <c r="G92" s="19">
        <v>0</v>
      </c>
      <c r="H92">
        <v>0.4920844327176781</v>
      </c>
    </row>
    <row r="93" spans="1:8">
      <c r="A93" s="12" t="s">
        <v>106</v>
      </c>
      <c r="B93" s="5">
        <v>3.7</v>
      </c>
      <c r="C93" s="8">
        <v>3.78</v>
      </c>
      <c r="D93" s="8">
        <v>3.67</v>
      </c>
      <c r="E93" s="8">
        <v>3.75</v>
      </c>
      <c r="F93" s="3">
        <v>8992653</v>
      </c>
      <c r="G93" s="19">
        <v>0</v>
      </c>
      <c r="H93">
        <v>0.49472295514511871</v>
      </c>
    </row>
    <row r="94" spans="1:8">
      <c r="A94" s="12" t="s">
        <v>107</v>
      </c>
      <c r="B94" s="5">
        <v>3.79</v>
      </c>
      <c r="C94" s="8">
        <v>3.8149999999999999</v>
      </c>
      <c r="D94" s="8">
        <v>3.72</v>
      </c>
      <c r="E94" s="8">
        <v>3.76</v>
      </c>
      <c r="F94" s="3">
        <v>8805425</v>
      </c>
      <c r="G94" s="19">
        <v>0</v>
      </c>
      <c r="H94">
        <v>0.49604221635883899</v>
      </c>
    </row>
    <row r="95" spans="1:8">
      <c r="A95" s="12" t="s">
        <v>108</v>
      </c>
      <c r="B95" s="5">
        <v>3.8</v>
      </c>
      <c r="C95" s="8">
        <v>3.855</v>
      </c>
      <c r="D95" s="8">
        <v>3.7349999999999999</v>
      </c>
      <c r="E95" s="8">
        <v>3.83</v>
      </c>
      <c r="F95" s="3">
        <v>19216538</v>
      </c>
      <c r="G95" s="19">
        <v>0</v>
      </c>
      <c r="H95">
        <v>0.50527704485488123</v>
      </c>
    </row>
    <row r="96" spans="1:8">
      <c r="A96" s="12" t="s">
        <v>109</v>
      </c>
      <c r="B96" s="5">
        <v>3.89</v>
      </c>
      <c r="C96" s="8">
        <v>3.9449999999999998</v>
      </c>
      <c r="D96" s="8">
        <v>3.8</v>
      </c>
      <c r="E96" s="8">
        <v>3.8</v>
      </c>
      <c r="F96" s="3">
        <v>16653512</v>
      </c>
      <c r="G96" s="19">
        <v>0</v>
      </c>
      <c r="H96">
        <v>0.50131926121372028</v>
      </c>
    </row>
    <row r="97" spans="1:8">
      <c r="A97" s="12" t="s">
        <v>110</v>
      </c>
      <c r="B97" s="5">
        <v>3.72</v>
      </c>
      <c r="C97" s="8">
        <v>3.74</v>
      </c>
      <c r="D97" s="8">
        <v>3.68</v>
      </c>
      <c r="E97" s="8">
        <v>3.7</v>
      </c>
      <c r="F97" s="3">
        <v>8933764</v>
      </c>
      <c r="G97" s="19">
        <v>0</v>
      </c>
      <c r="H97">
        <v>0.48812664907651715</v>
      </c>
    </row>
    <row r="98" spans="1:8">
      <c r="A98" s="12" t="s">
        <v>111</v>
      </c>
      <c r="B98" s="5">
        <v>3.68</v>
      </c>
      <c r="C98" s="8">
        <v>3.73</v>
      </c>
      <c r="D98" s="8">
        <v>3.6</v>
      </c>
      <c r="E98" s="8">
        <v>3.61</v>
      </c>
      <c r="F98" s="3">
        <v>15232242</v>
      </c>
      <c r="G98" s="19">
        <v>0</v>
      </c>
      <c r="H98">
        <v>0.4762532981530343</v>
      </c>
    </row>
    <row r="99" spans="1:8">
      <c r="A99" s="12" t="s">
        <v>112</v>
      </c>
      <c r="B99" s="5">
        <v>3.54</v>
      </c>
      <c r="C99" s="8">
        <v>3.57</v>
      </c>
      <c r="D99" s="8">
        <v>3.5</v>
      </c>
      <c r="E99" s="8">
        <v>3.54</v>
      </c>
      <c r="F99" s="3">
        <v>12657462</v>
      </c>
      <c r="G99" s="19">
        <v>0</v>
      </c>
      <c r="H99">
        <v>0.46701846965699206</v>
      </c>
    </row>
    <row r="100" spans="1:8">
      <c r="A100" s="12" t="s">
        <v>113</v>
      </c>
      <c r="B100" s="5">
        <v>3.53</v>
      </c>
      <c r="C100" s="8">
        <v>3.5449999999999999</v>
      </c>
      <c r="D100" s="8">
        <v>3.49</v>
      </c>
      <c r="E100" s="8">
        <v>3.49</v>
      </c>
      <c r="F100" s="3">
        <v>11885766</v>
      </c>
      <c r="G100" s="19">
        <v>0</v>
      </c>
      <c r="H100">
        <v>0.4604221635883905</v>
      </c>
    </row>
    <row r="101" spans="1:8">
      <c r="A101" s="12" t="s">
        <v>114</v>
      </c>
      <c r="B101" s="5">
        <v>3.51</v>
      </c>
      <c r="C101" s="8">
        <v>3.56</v>
      </c>
      <c r="D101" s="8">
        <v>3.4950000000000001</v>
      </c>
      <c r="E101" s="8">
        <v>3.55</v>
      </c>
      <c r="F101" s="3">
        <v>13539572</v>
      </c>
      <c r="G101" s="19">
        <v>0</v>
      </c>
      <c r="H101">
        <v>0.4683377308707124</v>
      </c>
    </row>
    <row r="102" spans="1:8">
      <c r="A102" s="12" t="s">
        <v>115</v>
      </c>
      <c r="B102" s="5">
        <v>3.75</v>
      </c>
      <c r="C102" s="8">
        <v>3.79</v>
      </c>
      <c r="D102" s="8">
        <v>3.68</v>
      </c>
      <c r="E102" s="8">
        <v>3.77</v>
      </c>
      <c r="F102" s="3">
        <v>19069477</v>
      </c>
      <c r="G102" s="19">
        <v>0</v>
      </c>
      <c r="H102">
        <v>0.49736147757255939</v>
      </c>
    </row>
    <row r="103" spans="1:8">
      <c r="A103" s="12" t="s">
        <v>116</v>
      </c>
      <c r="B103" s="5">
        <v>3.72</v>
      </c>
      <c r="C103" s="8">
        <v>3.74</v>
      </c>
      <c r="D103" s="8">
        <v>3.67</v>
      </c>
      <c r="E103" s="8">
        <v>3.67</v>
      </c>
      <c r="F103" s="3">
        <v>15335167</v>
      </c>
      <c r="G103" s="19">
        <v>0</v>
      </c>
      <c r="H103">
        <v>0.4841688654353562</v>
      </c>
    </row>
    <row r="104" spans="1:8">
      <c r="A104" s="12" t="s">
        <v>117</v>
      </c>
      <c r="B104" s="5">
        <v>3.71</v>
      </c>
      <c r="C104" s="8">
        <v>3.76</v>
      </c>
      <c r="D104" s="8">
        <v>3.7</v>
      </c>
      <c r="E104" s="8">
        <v>3.7</v>
      </c>
      <c r="F104" s="3">
        <v>9212631</v>
      </c>
      <c r="G104" s="19">
        <v>0</v>
      </c>
      <c r="H104">
        <v>0.48812664907651715</v>
      </c>
    </row>
    <row r="105" spans="1:8">
      <c r="A105" s="12" t="s">
        <v>118</v>
      </c>
      <c r="B105" s="5">
        <v>3.72</v>
      </c>
      <c r="C105" s="8">
        <v>3.75</v>
      </c>
      <c r="D105" s="8">
        <v>3.7</v>
      </c>
      <c r="E105" s="8">
        <v>3.73</v>
      </c>
      <c r="F105" s="3">
        <v>5670061</v>
      </c>
      <c r="G105" s="19">
        <v>0</v>
      </c>
      <c r="H105">
        <v>0.4920844327176781</v>
      </c>
    </row>
    <row r="106" spans="1:8">
      <c r="A106" s="12" t="s">
        <v>119</v>
      </c>
      <c r="B106" s="5">
        <v>3.77</v>
      </c>
      <c r="C106" s="8">
        <v>3.86</v>
      </c>
      <c r="D106" s="8">
        <v>3.75</v>
      </c>
      <c r="E106" s="8">
        <v>3.83</v>
      </c>
      <c r="F106" s="3">
        <v>16409301</v>
      </c>
      <c r="G106" s="19">
        <v>0</v>
      </c>
      <c r="H106">
        <v>0.50527704485488123</v>
      </c>
    </row>
    <row r="107" spans="1:8">
      <c r="A107" s="12" t="s">
        <v>120</v>
      </c>
      <c r="B107" s="5">
        <v>3.84</v>
      </c>
      <c r="C107" s="8">
        <v>3.85</v>
      </c>
      <c r="D107" s="8">
        <v>3.74</v>
      </c>
      <c r="E107" s="8">
        <v>3.74</v>
      </c>
      <c r="F107" s="3">
        <v>21656658</v>
      </c>
      <c r="G107" s="19">
        <v>0</v>
      </c>
      <c r="H107">
        <v>0.49340369393139843</v>
      </c>
    </row>
    <row r="108" spans="1:8">
      <c r="A108" s="12" t="s">
        <v>121</v>
      </c>
      <c r="B108" s="5">
        <v>3.78</v>
      </c>
      <c r="C108" s="8">
        <v>3.84</v>
      </c>
      <c r="D108" s="8">
        <v>3.77</v>
      </c>
      <c r="E108" s="8">
        <v>3.78</v>
      </c>
      <c r="F108" s="3">
        <v>14817697</v>
      </c>
      <c r="G108" s="19">
        <v>0</v>
      </c>
      <c r="H108">
        <v>0.49868073878627966</v>
      </c>
    </row>
    <row r="109" spans="1:8">
      <c r="A109" s="12" t="s">
        <v>122</v>
      </c>
      <c r="B109" s="5">
        <v>3.8</v>
      </c>
      <c r="C109" s="8">
        <v>3.8149999999999999</v>
      </c>
      <c r="D109" s="8">
        <v>3.74</v>
      </c>
      <c r="E109" s="8">
        <v>3.77</v>
      </c>
      <c r="F109" s="3">
        <v>8918967</v>
      </c>
      <c r="G109" s="19">
        <v>0</v>
      </c>
      <c r="H109">
        <v>0.49736147757255939</v>
      </c>
    </row>
    <row r="110" spans="1:8">
      <c r="A110" s="12" t="s">
        <v>123</v>
      </c>
      <c r="B110" s="5">
        <v>3.78</v>
      </c>
      <c r="C110" s="8">
        <v>3.78</v>
      </c>
      <c r="D110" s="8">
        <v>3.74</v>
      </c>
      <c r="E110" s="8">
        <v>3.74</v>
      </c>
      <c r="F110" s="3">
        <v>9530381</v>
      </c>
      <c r="G110" s="19">
        <v>0</v>
      </c>
      <c r="H110">
        <v>0.49340369393139843</v>
      </c>
    </row>
    <row r="111" spans="1:8">
      <c r="A111" s="12" t="s">
        <v>124</v>
      </c>
      <c r="B111" s="5">
        <v>3.73</v>
      </c>
      <c r="C111" s="8">
        <v>3.74</v>
      </c>
      <c r="D111" s="8">
        <v>3.67</v>
      </c>
      <c r="E111" s="8">
        <v>3.72</v>
      </c>
      <c r="F111" s="3">
        <v>9776782</v>
      </c>
      <c r="G111" s="19">
        <v>0</v>
      </c>
      <c r="H111">
        <v>0.49076517150395782</v>
      </c>
    </row>
    <row r="112" spans="1:8">
      <c r="A112" s="12" t="s">
        <v>125</v>
      </c>
      <c r="B112" s="5">
        <v>3.75</v>
      </c>
      <c r="C112" s="8">
        <v>3.77</v>
      </c>
      <c r="D112" s="8">
        <v>3.68</v>
      </c>
      <c r="E112" s="8">
        <v>3.68</v>
      </c>
      <c r="F112" s="3">
        <v>11756164</v>
      </c>
      <c r="G112" s="19">
        <v>0</v>
      </c>
      <c r="H112">
        <v>0.48548812664907653</v>
      </c>
    </row>
    <row r="113" spans="1:8">
      <c r="A113" s="12" t="s">
        <v>126</v>
      </c>
      <c r="B113" s="5">
        <v>3.67</v>
      </c>
      <c r="C113" s="8">
        <v>3.68</v>
      </c>
      <c r="D113" s="8">
        <v>3.6</v>
      </c>
      <c r="E113" s="8">
        <v>3.62</v>
      </c>
      <c r="F113" s="3">
        <v>11874302</v>
      </c>
      <c r="G113" s="19">
        <v>0</v>
      </c>
      <c r="H113">
        <v>0.47757255936675463</v>
      </c>
    </row>
    <row r="114" spans="1:8">
      <c r="A114" s="12" t="s">
        <v>127</v>
      </c>
      <c r="B114" s="5">
        <v>3.62</v>
      </c>
      <c r="C114" s="8">
        <v>3.65</v>
      </c>
      <c r="D114" s="8">
        <v>3.56</v>
      </c>
      <c r="E114" s="8">
        <v>3.6</v>
      </c>
      <c r="F114" s="3">
        <v>11015093</v>
      </c>
      <c r="G114" s="19">
        <v>0</v>
      </c>
      <c r="H114">
        <v>0.47493403693931396</v>
      </c>
    </row>
    <row r="115" spans="1:8">
      <c r="A115" s="12" t="s">
        <v>128</v>
      </c>
      <c r="B115" s="5">
        <v>3.64</v>
      </c>
      <c r="C115" s="8">
        <v>3.72</v>
      </c>
      <c r="D115" s="8">
        <v>3.62</v>
      </c>
      <c r="E115" s="8">
        <v>3.7</v>
      </c>
      <c r="F115" s="3">
        <v>18213893</v>
      </c>
      <c r="G115" s="19">
        <v>0</v>
      </c>
      <c r="H115">
        <v>0.48812664907651715</v>
      </c>
    </row>
    <row r="116" spans="1:8">
      <c r="A116" s="12" t="s">
        <v>129</v>
      </c>
      <c r="B116" s="5">
        <v>3.69</v>
      </c>
      <c r="C116" s="8">
        <v>3.74</v>
      </c>
      <c r="D116" s="8">
        <v>3.62</v>
      </c>
      <c r="E116" s="8">
        <v>3.63</v>
      </c>
      <c r="F116" s="3">
        <v>11559696</v>
      </c>
      <c r="G116" s="19">
        <v>0</v>
      </c>
      <c r="H116">
        <v>0.47889182058047491</v>
      </c>
    </row>
    <row r="117" spans="1:8">
      <c r="A117" s="12" t="s">
        <v>130</v>
      </c>
      <c r="B117" s="5">
        <v>3.59</v>
      </c>
      <c r="C117" s="8">
        <v>3.62</v>
      </c>
      <c r="D117" s="8">
        <v>3.54</v>
      </c>
      <c r="E117" s="8">
        <v>3.6</v>
      </c>
      <c r="F117" s="3">
        <v>9267145</v>
      </c>
      <c r="G117" s="19">
        <v>0</v>
      </c>
      <c r="H117">
        <v>0.47493403693931396</v>
      </c>
    </row>
    <row r="118" spans="1:8">
      <c r="A118" s="12" t="s">
        <v>131</v>
      </c>
      <c r="B118" s="5">
        <v>3.72</v>
      </c>
      <c r="C118" s="8">
        <v>3.77</v>
      </c>
      <c r="D118" s="8">
        <v>3.64</v>
      </c>
      <c r="E118" s="8">
        <v>3.68</v>
      </c>
      <c r="F118" s="3">
        <v>20329702</v>
      </c>
      <c r="G118" s="19">
        <v>0</v>
      </c>
      <c r="H118">
        <v>0.48548812664907653</v>
      </c>
    </row>
    <row r="119" spans="1:8">
      <c r="A119" s="12" t="s">
        <v>132</v>
      </c>
      <c r="B119" s="5">
        <v>3.56</v>
      </c>
      <c r="C119" s="8">
        <v>3.59</v>
      </c>
      <c r="D119" s="8">
        <v>3.4849999999999999</v>
      </c>
      <c r="E119" s="8">
        <v>3.52</v>
      </c>
      <c r="F119" s="3">
        <v>18801335</v>
      </c>
      <c r="G119" s="19">
        <v>0</v>
      </c>
      <c r="H119">
        <v>0.46437994722955145</v>
      </c>
    </row>
    <row r="120" spans="1:8">
      <c r="A120" s="12" t="s">
        <v>133</v>
      </c>
      <c r="B120" s="5">
        <v>3.48</v>
      </c>
      <c r="C120" s="8">
        <v>3.49</v>
      </c>
      <c r="D120" s="8">
        <v>3.43</v>
      </c>
      <c r="E120" s="8">
        <v>3.44</v>
      </c>
      <c r="F120" s="3">
        <v>18727881</v>
      </c>
      <c r="G120" s="19">
        <v>0</v>
      </c>
      <c r="H120">
        <v>0.45382585751978893</v>
      </c>
    </row>
    <row r="121" spans="1:8">
      <c r="A121" s="12" t="s">
        <v>134</v>
      </c>
      <c r="B121" s="5">
        <v>3.41</v>
      </c>
      <c r="C121" s="8">
        <v>3.43</v>
      </c>
      <c r="D121" s="8">
        <v>3.35</v>
      </c>
      <c r="E121" s="8">
        <v>3.4</v>
      </c>
      <c r="F121" s="3">
        <v>16059188</v>
      </c>
      <c r="G121" s="19">
        <v>0</v>
      </c>
      <c r="H121">
        <v>0.44854881266490765</v>
      </c>
    </row>
    <row r="122" spans="1:8">
      <c r="A122" s="12" t="s">
        <v>135</v>
      </c>
      <c r="B122" s="5">
        <v>3.39</v>
      </c>
      <c r="C122" s="8">
        <v>3.4550000000000001</v>
      </c>
      <c r="D122" s="8">
        <v>3.35</v>
      </c>
      <c r="E122" s="8">
        <v>3.37</v>
      </c>
      <c r="F122" s="3">
        <v>14294709</v>
      </c>
      <c r="G122" s="19">
        <v>0</v>
      </c>
      <c r="H122">
        <v>0.4445910290237467</v>
      </c>
    </row>
    <row r="123" spans="1:8">
      <c r="A123" s="12" t="s">
        <v>136</v>
      </c>
      <c r="B123" s="5">
        <v>3.34</v>
      </c>
      <c r="C123" s="8">
        <v>3.43</v>
      </c>
      <c r="D123" s="8">
        <v>3.33</v>
      </c>
      <c r="E123" s="8">
        <v>3.4</v>
      </c>
      <c r="F123" s="3">
        <v>9236298</v>
      </c>
      <c r="G123" s="19">
        <v>0</v>
      </c>
      <c r="H123">
        <v>0.44854881266490765</v>
      </c>
    </row>
    <row r="124" spans="1:8">
      <c r="A124" s="12" t="s">
        <v>137</v>
      </c>
      <c r="B124" s="5">
        <v>3.36</v>
      </c>
      <c r="C124" s="8">
        <v>3.415</v>
      </c>
      <c r="D124" s="8">
        <v>3.32</v>
      </c>
      <c r="E124" s="8">
        <v>3.38</v>
      </c>
      <c r="F124" s="3">
        <v>10017449</v>
      </c>
      <c r="G124" s="19">
        <v>0</v>
      </c>
      <c r="H124">
        <v>0.44591029023746698</v>
      </c>
    </row>
    <row r="125" spans="1:8">
      <c r="A125" s="12" t="s">
        <v>138</v>
      </c>
      <c r="B125" s="5">
        <v>3.37</v>
      </c>
      <c r="C125" s="8">
        <v>3.37</v>
      </c>
      <c r="D125" s="8">
        <v>3.3050000000000002</v>
      </c>
      <c r="E125" s="8">
        <v>3.36</v>
      </c>
      <c r="F125" s="3">
        <v>10930697</v>
      </c>
      <c r="G125" s="19">
        <v>0</v>
      </c>
      <c r="H125">
        <v>0.44327176781002636</v>
      </c>
    </row>
    <row r="126" spans="1:8">
      <c r="A126" s="12" t="s">
        <v>139</v>
      </c>
      <c r="B126" s="5">
        <v>3.31</v>
      </c>
      <c r="C126" s="8">
        <v>3.35</v>
      </c>
      <c r="D126" s="8">
        <v>3.31</v>
      </c>
      <c r="E126" s="8">
        <v>3.34</v>
      </c>
      <c r="F126" s="3">
        <v>19155741</v>
      </c>
      <c r="G126" s="19">
        <v>0</v>
      </c>
      <c r="H126">
        <v>0.44063324538258575</v>
      </c>
    </row>
    <row r="127" spans="1:8">
      <c r="A127" s="12" t="s">
        <v>140</v>
      </c>
      <c r="B127" s="5">
        <v>3.37</v>
      </c>
      <c r="C127" s="8">
        <v>3.42</v>
      </c>
      <c r="D127" s="8">
        <v>3.3450000000000002</v>
      </c>
      <c r="E127" s="8">
        <v>3.41</v>
      </c>
      <c r="F127" s="3">
        <v>8755188</v>
      </c>
      <c r="G127" s="19">
        <v>0</v>
      </c>
      <c r="H127">
        <v>0.44986807387862798</v>
      </c>
    </row>
    <row r="128" spans="1:8">
      <c r="A128" s="12" t="s">
        <v>141</v>
      </c>
      <c r="B128" s="5">
        <v>3.38</v>
      </c>
      <c r="C128" s="8">
        <v>3.41</v>
      </c>
      <c r="D128" s="8">
        <v>3.375</v>
      </c>
      <c r="E128" s="8">
        <v>3.41</v>
      </c>
      <c r="F128" s="3">
        <v>2536365</v>
      </c>
      <c r="G128" s="19">
        <v>0</v>
      </c>
      <c r="H128">
        <v>0.44986807387862798</v>
      </c>
    </row>
    <row r="129" spans="1:8">
      <c r="A129" s="12" t="s">
        <v>142</v>
      </c>
      <c r="B129" s="5">
        <v>3.41</v>
      </c>
      <c r="C129" s="8">
        <v>3.45</v>
      </c>
      <c r="D129" s="8">
        <v>3.39</v>
      </c>
      <c r="E129" s="8">
        <v>3.4</v>
      </c>
      <c r="F129" s="3">
        <v>5446015</v>
      </c>
      <c r="G129" s="19">
        <v>0</v>
      </c>
      <c r="H129">
        <v>0.44854881266490765</v>
      </c>
    </row>
    <row r="130" spans="1:8">
      <c r="A130" s="12" t="s">
        <v>143</v>
      </c>
      <c r="B130" s="5">
        <v>3.38</v>
      </c>
      <c r="C130" s="8">
        <v>3.41</v>
      </c>
      <c r="D130" s="8">
        <v>3.37</v>
      </c>
      <c r="E130" s="8">
        <v>3.4</v>
      </c>
      <c r="F130" s="3">
        <v>5831404</v>
      </c>
      <c r="G130" s="19">
        <v>0</v>
      </c>
      <c r="H130">
        <v>0.44854881266490765</v>
      </c>
    </row>
    <row r="131" spans="1:8">
      <c r="A131" s="12" t="s">
        <v>144</v>
      </c>
      <c r="B131" s="5">
        <v>3.36</v>
      </c>
      <c r="C131" s="8">
        <v>3.43</v>
      </c>
      <c r="D131" s="8">
        <v>3.35</v>
      </c>
      <c r="E131" s="8">
        <v>3.4</v>
      </c>
      <c r="F131" s="3">
        <v>5074019</v>
      </c>
      <c r="G131" s="19">
        <v>0</v>
      </c>
      <c r="H131">
        <v>0.44854881266490765</v>
      </c>
    </row>
    <row r="132" spans="1:8">
      <c r="A132" s="12" t="s">
        <v>145</v>
      </c>
      <c r="B132" s="5">
        <v>3.4</v>
      </c>
      <c r="C132" s="8">
        <v>3.49</v>
      </c>
      <c r="D132" s="8">
        <v>3.395</v>
      </c>
      <c r="E132" s="8">
        <v>3.46</v>
      </c>
      <c r="F132" s="3">
        <v>7244080</v>
      </c>
      <c r="G132" s="19">
        <v>0</v>
      </c>
      <c r="H132">
        <v>0.45646437994722955</v>
      </c>
    </row>
    <row r="133" spans="1:8">
      <c r="A133" s="12" t="s">
        <v>146</v>
      </c>
      <c r="B133" s="5">
        <v>3.46</v>
      </c>
      <c r="C133" s="8">
        <v>3.49</v>
      </c>
      <c r="D133" s="8">
        <v>3.43</v>
      </c>
      <c r="E133" s="8">
        <v>3.46</v>
      </c>
      <c r="F133" s="3">
        <v>5814788</v>
      </c>
      <c r="G133" s="19">
        <v>0</v>
      </c>
      <c r="H133">
        <v>0.45646437994722955</v>
      </c>
    </row>
    <row r="134" spans="1:8">
      <c r="A134" s="12" t="s">
        <v>147</v>
      </c>
      <c r="B134" s="5">
        <v>3.46</v>
      </c>
      <c r="C134" s="8">
        <v>3.47</v>
      </c>
      <c r="D134" s="8">
        <v>3.37</v>
      </c>
      <c r="E134" s="8">
        <v>3.4</v>
      </c>
      <c r="F134" s="3">
        <v>9706223</v>
      </c>
      <c r="G134" s="19">
        <v>0</v>
      </c>
      <c r="H134">
        <v>0.44854881266490765</v>
      </c>
    </row>
    <row r="135" spans="1:8">
      <c r="A135" s="12" t="s">
        <v>148</v>
      </c>
      <c r="B135" s="5">
        <v>3.47</v>
      </c>
      <c r="C135" s="8">
        <v>3.48</v>
      </c>
      <c r="D135" s="8">
        <v>3.38</v>
      </c>
      <c r="E135" s="8">
        <v>3.4</v>
      </c>
      <c r="F135" s="3">
        <v>7193757</v>
      </c>
      <c r="G135" s="19">
        <v>0</v>
      </c>
      <c r="H135">
        <v>0.44854881266490765</v>
      </c>
    </row>
    <row r="136" spans="1:8">
      <c r="A136" s="12" t="s">
        <v>149</v>
      </c>
      <c r="B136" s="5">
        <v>3.42</v>
      </c>
      <c r="C136" s="8">
        <v>3.44</v>
      </c>
      <c r="D136" s="8">
        <v>3.38</v>
      </c>
      <c r="E136" s="8">
        <v>3.41</v>
      </c>
      <c r="F136" s="3">
        <v>9258282</v>
      </c>
      <c r="G136" s="19">
        <v>0</v>
      </c>
      <c r="H136">
        <v>0.44986807387862798</v>
      </c>
    </row>
    <row r="137" spans="1:8">
      <c r="A137" s="12" t="s">
        <v>150</v>
      </c>
      <c r="B137" s="5">
        <v>3.39</v>
      </c>
      <c r="C137" s="8">
        <v>3.39</v>
      </c>
      <c r="D137" s="8">
        <v>3.35</v>
      </c>
      <c r="E137" s="8">
        <v>3.38</v>
      </c>
      <c r="F137" s="3">
        <v>6468485</v>
      </c>
      <c r="G137" s="19">
        <v>0</v>
      </c>
      <c r="H137">
        <v>0.44591029023746698</v>
      </c>
    </row>
    <row r="138" spans="1:8">
      <c r="A138" s="12" t="s">
        <v>151</v>
      </c>
      <c r="B138" s="5">
        <v>3.38</v>
      </c>
      <c r="C138" s="8">
        <v>3.41</v>
      </c>
      <c r="D138" s="8">
        <v>3.36</v>
      </c>
      <c r="E138" s="8">
        <v>3.4</v>
      </c>
      <c r="F138" s="3">
        <v>7527935</v>
      </c>
      <c r="G138" s="19">
        <v>0</v>
      </c>
      <c r="H138">
        <v>0.44854881266490765</v>
      </c>
    </row>
    <row r="139" spans="1:8">
      <c r="A139" s="12" t="s">
        <v>152</v>
      </c>
      <c r="B139" s="5">
        <v>3.36</v>
      </c>
      <c r="C139" s="8">
        <v>3.415</v>
      </c>
      <c r="D139" s="8">
        <v>3.36</v>
      </c>
      <c r="E139" s="8">
        <v>3.37</v>
      </c>
      <c r="F139" s="3">
        <v>9978893</v>
      </c>
      <c r="G139" s="19">
        <v>0</v>
      </c>
      <c r="H139">
        <v>0.4445910290237467</v>
      </c>
    </row>
    <row r="140" spans="1:8">
      <c r="A140" s="12" t="s">
        <v>153</v>
      </c>
      <c r="B140" s="5">
        <v>3.43</v>
      </c>
      <c r="C140" s="8">
        <v>3.46</v>
      </c>
      <c r="D140" s="8">
        <v>3.4</v>
      </c>
      <c r="E140" s="8">
        <v>3.42</v>
      </c>
      <c r="F140" s="3">
        <v>13344994</v>
      </c>
      <c r="G140" s="19">
        <v>0</v>
      </c>
      <c r="H140">
        <v>0.45118733509234826</v>
      </c>
    </row>
    <row r="141" spans="1:8">
      <c r="A141" s="12" t="s">
        <v>154</v>
      </c>
      <c r="B141" s="5">
        <v>3.44</v>
      </c>
      <c r="C141" s="8">
        <v>3.45</v>
      </c>
      <c r="D141" s="8">
        <v>3.395</v>
      </c>
      <c r="E141" s="8">
        <v>3.42</v>
      </c>
      <c r="F141" s="3">
        <v>8447917</v>
      </c>
      <c r="G141" s="19">
        <v>0</v>
      </c>
      <c r="H141">
        <v>0.45118733509234826</v>
      </c>
    </row>
    <row r="142" spans="1:8">
      <c r="A142" s="12" t="s">
        <v>155</v>
      </c>
      <c r="B142" s="5">
        <v>3.46</v>
      </c>
      <c r="C142" s="8">
        <v>3.5150000000000001</v>
      </c>
      <c r="D142" s="8">
        <v>3.44</v>
      </c>
      <c r="E142" s="8">
        <v>3.49</v>
      </c>
      <c r="F142" s="3">
        <v>12309818</v>
      </c>
      <c r="G142" s="19">
        <v>0</v>
      </c>
      <c r="H142">
        <v>0.4604221635883905</v>
      </c>
    </row>
    <row r="143" spans="1:8">
      <c r="A143" s="12" t="s">
        <v>156</v>
      </c>
      <c r="B143" s="5">
        <v>3.47</v>
      </c>
      <c r="C143" s="8">
        <v>3.52</v>
      </c>
      <c r="D143" s="8">
        <v>3.45</v>
      </c>
      <c r="E143" s="8">
        <v>3.48</v>
      </c>
      <c r="F143" s="3">
        <v>9864598</v>
      </c>
      <c r="G143" s="19">
        <v>0</v>
      </c>
      <c r="H143">
        <v>0.45910290237467016</v>
      </c>
    </row>
    <row r="144" spans="1:8">
      <c r="A144" s="12" t="s">
        <v>157</v>
      </c>
      <c r="B144" s="5">
        <v>3.53</v>
      </c>
      <c r="C144" s="8">
        <v>3.54</v>
      </c>
      <c r="D144" s="8">
        <v>3.48</v>
      </c>
      <c r="E144" s="8">
        <v>3.51</v>
      </c>
      <c r="F144" s="3">
        <v>9755462</v>
      </c>
      <c r="G144" s="19">
        <v>0</v>
      </c>
      <c r="H144">
        <v>0.46306068601583111</v>
      </c>
    </row>
    <row r="145" spans="1:8">
      <c r="A145" s="12" t="s">
        <v>158</v>
      </c>
      <c r="B145" s="5">
        <v>3.55</v>
      </c>
      <c r="C145" s="8">
        <v>3.64</v>
      </c>
      <c r="D145" s="8">
        <v>3.53</v>
      </c>
      <c r="E145" s="8">
        <v>3.58</v>
      </c>
      <c r="F145" s="3">
        <v>11967577</v>
      </c>
      <c r="G145" s="19">
        <v>0</v>
      </c>
      <c r="H145">
        <v>0.47229551451187335</v>
      </c>
    </row>
    <row r="146" spans="1:8">
      <c r="A146" s="12" t="s">
        <v>159</v>
      </c>
      <c r="B146" s="5">
        <v>3.56</v>
      </c>
      <c r="C146" s="8">
        <v>3.6</v>
      </c>
      <c r="D146" s="8">
        <v>3.5449999999999999</v>
      </c>
      <c r="E146" s="8">
        <v>3.56</v>
      </c>
      <c r="F146" s="3">
        <v>11161671</v>
      </c>
      <c r="G146" s="19">
        <v>0</v>
      </c>
      <c r="H146">
        <v>0.46965699208443273</v>
      </c>
    </row>
    <row r="147" spans="1:8">
      <c r="A147" s="12" t="s">
        <v>160</v>
      </c>
      <c r="B147" s="5">
        <v>3.56</v>
      </c>
      <c r="C147" s="8">
        <v>3.57</v>
      </c>
      <c r="D147" s="8">
        <v>3.49</v>
      </c>
      <c r="E147" s="8">
        <v>3.53</v>
      </c>
      <c r="F147" s="3">
        <v>11839465</v>
      </c>
      <c r="G147" s="19">
        <v>0</v>
      </c>
      <c r="H147">
        <v>0.46569920844327173</v>
      </c>
    </row>
    <row r="148" spans="1:8">
      <c r="A148" s="12" t="s">
        <v>161</v>
      </c>
      <c r="B148" s="5">
        <v>3.53</v>
      </c>
      <c r="C148" s="8">
        <v>3.55</v>
      </c>
      <c r="D148" s="8">
        <v>3.5</v>
      </c>
      <c r="E148" s="8">
        <v>3.54</v>
      </c>
      <c r="F148" s="3">
        <v>13899912</v>
      </c>
      <c r="G148" s="19">
        <v>0</v>
      </c>
      <c r="H148">
        <v>0.46701846965699206</v>
      </c>
    </row>
    <row r="149" spans="1:8">
      <c r="A149" s="12" t="s">
        <v>162</v>
      </c>
      <c r="B149" s="5">
        <v>3.46</v>
      </c>
      <c r="C149" s="8">
        <v>3.51</v>
      </c>
      <c r="D149" s="8">
        <v>3.3650000000000002</v>
      </c>
      <c r="E149" s="8">
        <v>3.37</v>
      </c>
      <c r="F149" s="3">
        <v>20124646</v>
      </c>
      <c r="G149" s="19">
        <v>0</v>
      </c>
      <c r="H149">
        <v>0.4445910290237467</v>
      </c>
    </row>
    <row r="150" spans="1:8">
      <c r="A150" s="12" t="s">
        <v>163</v>
      </c>
      <c r="B150" s="5">
        <v>3.36</v>
      </c>
      <c r="C150" s="8">
        <v>3.375</v>
      </c>
      <c r="D150" s="8">
        <v>3.29</v>
      </c>
      <c r="E150" s="8">
        <v>3.29</v>
      </c>
      <c r="F150" s="3">
        <v>21131826</v>
      </c>
      <c r="G150" s="19">
        <v>0</v>
      </c>
      <c r="H150">
        <v>0.43403693931398418</v>
      </c>
    </row>
    <row r="151" spans="1:8">
      <c r="A151" s="12" t="s">
        <v>164</v>
      </c>
      <c r="B151" s="5">
        <v>3.34</v>
      </c>
      <c r="C151" s="8">
        <v>3.38</v>
      </c>
      <c r="D151" s="8">
        <v>3.31</v>
      </c>
      <c r="E151" s="8">
        <v>3.36</v>
      </c>
      <c r="F151" s="3">
        <v>18129204</v>
      </c>
      <c r="G151" s="19">
        <v>0</v>
      </c>
      <c r="H151">
        <v>0.44327176781002636</v>
      </c>
    </row>
    <row r="152" spans="1:8">
      <c r="A152" s="12" t="s">
        <v>165</v>
      </c>
      <c r="B152" s="5">
        <v>3.35</v>
      </c>
      <c r="C152" s="8">
        <v>3.4049999999999998</v>
      </c>
      <c r="D152" s="8">
        <v>3.35</v>
      </c>
      <c r="E152" s="8">
        <v>3.36</v>
      </c>
      <c r="F152" s="3">
        <v>12898472</v>
      </c>
      <c r="G152" s="19">
        <v>0</v>
      </c>
      <c r="H152">
        <v>0.44327176781002636</v>
      </c>
    </row>
    <row r="153" spans="1:8">
      <c r="A153" s="12" t="s">
        <v>166</v>
      </c>
      <c r="B153" s="5">
        <v>3.3</v>
      </c>
      <c r="C153" s="8">
        <v>3.335</v>
      </c>
      <c r="D153" s="8">
        <v>3.2549999999999999</v>
      </c>
      <c r="E153" s="8">
        <v>3.31</v>
      </c>
      <c r="F153" s="3">
        <v>14484501</v>
      </c>
      <c r="G153" s="19">
        <v>0</v>
      </c>
      <c r="H153">
        <v>0.4366754617414248</v>
      </c>
    </row>
    <row r="154" spans="1:8">
      <c r="A154" s="12" t="s">
        <v>167</v>
      </c>
      <c r="B154" s="5">
        <v>3.34</v>
      </c>
      <c r="C154" s="8">
        <v>3.39</v>
      </c>
      <c r="D154" s="8">
        <v>3.32</v>
      </c>
      <c r="E154" s="8">
        <v>3.38</v>
      </c>
      <c r="F154" s="3">
        <v>11500191</v>
      </c>
      <c r="G154" s="19">
        <v>0</v>
      </c>
      <c r="H154">
        <v>0.44591029023746698</v>
      </c>
    </row>
    <row r="155" spans="1:8">
      <c r="A155" s="12" t="s">
        <v>168</v>
      </c>
      <c r="B155" s="5">
        <v>3.4</v>
      </c>
      <c r="C155" s="8">
        <v>3.52</v>
      </c>
      <c r="D155" s="8">
        <v>3.4</v>
      </c>
      <c r="E155" s="8">
        <v>3.45</v>
      </c>
      <c r="F155" s="3">
        <v>16395461</v>
      </c>
      <c r="G155" s="19">
        <v>0</v>
      </c>
      <c r="H155">
        <v>0.45514511873350927</v>
      </c>
    </row>
    <row r="156" spans="1:8">
      <c r="A156" s="12" t="s">
        <v>169</v>
      </c>
      <c r="B156" s="5">
        <v>3.49</v>
      </c>
      <c r="C156" s="8">
        <v>3.5</v>
      </c>
      <c r="D156" s="8">
        <v>3.45</v>
      </c>
      <c r="E156" s="8">
        <v>3.47</v>
      </c>
      <c r="F156" s="3">
        <v>9923403</v>
      </c>
      <c r="G156" s="19">
        <v>0</v>
      </c>
      <c r="H156">
        <v>0.45778364116094988</v>
      </c>
    </row>
    <row r="157" spans="1:8">
      <c r="A157" s="12" t="s">
        <v>170</v>
      </c>
      <c r="B157" s="5">
        <v>3.5</v>
      </c>
      <c r="C157" s="8">
        <v>3.54</v>
      </c>
      <c r="D157" s="8">
        <v>3.4350000000000001</v>
      </c>
      <c r="E157" s="8">
        <v>3.5</v>
      </c>
      <c r="F157" s="3">
        <v>10527075</v>
      </c>
      <c r="G157" s="19">
        <v>0</v>
      </c>
      <c r="H157">
        <v>0.46174142480211083</v>
      </c>
    </row>
    <row r="158" spans="1:8">
      <c r="A158" s="12" t="s">
        <v>171</v>
      </c>
      <c r="B158" s="5">
        <v>3.46</v>
      </c>
      <c r="C158" s="8">
        <v>3.51</v>
      </c>
      <c r="D158" s="8">
        <v>3.43</v>
      </c>
      <c r="E158" s="8">
        <v>3.44</v>
      </c>
      <c r="F158" s="3">
        <v>12788311</v>
      </c>
      <c r="G158" s="19">
        <v>0</v>
      </c>
      <c r="H158">
        <v>0.45382585751978893</v>
      </c>
    </row>
    <row r="159" spans="1:8">
      <c r="A159" s="12" t="s">
        <v>172</v>
      </c>
      <c r="B159" s="5">
        <v>3.43</v>
      </c>
      <c r="C159" s="8">
        <v>3.46</v>
      </c>
      <c r="D159" s="8">
        <v>3.38</v>
      </c>
      <c r="E159" s="8">
        <v>3.43</v>
      </c>
      <c r="F159" s="3">
        <v>33825484</v>
      </c>
      <c r="G159" s="19">
        <v>0</v>
      </c>
      <c r="H159">
        <v>0.4525065963060686</v>
      </c>
    </row>
    <row r="160" spans="1:8">
      <c r="A160" s="12" t="s">
        <v>173</v>
      </c>
      <c r="B160" s="5">
        <v>3.41</v>
      </c>
      <c r="C160" s="8">
        <v>3.4350000000000001</v>
      </c>
      <c r="D160" s="8">
        <v>3.38</v>
      </c>
      <c r="E160" s="8">
        <v>3.43</v>
      </c>
      <c r="F160" s="3">
        <v>11055250</v>
      </c>
      <c r="G160" s="19">
        <v>0</v>
      </c>
      <c r="H160">
        <v>0.4525065963060686</v>
      </c>
    </row>
    <row r="161" spans="1:8">
      <c r="A161" s="12" t="s">
        <v>174</v>
      </c>
      <c r="B161" s="5">
        <v>3.5</v>
      </c>
      <c r="C161" s="8">
        <v>3.59</v>
      </c>
      <c r="D161" s="8">
        <v>3.4049999999999998</v>
      </c>
      <c r="E161" s="8">
        <v>3.57</v>
      </c>
      <c r="F161" s="3">
        <v>18191090</v>
      </c>
      <c r="G161" s="19">
        <v>0</v>
      </c>
      <c r="H161">
        <v>0.47097625329815301</v>
      </c>
    </row>
    <row r="162" spans="1:8">
      <c r="A162" s="12" t="s">
        <v>175</v>
      </c>
      <c r="B162" s="5">
        <v>3.65</v>
      </c>
      <c r="C162" s="8">
        <v>3.665</v>
      </c>
      <c r="D162" s="8">
        <v>3.5649999999999999</v>
      </c>
      <c r="E162" s="8">
        <v>3.65</v>
      </c>
      <c r="F162" s="3">
        <v>18126481</v>
      </c>
      <c r="G162" s="19">
        <v>0</v>
      </c>
      <c r="H162">
        <v>0.48153034300791553</v>
      </c>
    </row>
    <row r="163" spans="1:8">
      <c r="A163" s="12" t="s">
        <v>176</v>
      </c>
      <c r="B163" s="5">
        <v>3.67</v>
      </c>
      <c r="C163" s="8">
        <v>3.72</v>
      </c>
      <c r="D163" s="8">
        <v>3.65</v>
      </c>
      <c r="E163" s="8">
        <v>3.69</v>
      </c>
      <c r="F163" s="3">
        <v>19081373</v>
      </c>
      <c r="G163" s="19">
        <v>0</v>
      </c>
      <c r="H163">
        <v>0.48680738786279681</v>
      </c>
    </row>
    <row r="164" spans="1:8">
      <c r="A164" s="12" t="s">
        <v>177</v>
      </c>
      <c r="B164" s="5">
        <v>3.69</v>
      </c>
      <c r="C164" s="8">
        <v>3.69</v>
      </c>
      <c r="D164" s="8">
        <v>3.64</v>
      </c>
      <c r="E164" s="8">
        <v>3.67</v>
      </c>
      <c r="F164" s="3">
        <v>9230697</v>
      </c>
      <c r="G164" s="19">
        <v>0</v>
      </c>
      <c r="H164">
        <v>0.4841688654353562</v>
      </c>
    </row>
    <row r="165" spans="1:8">
      <c r="A165" s="12" t="s">
        <v>178</v>
      </c>
      <c r="B165" s="5">
        <v>3.68</v>
      </c>
      <c r="C165" s="8">
        <v>3.7</v>
      </c>
      <c r="D165" s="8">
        <v>3.625</v>
      </c>
      <c r="E165" s="8">
        <v>3.66</v>
      </c>
      <c r="F165" s="3">
        <v>12160795</v>
      </c>
      <c r="G165" s="19">
        <v>0</v>
      </c>
      <c r="H165">
        <v>0.48284960422163592</v>
      </c>
    </row>
    <row r="166" spans="1:8">
      <c r="A166" s="12" t="s">
        <v>179</v>
      </c>
      <c r="B166" s="5">
        <v>3.67</v>
      </c>
      <c r="C166" s="8">
        <v>3.71</v>
      </c>
      <c r="D166" s="8">
        <v>3.61</v>
      </c>
      <c r="E166" s="8">
        <v>3.71</v>
      </c>
      <c r="F166" s="3">
        <v>19688965</v>
      </c>
      <c r="G166" s="19">
        <v>0</v>
      </c>
      <c r="H166">
        <v>0.48944591029023748</v>
      </c>
    </row>
    <row r="167" spans="1:8">
      <c r="A167" s="12" t="s">
        <v>180</v>
      </c>
      <c r="B167" s="5">
        <v>3.74</v>
      </c>
      <c r="C167" s="8">
        <v>3.78</v>
      </c>
      <c r="D167" s="8">
        <v>3.72</v>
      </c>
      <c r="E167" s="8">
        <v>3.74</v>
      </c>
      <c r="F167" s="3">
        <v>15321683</v>
      </c>
      <c r="G167" s="19">
        <v>0</v>
      </c>
      <c r="H167">
        <v>0.49340369393139843</v>
      </c>
    </row>
    <row r="168" spans="1:8">
      <c r="A168" s="12" t="s">
        <v>181</v>
      </c>
      <c r="B168" s="5">
        <v>3.72</v>
      </c>
      <c r="C168" s="8">
        <v>3.74</v>
      </c>
      <c r="D168" s="8">
        <v>3.63</v>
      </c>
      <c r="E168" s="8">
        <v>3.67</v>
      </c>
      <c r="F168" s="3">
        <v>14359888</v>
      </c>
      <c r="G168" s="19">
        <v>0</v>
      </c>
      <c r="H168">
        <v>0.4841688654353562</v>
      </c>
    </row>
    <row r="169" spans="1:8">
      <c r="A169" s="12" t="s">
        <v>182</v>
      </c>
      <c r="B169" s="5">
        <v>3.63</v>
      </c>
      <c r="C169" s="8">
        <v>3.66</v>
      </c>
      <c r="D169" s="8">
        <v>3.61</v>
      </c>
      <c r="E169" s="8">
        <v>3.65</v>
      </c>
      <c r="F169" s="3">
        <v>11475830</v>
      </c>
      <c r="G169" s="19">
        <v>0</v>
      </c>
      <c r="H169">
        <v>0.48153034300791553</v>
      </c>
    </row>
    <row r="170" spans="1:8">
      <c r="A170" s="12" t="s">
        <v>183</v>
      </c>
      <c r="B170" s="5">
        <v>3.63</v>
      </c>
      <c r="C170" s="8">
        <v>3.67</v>
      </c>
      <c r="D170" s="8">
        <v>3.5750000000000002</v>
      </c>
      <c r="E170" s="8">
        <v>3.61</v>
      </c>
      <c r="F170" s="3">
        <v>11638892</v>
      </c>
      <c r="G170" s="19">
        <v>0</v>
      </c>
      <c r="H170">
        <v>0.4762532981530343</v>
      </c>
    </row>
    <row r="171" spans="1:8">
      <c r="A171" s="12" t="s">
        <v>184</v>
      </c>
      <c r="B171" s="5">
        <v>3.61</v>
      </c>
      <c r="C171" s="8">
        <v>3.7</v>
      </c>
      <c r="D171" s="8">
        <v>3.6</v>
      </c>
      <c r="E171" s="8">
        <v>3.64</v>
      </c>
      <c r="F171" s="3">
        <v>19503590</v>
      </c>
      <c r="G171" s="19">
        <v>0</v>
      </c>
      <c r="H171">
        <v>0.48021108179419525</v>
      </c>
    </row>
    <row r="172" spans="1:8">
      <c r="A172" s="12" t="s">
        <v>185</v>
      </c>
      <c r="B172" s="5">
        <v>3.61</v>
      </c>
      <c r="C172" s="8">
        <v>3.62</v>
      </c>
      <c r="D172" s="8">
        <v>3.5</v>
      </c>
      <c r="E172" s="8">
        <v>3.52</v>
      </c>
      <c r="F172" s="3">
        <v>36980677</v>
      </c>
      <c r="G172" s="19">
        <v>0</v>
      </c>
      <c r="H172">
        <v>0.46437994722955145</v>
      </c>
    </row>
    <row r="173" spans="1:8">
      <c r="A173" s="12" t="s">
        <v>186</v>
      </c>
      <c r="B173" s="5">
        <v>3.51</v>
      </c>
      <c r="C173" s="8">
        <v>3.63</v>
      </c>
      <c r="D173" s="8">
        <v>3.4950000000000001</v>
      </c>
      <c r="E173" s="8">
        <v>3.63</v>
      </c>
      <c r="F173" s="3">
        <v>13507674</v>
      </c>
      <c r="G173" s="19">
        <v>0</v>
      </c>
      <c r="H173">
        <v>0.47889182058047491</v>
      </c>
    </row>
    <row r="174" spans="1:8">
      <c r="A174" s="12" t="s">
        <v>187</v>
      </c>
      <c r="B174" s="5">
        <v>3.59</v>
      </c>
      <c r="C174" s="8">
        <v>3.6150000000000002</v>
      </c>
      <c r="D174" s="8">
        <v>3.51</v>
      </c>
      <c r="E174" s="8">
        <v>3.52</v>
      </c>
      <c r="F174" s="3">
        <v>16175787</v>
      </c>
      <c r="G174" s="19">
        <v>0</v>
      </c>
      <c r="H174">
        <v>0.46437994722955145</v>
      </c>
    </row>
    <row r="175" spans="1:8">
      <c r="A175" s="12" t="s">
        <v>188</v>
      </c>
      <c r="B175" s="5">
        <v>3.52</v>
      </c>
      <c r="C175" s="8">
        <v>3.55</v>
      </c>
      <c r="D175" s="8">
        <v>3.47</v>
      </c>
      <c r="E175" s="8">
        <v>3.51</v>
      </c>
      <c r="F175" s="3">
        <v>16983946</v>
      </c>
      <c r="G175" s="19">
        <v>0</v>
      </c>
      <c r="H175">
        <v>0.46306068601583111</v>
      </c>
    </row>
    <row r="176" spans="1:8">
      <c r="A176" s="12" t="s">
        <v>189</v>
      </c>
      <c r="B176" s="5">
        <v>3.55</v>
      </c>
      <c r="C176" s="8">
        <v>3.66</v>
      </c>
      <c r="D176" s="8">
        <v>3.55</v>
      </c>
      <c r="E176" s="8">
        <v>3.64</v>
      </c>
      <c r="F176" s="3">
        <v>22995626</v>
      </c>
      <c r="G176" s="19">
        <v>0</v>
      </c>
      <c r="H176">
        <v>0.48021108179419525</v>
      </c>
    </row>
    <row r="177" spans="1:8">
      <c r="A177" s="12" t="s">
        <v>190</v>
      </c>
      <c r="B177" s="5">
        <v>3.62</v>
      </c>
      <c r="C177" s="8">
        <v>3.65</v>
      </c>
      <c r="D177" s="8">
        <v>3.58</v>
      </c>
      <c r="E177" s="8">
        <v>3.59</v>
      </c>
      <c r="F177" s="3">
        <v>12230875</v>
      </c>
      <c r="G177" s="19">
        <v>0</v>
      </c>
      <c r="H177">
        <v>0.47361477572559363</v>
      </c>
    </row>
    <row r="178" spans="1:8">
      <c r="A178" s="12" t="s">
        <v>191</v>
      </c>
      <c r="B178" s="5">
        <v>3.59</v>
      </c>
      <c r="C178" s="8">
        <v>3.64</v>
      </c>
      <c r="D178" s="8">
        <v>3.59</v>
      </c>
      <c r="E178" s="8">
        <v>3.61</v>
      </c>
      <c r="F178" s="3">
        <v>10692645</v>
      </c>
      <c r="G178" s="19">
        <v>0</v>
      </c>
      <c r="H178">
        <v>0.4762532981530343</v>
      </c>
    </row>
    <row r="179" spans="1:8">
      <c r="A179" s="12" t="s">
        <v>192</v>
      </c>
      <c r="B179" s="5">
        <v>3.55</v>
      </c>
      <c r="C179" s="8">
        <v>3.61</v>
      </c>
      <c r="D179" s="8">
        <v>3.5150000000000001</v>
      </c>
      <c r="E179" s="8">
        <v>3.59</v>
      </c>
      <c r="F179" s="3">
        <v>15971582</v>
      </c>
      <c r="G179" s="19">
        <v>0</v>
      </c>
      <c r="H179">
        <v>0.47361477572559363</v>
      </c>
    </row>
    <row r="180" spans="1:8">
      <c r="A180" s="12" t="s">
        <v>193</v>
      </c>
      <c r="B180" s="5">
        <v>3.61</v>
      </c>
      <c r="C180" s="8">
        <v>3.65</v>
      </c>
      <c r="D180" s="8">
        <v>3.54</v>
      </c>
      <c r="E180" s="8">
        <v>3.58</v>
      </c>
      <c r="F180" s="3">
        <v>19477598</v>
      </c>
      <c r="G180" s="19">
        <v>0</v>
      </c>
      <c r="H180">
        <v>0.47229551451187335</v>
      </c>
    </row>
    <row r="181" spans="1:8">
      <c r="A181" s="12" t="s">
        <v>194</v>
      </c>
      <c r="B181" s="5">
        <v>3.57</v>
      </c>
      <c r="C181" s="8">
        <v>3.61</v>
      </c>
      <c r="D181" s="8">
        <v>3.5</v>
      </c>
      <c r="E181" s="8">
        <v>3.53</v>
      </c>
      <c r="F181" s="3">
        <v>13534139</v>
      </c>
      <c r="G181" s="19">
        <v>0</v>
      </c>
      <c r="H181">
        <v>0.46569920844327173</v>
      </c>
    </row>
    <row r="182" spans="1:8">
      <c r="A182" s="12" t="s">
        <v>195</v>
      </c>
      <c r="B182" s="5">
        <v>3.54</v>
      </c>
      <c r="C182" s="8">
        <v>3.57</v>
      </c>
      <c r="D182" s="8">
        <v>3.51</v>
      </c>
      <c r="E182" s="8">
        <v>3.53</v>
      </c>
      <c r="F182" s="3">
        <v>13694812</v>
      </c>
      <c r="G182" s="19">
        <v>0</v>
      </c>
      <c r="H182">
        <v>0.46569920844327173</v>
      </c>
    </row>
    <row r="183" spans="1:8">
      <c r="A183" s="12" t="s">
        <v>196</v>
      </c>
      <c r="B183" s="5">
        <v>3.54</v>
      </c>
      <c r="C183" s="8">
        <v>3.63</v>
      </c>
      <c r="D183" s="8">
        <v>3.54</v>
      </c>
      <c r="E183" s="8">
        <v>3.6</v>
      </c>
      <c r="F183" s="3">
        <v>13261618</v>
      </c>
      <c r="G183" s="19">
        <v>0</v>
      </c>
      <c r="H183">
        <v>0.47493403693931396</v>
      </c>
    </row>
    <row r="184" spans="1:8">
      <c r="A184" s="12" t="s">
        <v>197</v>
      </c>
      <c r="B184" s="5">
        <v>3.59</v>
      </c>
      <c r="C184" s="8">
        <v>3.62</v>
      </c>
      <c r="D184" s="8">
        <v>3.55</v>
      </c>
      <c r="E184" s="8">
        <v>3.61</v>
      </c>
      <c r="F184" s="3">
        <v>14388440</v>
      </c>
      <c r="G184" s="19">
        <v>0</v>
      </c>
      <c r="H184">
        <v>0.4762532981530343</v>
      </c>
    </row>
    <row r="185" spans="1:8">
      <c r="A185" s="12" t="s">
        <v>198</v>
      </c>
      <c r="B185" s="5">
        <v>3.58</v>
      </c>
      <c r="C185" s="8">
        <v>3.65</v>
      </c>
      <c r="D185" s="8">
        <v>3.5649999999999999</v>
      </c>
      <c r="E185" s="8">
        <v>3.61</v>
      </c>
      <c r="F185" s="3">
        <v>14997940</v>
      </c>
      <c r="G185" s="19">
        <v>0</v>
      </c>
      <c r="H185">
        <v>0.4762532981530343</v>
      </c>
    </row>
    <row r="186" spans="1:8">
      <c r="A186" s="12" t="s">
        <v>199</v>
      </c>
      <c r="B186" s="5">
        <v>3.66</v>
      </c>
      <c r="C186" s="8">
        <v>3.66</v>
      </c>
      <c r="D186" s="8">
        <v>3.57</v>
      </c>
      <c r="E186" s="8">
        <v>3.62</v>
      </c>
      <c r="F186" s="3">
        <v>20786709</v>
      </c>
      <c r="G186" s="19">
        <v>0</v>
      </c>
      <c r="H186">
        <v>0.47757255936675463</v>
      </c>
    </row>
    <row r="187" spans="1:8">
      <c r="A187" s="12" t="s">
        <v>200</v>
      </c>
      <c r="B187" s="5">
        <v>3.53</v>
      </c>
      <c r="C187" s="8">
        <v>3.54</v>
      </c>
      <c r="D187" s="8">
        <v>3.44</v>
      </c>
      <c r="E187" s="8">
        <v>3.53</v>
      </c>
      <c r="F187" s="3">
        <v>33529200</v>
      </c>
      <c r="G187" s="19">
        <v>0</v>
      </c>
      <c r="H187">
        <v>0.46569920844327173</v>
      </c>
    </row>
    <row r="188" spans="1:8">
      <c r="A188" s="12" t="s">
        <v>201</v>
      </c>
      <c r="B188" s="5">
        <v>3.47</v>
      </c>
      <c r="C188" s="8">
        <v>3.5</v>
      </c>
      <c r="D188" s="8">
        <v>3.41</v>
      </c>
      <c r="E188" s="8">
        <v>3.49</v>
      </c>
      <c r="F188" s="3">
        <v>15115360</v>
      </c>
      <c r="G188" s="19">
        <v>0</v>
      </c>
      <c r="H188">
        <v>0.4604221635883905</v>
      </c>
    </row>
    <row r="189" spans="1:8">
      <c r="A189" s="12" t="s">
        <v>202</v>
      </c>
      <c r="B189" s="5">
        <v>3.5</v>
      </c>
      <c r="C189" s="8">
        <v>3.54</v>
      </c>
      <c r="D189" s="8">
        <v>3.47</v>
      </c>
      <c r="E189" s="8">
        <v>3.51</v>
      </c>
      <c r="F189" s="3">
        <v>10970809</v>
      </c>
      <c r="G189" s="19">
        <v>0</v>
      </c>
      <c r="H189">
        <v>0.46306068601583111</v>
      </c>
    </row>
    <row r="190" spans="1:8">
      <c r="A190" s="12" t="s">
        <v>203</v>
      </c>
      <c r="B190" s="5">
        <v>3.55</v>
      </c>
      <c r="C190" s="8">
        <v>3.585</v>
      </c>
      <c r="D190" s="8">
        <v>3.51</v>
      </c>
      <c r="E190" s="8">
        <v>3.51</v>
      </c>
      <c r="F190" s="3">
        <v>12634356</v>
      </c>
      <c r="G190" s="19">
        <v>0</v>
      </c>
      <c r="H190">
        <v>0.46306068601583111</v>
      </c>
    </row>
    <row r="191" spans="1:8">
      <c r="A191" s="12" t="s">
        <v>204</v>
      </c>
      <c r="B191" s="5">
        <v>3.52</v>
      </c>
      <c r="C191" s="8">
        <v>3.53</v>
      </c>
      <c r="D191" s="8">
        <v>3.45</v>
      </c>
      <c r="E191" s="8">
        <v>3.47</v>
      </c>
      <c r="F191" s="3">
        <v>15381960</v>
      </c>
      <c r="G191" s="19">
        <v>0</v>
      </c>
      <c r="H191">
        <v>0.45778364116094988</v>
      </c>
    </row>
    <row r="192" spans="1:8">
      <c r="A192" s="12" t="s">
        <v>205</v>
      </c>
      <c r="B192" s="5">
        <v>3.4</v>
      </c>
      <c r="C192" s="8">
        <v>3.43</v>
      </c>
      <c r="D192" s="8">
        <v>3.37</v>
      </c>
      <c r="E192" s="8">
        <v>3.37</v>
      </c>
      <c r="F192" s="3">
        <v>18889063</v>
      </c>
      <c r="G192" s="19">
        <v>0</v>
      </c>
      <c r="H192">
        <v>0.4445910290237467</v>
      </c>
    </row>
    <row r="193" spans="1:8">
      <c r="A193" s="12" t="s">
        <v>206</v>
      </c>
      <c r="B193" s="5">
        <v>3.31</v>
      </c>
      <c r="C193" s="8">
        <v>3.33</v>
      </c>
      <c r="D193" s="8">
        <v>3.22</v>
      </c>
      <c r="E193" s="8">
        <v>3.22</v>
      </c>
      <c r="F193" s="3">
        <v>26542282</v>
      </c>
      <c r="G193" s="19">
        <v>0</v>
      </c>
      <c r="H193">
        <v>0.42480211081794195</v>
      </c>
    </row>
    <row r="194" spans="1:8">
      <c r="A194" s="12" t="s">
        <v>207</v>
      </c>
      <c r="B194" s="5">
        <v>3.26</v>
      </c>
      <c r="C194" s="8">
        <v>3.27</v>
      </c>
      <c r="D194" s="8">
        <v>3.2</v>
      </c>
      <c r="E194" s="8">
        <v>3.21</v>
      </c>
      <c r="F194" s="3">
        <v>18427391</v>
      </c>
      <c r="G194" s="19">
        <v>0</v>
      </c>
      <c r="H194">
        <v>0.42348284960422161</v>
      </c>
    </row>
    <row r="195" spans="1:8">
      <c r="A195" s="12" t="s">
        <v>208</v>
      </c>
      <c r="B195" s="5">
        <v>3.22</v>
      </c>
      <c r="C195" s="8">
        <v>3.23</v>
      </c>
      <c r="D195" s="8">
        <v>3.1</v>
      </c>
      <c r="E195" s="8">
        <v>3.12</v>
      </c>
      <c r="F195" s="3">
        <v>17869751</v>
      </c>
      <c r="G195" s="19">
        <v>0</v>
      </c>
      <c r="H195">
        <v>0.41160949868073882</v>
      </c>
    </row>
    <row r="196" spans="1:8">
      <c r="A196" s="12" t="s">
        <v>209</v>
      </c>
      <c r="B196" s="5">
        <v>3.04</v>
      </c>
      <c r="C196" s="8">
        <v>3.06</v>
      </c>
      <c r="D196" s="8">
        <v>2.96</v>
      </c>
      <c r="E196" s="8">
        <v>2.97</v>
      </c>
      <c r="F196" s="3">
        <v>24714515</v>
      </c>
      <c r="G196" s="19">
        <v>1.8181818181818181E-2</v>
      </c>
      <c r="H196">
        <v>0.39182058047493407</v>
      </c>
    </row>
    <row r="197" spans="1:8">
      <c r="A197" s="12" t="s">
        <v>210</v>
      </c>
      <c r="B197" s="5">
        <v>2.91</v>
      </c>
      <c r="C197" s="8">
        <v>2.91</v>
      </c>
      <c r="D197" s="8">
        <v>2.78</v>
      </c>
      <c r="E197" s="8">
        <v>2.81</v>
      </c>
      <c r="F197" s="3">
        <v>31014585</v>
      </c>
      <c r="G197" s="19">
        <v>0</v>
      </c>
      <c r="H197">
        <v>0.37071240105540898</v>
      </c>
    </row>
    <row r="198" spans="1:8">
      <c r="A198" s="12" t="s">
        <v>211</v>
      </c>
      <c r="B198" s="5">
        <v>2.52</v>
      </c>
      <c r="C198" s="8">
        <v>2.64</v>
      </c>
      <c r="D198" s="8">
        <v>2.4700000000000002</v>
      </c>
      <c r="E198" s="8">
        <v>2.59</v>
      </c>
      <c r="F198" s="3">
        <v>34589129</v>
      </c>
      <c r="G198" s="19">
        <v>0</v>
      </c>
      <c r="H198">
        <v>0.34168865435356199</v>
      </c>
    </row>
    <row r="199" spans="1:8">
      <c r="A199" s="12" t="s">
        <v>212</v>
      </c>
      <c r="B199" s="5">
        <v>2.65</v>
      </c>
      <c r="C199" s="8">
        <v>2.7050000000000001</v>
      </c>
      <c r="D199" s="8">
        <v>2.61</v>
      </c>
      <c r="E199" s="8">
        <v>2.65</v>
      </c>
      <c r="F199" s="3">
        <v>31824160</v>
      </c>
      <c r="G199" s="19">
        <v>0</v>
      </c>
      <c r="H199">
        <v>0.34960422163588389</v>
      </c>
    </row>
    <row r="200" spans="1:8">
      <c r="A200" s="12" t="s">
        <v>213</v>
      </c>
      <c r="B200" s="5">
        <v>2.5499999999999998</v>
      </c>
      <c r="C200" s="8">
        <v>2.58</v>
      </c>
      <c r="D200" s="8">
        <v>2.5099999999999998</v>
      </c>
      <c r="E200" s="8">
        <v>2.52</v>
      </c>
      <c r="F200" s="3">
        <v>31916718</v>
      </c>
      <c r="G200" s="19">
        <v>0</v>
      </c>
      <c r="H200">
        <v>0.33245382585751981</v>
      </c>
    </row>
    <row r="201" spans="1:8">
      <c r="A201" s="12" t="s">
        <v>214</v>
      </c>
      <c r="B201" s="5">
        <v>2.84</v>
      </c>
      <c r="C201" s="8">
        <v>2.85</v>
      </c>
      <c r="D201" s="8">
        <v>2.7149999999999999</v>
      </c>
      <c r="E201" s="8">
        <v>2.76</v>
      </c>
      <c r="F201" s="3">
        <v>31986385</v>
      </c>
      <c r="G201" s="19">
        <v>0</v>
      </c>
      <c r="H201">
        <v>0.36411609498680736</v>
      </c>
    </row>
    <row r="202" spans="1:8">
      <c r="A202" s="12" t="s">
        <v>215</v>
      </c>
      <c r="B202" s="5">
        <v>2.65</v>
      </c>
      <c r="C202" s="8">
        <v>2.74</v>
      </c>
      <c r="D202" s="8">
        <v>2.65</v>
      </c>
      <c r="E202" s="8">
        <v>2.74</v>
      </c>
      <c r="F202" s="3">
        <v>25673127</v>
      </c>
      <c r="G202" s="19">
        <v>0</v>
      </c>
      <c r="H202">
        <v>0.3614775725593668</v>
      </c>
    </row>
    <row r="203" spans="1:8">
      <c r="A203" s="12" t="s">
        <v>216</v>
      </c>
      <c r="B203" s="5">
        <v>2.78</v>
      </c>
      <c r="C203" s="8">
        <v>2.82</v>
      </c>
      <c r="D203" s="8">
        <v>2.75</v>
      </c>
      <c r="E203" s="8">
        <v>2.8</v>
      </c>
      <c r="F203" s="3">
        <v>14433571</v>
      </c>
      <c r="G203" s="19">
        <v>0</v>
      </c>
      <c r="H203">
        <v>0.36939313984168864</v>
      </c>
    </row>
    <row r="204" spans="1:8">
      <c r="A204" s="12" t="s">
        <v>217</v>
      </c>
      <c r="B204" s="5">
        <v>2.83</v>
      </c>
      <c r="C204" s="8">
        <v>2.83</v>
      </c>
      <c r="D204" s="8">
        <v>2.77</v>
      </c>
      <c r="E204" s="8">
        <v>2.79</v>
      </c>
      <c r="F204" s="3">
        <v>13860687</v>
      </c>
      <c r="G204" s="19">
        <v>0</v>
      </c>
      <c r="H204">
        <v>0.36807387862796836</v>
      </c>
    </row>
    <row r="205" spans="1:8">
      <c r="A205" s="12" t="s">
        <v>218</v>
      </c>
      <c r="B205" s="5">
        <v>2.75</v>
      </c>
      <c r="C205" s="8">
        <v>2.76</v>
      </c>
      <c r="D205" s="8">
        <v>2.65</v>
      </c>
      <c r="E205" s="8">
        <v>2.67</v>
      </c>
      <c r="F205" s="3">
        <v>14401088</v>
      </c>
      <c r="G205" s="19">
        <v>0</v>
      </c>
      <c r="H205">
        <v>0.35224274406332451</v>
      </c>
    </row>
    <row r="206" spans="1:8">
      <c r="A206" s="12" t="s">
        <v>219</v>
      </c>
      <c r="B206" s="5">
        <v>2.71</v>
      </c>
      <c r="C206" s="8">
        <v>2.72</v>
      </c>
      <c r="D206" s="8">
        <v>2.64</v>
      </c>
      <c r="E206" s="8">
        <v>2.69</v>
      </c>
      <c r="F206" s="3">
        <v>18798336</v>
      </c>
      <c r="G206" s="19">
        <v>0</v>
      </c>
      <c r="H206">
        <v>0.35488126649076518</v>
      </c>
    </row>
    <row r="207" spans="1:8">
      <c r="A207" s="12" t="s">
        <v>220</v>
      </c>
      <c r="B207" s="5">
        <v>2.67</v>
      </c>
      <c r="C207" s="8">
        <v>2.67</v>
      </c>
      <c r="D207" s="8">
        <v>2.58</v>
      </c>
      <c r="E207" s="8">
        <v>2.61</v>
      </c>
      <c r="F207" s="3">
        <v>26367398</v>
      </c>
      <c r="G207" s="19">
        <v>0</v>
      </c>
      <c r="H207">
        <v>0.34432717678100261</v>
      </c>
    </row>
    <row r="208" spans="1:8">
      <c r="A208" s="12" t="s">
        <v>221</v>
      </c>
      <c r="B208" s="5">
        <v>2.7</v>
      </c>
      <c r="C208" s="8">
        <v>2.72</v>
      </c>
      <c r="D208" s="8">
        <v>2.62</v>
      </c>
      <c r="E208" s="8">
        <v>2.65</v>
      </c>
      <c r="F208" s="3">
        <v>41030881</v>
      </c>
      <c r="G208" s="19">
        <v>0</v>
      </c>
      <c r="H208">
        <v>0.34960422163588389</v>
      </c>
    </row>
    <row r="209" spans="1:8">
      <c r="A209" s="12" t="s">
        <v>222</v>
      </c>
      <c r="B209" s="5">
        <v>2.65</v>
      </c>
      <c r="C209" s="8">
        <v>2.7349999999999999</v>
      </c>
      <c r="D209" s="8">
        <v>2.63</v>
      </c>
      <c r="E209" s="8">
        <v>2.71</v>
      </c>
      <c r="F209" s="3">
        <v>26901835</v>
      </c>
      <c r="G209" s="19">
        <v>0</v>
      </c>
      <c r="H209">
        <v>0.35751978891820579</v>
      </c>
    </row>
    <row r="210" spans="1:8">
      <c r="A210" s="12" t="s">
        <v>223</v>
      </c>
      <c r="B210" s="5">
        <v>2.7</v>
      </c>
      <c r="C210" s="8">
        <v>2.7349999999999999</v>
      </c>
      <c r="D210" s="8">
        <v>2.68</v>
      </c>
      <c r="E210" s="8">
        <v>2.71</v>
      </c>
      <c r="F210" s="3">
        <v>24848748</v>
      </c>
      <c r="G210" s="19">
        <v>0</v>
      </c>
      <c r="H210">
        <v>0.35751978891820579</v>
      </c>
    </row>
    <row r="211" spans="1:8">
      <c r="A211" s="12" t="s">
        <v>224</v>
      </c>
      <c r="B211" s="5">
        <v>2.71</v>
      </c>
      <c r="C211" s="8">
        <v>2.81</v>
      </c>
      <c r="D211" s="8">
        <v>2.71</v>
      </c>
      <c r="E211" s="8">
        <v>2.78</v>
      </c>
      <c r="F211" s="3">
        <v>20819830</v>
      </c>
      <c r="G211" s="19">
        <v>0</v>
      </c>
      <c r="H211">
        <v>0.36675461741424797</v>
      </c>
    </row>
    <row r="212" spans="1:8">
      <c r="A212" s="12" t="s">
        <v>225</v>
      </c>
      <c r="B212" s="5">
        <v>2.8</v>
      </c>
      <c r="C212" s="8">
        <v>2.8</v>
      </c>
      <c r="D212" s="8">
        <v>2.7149999999999999</v>
      </c>
      <c r="E212" s="8">
        <v>2.75</v>
      </c>
      <c r="F212" s="3">
        <v>24306396</v>
      </c>
      <c r="G212" s="19">
        <v>0</v>
      </c>
      <c r="H212">
        <v>0.36279683377308708</v>
      </c>
    </row>
    <row r="213" spans="1:8">
      <c r="A213" s="12" t="s">
        <v>226</v>
      </c>
      <c r="B213" s="5">
        <v>2.71</v>
      </c>
      <c r="C213" s="8">
        <v>2.7650000000000001</v>
      </c>
      <c r="D213" s="8">
        <v>2.71</v>
      </c>
      <c r="E213" s="8">
        <v>2.74</v>
      </c>
      <c r="F213" s="3">
        <v>18455202</v>
      </c>
      <c r="G213" s="19">
        <v>0</v>
      </c>
      <c r="H213">
        <v>0.3614775725593668</v>
      </c>
    </row>
    <row r="214" spans="1:8">
      <c r="A214" s="12" t="s">
        <v>227</v>
      </c>
      <c r="B214" s="5">
        <v>2.77</v>
      </c>
      <c r="C214" s="8">
        <v>2.87</v>
      </c>
      <c r="D214" s="8">
        <v>2.72</v>
      </c>
      <c r="E214" s="8">
        <v>2.83</v>
      </c>
      <c r="F214" s="3">
        <v>22496587</v>
      </c>
      <c r="G214" s="19">
        <v>0</v>
      </c>
      <c r="H214">
        <v>0.37335092348284959</v>
      </c>
    </row>
    <row r="215" spans="1:8">
      <c r="A215" s="12" t="s">
        <v>228</v>
      </c>
      <c r="B215" s="5">
        <v>2.82</v>
      </c>
      <c r="C215" s="8">
        <v>2.85</v>
      </c>
      <c r="D215" s="8">
        <v>2.79</v>
      </c>
      <c r="E215" s="8">
        <v>2.8</v>
      </c>
      <c r="F215" s="3">
        <v>14942316</v>
      </c>
      <c r="G215" s="19">
        <v>0</v>
      </c>
      <c r="H215">
        <v>0.36939313984168864</v>
      </c>
    </row>
    <row r="216" spans="1:8">
      <c r="A216" s="12" t="s">
        <v>229</v>
      </c>
      <c r="B216" s="5">
        <v>2.8</v>
      </c>
      <c r="C216" s="8">
        <v>2.84</v>
      </c>
      <c r="D216" s="8">
        <v>2.7949999999999999</v>
      </c>
      <c r="E216" s="8">
        <v>2.84</v>
      </c>
      <c r="F216" s="3">
        <v>12190978</v>
      </c>
      <c r="G216" s="19">
        <v>0</v>
      </c>
      <c r="H216">
        <v>0.37467018469656987</v>
      </c>
    </row>
    <row r="217" spans="1:8">
      <c r="A217" s="12" t="s">
        <v>230</v>
      </c>
      <c r="B217" s="5">
        <v>2.84</v>
      </c>
      <c r="C217" s="8">
        <v>2.91</v>
      </c>
      <c r="D217" s="8">
        <v>2.82</v>
      </c>
      <c r="E217" s="8">
        <v>2.85</v>
      </c>
      <c r="F217" s="3">
        <v>19324690</v>
      </c>
      <c r="G217" s="19">
        <v>0</v>
      </c>
      <c r="H217">
        <v>0.37598944591029027</v>
      </c>
    </row>
    <row r="218" spans="1:8">
      <c r="A218" s="12" t="s">
        <v>231</v>
      </c>
      <c r="B218" s="5">
        <v>2.81</v>
      </c>
      <c r="C218" s="8">
        <v>2.83</v>
      </c>
      <c r="D218" s="8">
        <v>2.77</v>
      </c>
      <c r="E218" s="8">
        <v>2.82</v>
      </c>
      <c r="F218" s="3">
        <v>18959762</v>
      </c>
      <c r="G218" s="19">
        <v>0</v>
      </c>
      <c r="H218">
        <v>0.37203166226912926</v>
      </c>
    </row>
    <row r="219" spans="1:8">
      <c r="A219" s="12" t="s">
        <v>232</v>
      </c>
      <c r="B219" s="5">
        <v>2.8</v>
      </c>
      <c r="C219" s="8">
        <v>2.83</v>
      </c>
      <c r="D219" s="8">
        <v>2.78</v>
      </c>
      <c r="E219" s="8">
        <v>2.79</v>
      </c>
      <c r="F219" s="3">
        <v>14545805</v>
      </c>
      <c r="G219" s="19">
        <v>0</v>
      </c>
      <c r="H219">
        <v>0.36807387862796836</v>
      </c>
    </row>
    <row r="220" spans="1:8">
      <c r="A220" s="12" t="s">
        <v>233</v>
      </c>
      <c r="B220" s="5">
        <v>2.82</v>
      </c>
      <c r="C220" s="8">
        <v>2.89</v>
      </c>
      <c r="D220" s="8">
        <v>2.81</v>
      </c>
      <c r="E220" s="8">
        <v>2.87</v>
      </c>
      <c r="F220" s="3">
        <v>17068184</v>
      </c>
      <c r="G220" s="19">
        <v>0</v>
      </c>
      <c r="H220">
        <v>0.37862796833773088</v>
      </c>
    </row>
    <row r="221" spans="1:8">
      <c r="A221" s="12" t="s">
        <v>234</v>
      </c>
      <c r="B221" s="5">
        <v>2.97</v>
      </c>
      <c r="C221" s="8">
        <v>3.05</v>
      </c>
      <c r="D221" s="8">
        <v>2.97</v>
      </c>
      <c r="E221" s="8">
        <v>3.03</v>
      </c>
      <c r="F221" s="3">
        <v>24722308</v>
      </c>
      <c r="G221" s="19">
        <v>0</v>
      </c>
      <c r="H221">
        <v>0.39973614775725591</v>
      </c>
    </row>
    <row r="222" spans="1:8">
      <c r="A222" s="12" t="s">
        <v>235</v>
      </c>
      <c r="B222" s="5">
        <v>3</v>
      </c>
      <c r="C222" s="8">
        <v>3.05</v>
      </c>
      <c r="D222" s="8">
        <v>2.97</v>
      </c>
      <c r="E222" s="8">
        <v>2.99</v>
      </c>
      <c r="F222" s="3">
        <v>23298076</v>
      </c>
      <c r="G222" s="19">
        <v>0</v>
      </c>
      <c r="H222">
        <v>0.39445910290237468</v>
      </c>
    </row>
    <row r="223" spans="1:8">
      <c r="A223" s="12" t="s">
        <v>236</v>
      </c>
      <c r="B223" s="5">
        <v>2.95</v>
      </c>
      <c r="C223" s="8">
        <v>2.98</v>
      </c>
      <c r="D223" s="8">
        <v>2.94</v>
      </c>
      <c r="E223" s="8">
        <v>2.98</v>
      </c>
      <c r="F223" s="3">
        <v>15686418</v>
      </c>
      <c r="G223" s="19">
        <v>0</v>
      </c>
      <c r="H223">
        <v>0.39313984168865435</v>
      </c>
    </row>
    <row r="224" spans="1:8">
      <c r="A224" s="12" t="s">
        <v>237</v>
      </c>
      <c r="B224" s="5">
        <v>2.99</v>
      </c>
      <c r="C224" s="8">
        <v>3.0049999999999999</v>
      </c>
      <c r="D224" s="8">
        <v>2.93</v>
      </c>
      <c r="E224" s="8">
        <v>2.96</v>
      </c>
      <c r="F224" s="3">
        <v>18821734</v>
      </c>
      <c r="G224" s="19">
        <v>0</v>
      </c>
      <c r="H224">
        <v>0.39050131926121373</v>
      </c>
    </row>
    <row r="225" spans="1:8">
      <c r="A225" s="12" t="s">
        <v>238</v>
      </c>
      <c r="B225" s="5">
        <v>2.97</v>
      </c>
      <c r="C225" s="8">
        <v>2.97</v>
      </c>
      <c r="D225" s="8">
        <v>2.91</v>
      </c>
      <c r="E225" s="8">
        <v>2.94</v>
      </c>
      <c r="F225" s="3">
        <v>15059447</v>
      </c>
      <c r="G225" s="19">
        <v>0</v>
      </c>
      <c r="H225">
        <v>0.38786279683377306</v>
      </c>
    </row>
    <row r="226" spans="1:8">
      <c r="A226" s="12" t="s">
        <v>239</v>
      </c>
      <c r="B226" s="5">
        <v>3</v>
      </c>
      <c r="C226" s="8">
        <v>3.07</v>
      </c>
      <c r="D226" s="8">
        <v>2.97</v>
      </c>
      <c r="E226" s="8">
        <v>3.06</v>
      </c>
      <c r="F226" s="3">
        <v>27135468</v>
      </c>
      <c r="G226" s="19">
        <v>0</v>
      </c>
      <c r="H226">
        <v>0.40369393139841692</v>
      </c>
    </row>
    <row r="227" spans="1:8">
      <c r="A227" s="12" t="s">
        <v>240</v>
      </c>
      <c r="B227" s="5">
        <v>3.07</v>
      </c>
      <c r="C227" s="8">
        <v>3.12</v>
      </c>
      <c r="D227" s="8">
        <v>3.0249999999999999</v>
      </c>
      <c r="E227" s="8">
        <v>3.08</v>
      </c>
      <c r="F227" s="3">
        <v>24714335</v>
      </c>
      <c r="G227" s="19">
        <v>0</v>
      </c>
      <c r="H227">
        <v>0.40633245382585753</v>
      </c>
    </row>
    <row r="228" spans="1:8">
      <c r="A228" s="12" t="s">
        <v>241</v>
      </c>
      <c r="B228" s="5">
        <v>3.03</v>
      </c>
      <c r="C228" s="8">
        <v>3.1</v>
      </c>
      <c r="D228" s="8">
        <v>3.03</v>
      </c>
      <c r="E228" s="8">
        <v>3.09</v>
      </c>
      <c r="F228" s="3">
        <v>15803555</v>
      </c>
      <c r="G228" s="19">
        <v>0</v>
      </c>
      <c r="H228">
        <v>0.40765171503957781</v>
      </c>
    </row>
    <row r="229" spans="1:8">
      <c r="A229" s="12" t="s">
        <v>242</v>
      </c>
      <c r="B229" s="5">
        <v>3.07</v>
      </c>
      <c r="C229" s="8">
        <v>3.08</v>
      </c>
      <c r="D229" s="8">
        <v>3.02</v>
      </c>
      <c r="E229" s="8">
        <v>3.03</v>
      </c>
      <c r="F229" s="3">
        <v>11877854</v>
      </c>
      <c r="G229" s="19">
        <v>0</v>
      </c>
      <c r="H229">
        <v>0.39973614775725591</v>
      </c>
    </row>
    <row r="230" spans="1:8">
      <c r="A230" s="12" t="s">
        <v>243</v>
      </c>
      <c r="B230" s="5">
        <v>3.04</v>
      </c>
      <c r="C230" s="8">
        <v>3.07</v>
      </c>
      <c r="D230" s="8">
        <v>3.02</v>
      </c>
      <c r="E230" s="8">
        <v>3.05</v>
      </c>
      <c r="F230" s="3">
        <v>9879576</v>
      </c>
      <c r="G230" s="19">
        <v>0</v>
      </c>
      <c r="H230">
        <v>0.40237467018469653</v>
      </c>
    </row>
    <row r="231" spans="1:8">
      <c r="A231" s="12" t="s">
        <v>244</v>
      </c>
      <c r="B231" s="5">
        <v>3.06</v>
      </c>
      <c r="C231" s="8">
        <v>3.1</v>
      </c>
      <c r="D231" s="8">
        <v>3.0350000000000001</v>
      </c>
      <c r="E231" s="8">
        <v>3.09</v>
      </c>
      <c r="F231" s="3">
        <v>16719868</v>
      </c>
      <c r="G231" s="19">
        <v>0</v>
      </c>
      <c r="H231">
        <v>0.40765171503957781</v>
      </c>
    </row>
    <row r="232" spans="1:8">
      <c r="A232" s="12" t="s">
        <v>245</v>
      </c>
      <c r="B232" s="5">
        <v>3.06</v>
      </c>
      <c r="C232" s="8">
        <v>3.08</v>
      </c>
      <c r="D232" s="8">
        <v>3.04</v>
      </c>
      <c r="E232" s="8">
        <v>3.07</v>
      </c>
      <c r="F232" s="3">
        <v>10117800</v>
      </c>
      <c r="G232" s="19">
        <v>0</v>
      </c>
      <c r="H232">
        <v>0.4050131926121372</v>
      </c>
    </row>
    <row r="233" spans="1:8">
      <c r="A233" s="12" t="s">
        <v>246</v>
      </c>
      <c r="B233" s="5">
        <v>3.08</v>
      </c>
      <c r="C233" s="8">
        <v>3.09</v>
      </c>
      <c r="D233" s="8">
        <v>3.0249999999999999</v>
      </c>
      <c r="E233" s="8">
        <v>3.04</v>
      </c>
      <c r="F233" s="3">
        <v>22897184</v>
      </c>
      <c r="G233" s="19">
        <v>0</v>
      </c>
      <c r="H233">
        <v>0.40105540897097625</v>
      </c>
    </row>
    <row r="234" spans="1:8">
      <c r="A234" s="12" t="s">
        <v>247</v>
      </c>
      <c r="B234" s="5">
        <v>3</v>
      </c>
      <c r="C234" s="8">
        <v>3.06</v>
      </c>
      <c r="D234" s="8">
        <v>2.98</v>
      </c>
      <c r="E234" s="8">
        <v>3.05</v>
      </c>
      <c r="F234" s="3">
        <v>42713779</v>
      </c>
      <c r="G234" s="19">
        <v>0</v>
      </c>
      <c r="H234">
        <v>0.40237467018469653</v>
      </c>
    </row>
    <row r="235" spans="1:8">
      <c r="A235" s="12" t="s">
        <v>248</v>
      </c>
      <c r="B235" s="5">
        <v>3.01</v>
      </c>
      <c r="C235" s="8">
        <v>3.03</v>
      </c>
      <c r="D235" s="8">
        <v>2.93</v>
      </c>
      <c r="E235" s="8">
        <v>2.94</v>
      </c>
      <c r="F235" s="3">
        <v>14944262</v>
      </c>
      <c r="G235" s="19">
        <v>0</v>
      </c>
      <c r="H235">
        <v>0.38786279683377306</v>
      </c>
    </row>
    <row r="236" spans="1:8">
      <c r="A236" s="12" t="s">
        <v>249</v>
      </c>
      <c r="B236" s="5">
        <v>2.99</v>
      </c>
      <c r="C236" s="8">
        <v>2.99</v>
      </c>
      <c r="D236" s="8">
        <v>2.93</v>
      </c>
      <c r="E236" s="8">
        <v>2.95</v>
      </c>
      <c r="F236" s="3">
        <v>24625256</v>
      </c>
      <c r="G236" s="19">
        <v>0</v>
      </c>
      <c r="H236">
        <v>0.38918205804749345</v>
      </c>
    </row>
    <row r="237" spans="1:8">
      <c r="A237" s="12" t="s">
        <v>250</v>
      </c>
      <c r="B237" s="5">
        <v>2.99</v>
      </c>
      <c r="C237" s="8">
        <v>3.04</v>
      </c>
      <c r="D237" s="8">
        <v>2.98</v>
      </c>
      <c r="E237" s="8">
        <v>3.02</v>
      </c>
      <c r="F237" s="3">
        <v>18210151</v>
      </c>
      <c r="G237" s="19">
        <v>0</v>
      </c>
      <c r="H237">
        <v>0.39841688654353563</v>
      </c>
    </row>
    <row r="238" spans="1:8">
      <c r="A238" s="12" t="s">
        <v>251</v>
      </c>
      <c r="B238" s="5">
        <v>3.05</v>
      </c>
      <c r="C238" s="8">
        <v>3.0649999999999999</v>
      </c>
      <c r="D238" s="8">
        <v>3.02</v>
      </c>
      <c r="E238" s="8">
        <v>3.02</v>
      </c>
      <c r="F238" s="3">
        <v>18891005</v>
      </c>
      <c r="G238" s="19">
        <v>0</v>
      </c>
      <c r="H238">
        <v>0.39841688654353563</v>
      </c>
    </row>
    <row r="239" spans="1:8">
      <c r="A239" s="12" t="s">
        <v>252</v>
      </c>
      <c r="B239" s="5">
        <v>3.05</v>
      </c>
      <c r="C239" s="8">
        <v>3.06</v>
      </c>
      <c r="D239" s="8">
        <v>3.01</v>
      </c>
      <c r="E239" s="8">
        <v>3.02</v>
      </c>
      <c r="F239" s="3">
        <v>20009112</v>
      </c>
      <c r="G239" s="19">
        <v>0</v>
      </c>
      <c r="H239">
        <v>0.39841688654353563</v>
      </c>
    </row>
    <row r="240" spans="1:8">
      <c r="A240" s="12" t="s">
        <v>253</v>
      </c>
      <c r="B240" s="5">
        <v>3.04</v>
      </c>
      <c r="C240" s="8">
        <v>3.09</v>
      </c>
      <c r="D240" s="8">
        <v>3.01</v>
      </c>
      <c r="E240" s="8">
        <v>3.04</v>
      </c>
      <c r="F240" s="3">
        <v>16051979</v>
      </c>
      <c r="G240" s="19">
        <v>0</v>
      </c>
      <c r="H240">
        <v>0.40105540897097625</v>
      </c>
    </row>
    <row r="241" spans="1:8">
      <c r="A241" s="12" t="s">
        <v>254</v>
      </c>
      <c r="B241" s="5">
        <v>3.06</v>
      </c>
      <c r="C241" s="8">
        <v>3.11</v>
      </c>
      <c r="D241" s="8">
        <v>3.05</v>
      </c>
      <c r="E241" s="8">
        <v>3.06</v>
      </c>
      <c r="F241" s="3">
        <v>15607002</v>
      </c>
      <c r="G241" s="19">
        <v>0</v>
      </c>
      <c r="H241">
        <v>0.40369393139841692</v>
      </c>
    </row>
    <row r="242" spans="1:8">
      <c r="A242" s="12" t="s">
        <v>255</v>
      </c>
      <c r="B242" s="5">
        <v>3.03</v>
      </c>
      <c r="C242" s="8">
        <v>3.0449999999999999</v>
      </c>
      <c r="D242" s="8">
        <v>2.9950000000000001</v>
      </c>
      <c r="E242" s="8">
        <v>3.01</v>
      </c>
      <c r="F242" s="3">
        <v>16823690</v>
      </c>
      <c r="G242" s="19">
        <v>0</v>
      </c>
      <c r="H242">
        <v>0.3970976253298153</v>
      </c>
    </row>
    <row r="243" spans="1:8">
      <c r="A243" s="12" t="s">
        <v>256</v>
      </c>
      <c r="B243" s="5">
        <v>3.02</v>
      </c>
      <c r="C243" s="8">
        <v>3.03</v>
      </c>
      <c r="D243" s="8">
        <v>2.91</v>
      </c>
      <c r="E243" s="8">
        <v>2.94</v>
      </c>
      <c r="F243" s="3">
        <v>12378428</v>
      </c>
      <c r="G243" s="19">
        <v>0</v>
      </c>
      <c r="H243">
        <v>0.38786279683377306</v>
      </c>
    </row>
    <row r="244" spans="1:8">
      <c r="A244" s="12" t="s">
        <v>257</v>
      </c>
      <c r="B244" s="5">
        <v>2.95</v>
      </c>
      <c r="C244" s="8">
        <v>3.02</v>
      </c>
      <c r="D244" s="8">
        <v>2.9350000000000001</v>
      </c>
      <c r="E244" s="8">
        <v>3</v>
      </c>
      <c r="F244" s="3">
        <v>17660981</v>
      </c>
      <c r="G244" s="19">
        <v>0</v>
      </c>
      <c r="H244">
        <v>0.39577836411609496</v>
      </c>
    </row>
    <row r="245" spans="1:8">
      <c r="A245" s="12" t="s">
        <v>258</v>
      </c>
      <c r="B245" s="5">
        <v>3</v>
      </c>
      <c r="C245" s="8">
        <v>3.05</v>
      </c>
      <c r="D245" s="8">
        <v>2.99</v>
      </c>
      <c r="E245" s="8">
        <v>3.02</v>
      </c>
      <c r="F245" s="3">
        <v>14170059</v>
      </c>
      <c r="G245" s="19">
        <v>0</v>
      </c>
      <c r="H245">
        <v>0.39841688654353563</v>
      </c>
    </row>
    <row r="246" spans="1:8">
      <c r="A246" s="12" t="s">
        <v>259</v>
      </c>
      <c r="B246" s="5">
        <v>3</v>
      </c>
      <c r="C246" s="8">
        <v>3.01</v>
      </c>
      <c r="D246" s="8">
        <v>2.96</v>
      </c>
      <c r="E246" s="8">
        <v>2.98</v>
      </c>
      <c r="F246" s="3">
        <v>12910516</v>
      </c>
      <c r="G246" s="19">
        <v>0</v>
      </c>
      <c r="H246">
        <v>0.39313984168865435</v>
      </c>
    </row>
    <row r="247" spans="1:8">
      <c r="A247" s="12" t="s">
        <v>260</v>
      </c>
      <c r="B247" s="5">
        <v>2.97</v>
      </c>
      <c r="C247" s="8">
        <v>2.97</v>
      </c>
      <c r="D247" s="8">
        <v>2.895</v>
      </c>
      <c r="E247" s="8">
        <v>2.9</v>
      </c>
      <c r="F247" s="3">
        <v>12337762</v>
      </c>
      <c r="G247" s="19">
        <v>0</v>
      </c>
      <c r="H247">
        <v>0.38258575197889183</v>
      </c>
    </row>
    <row r="248" spans="1:8">
      <c r="A248" s="12" t="s">
        <v>261</v>
      </c>
      <c r="B248" s="5">
        <v>2.9</v>
      </c>
      <c r="C248" s="8">
        <v>2.915</v>
      </c>
      <c r="D248" s="8">
        <v>2.87</v>
      </c>
      <c r="E248" s="8">
        <v>2.88</v>
      </c>
      <c r="F248" s="3">
        <v>26354856</v>
      </c>
      <c r="G248" s="19">
        <v>0</v>
      </c>
      <c r="H248">
        <v>0.37994722955145116</v>
      </c>
    </row>
    <row r="249" spans="1:8">
      <c r="A249" s="12" t="s">
        <v>262</v>
      </c>
      <c r="B249" s="5">
        <v>2.9</v>
      </c>
      <c r="C249" s="8">
        <v>2.9</v>
      </c>
      <c r="D249" s="8">
        <v>2.84</v>
      </c>
      <c r="E249" s="8">
        <v>2.85</v>
      </c>
      <c r="F249" s="3">
        <v>9761579</v>
      </c>
      <c r="G249" s="19">
        <v>0</v>
      </c>
      <c r="H249">
        <v>0.37598944591029027</v>
      </c>
    </row>
    <row r="250" spans="1:8">
      <c r="A250" s="12" t="s">
        <v>263</v>
      </c>
      <c r="B250" s="5">
        <v>2.9</v>
      </c>
      <c r="C250" s="8">
        <v>2.9249999999999998</v>
      </c>
      <c r="D250" s="8">
        <v>2.88</v>
      </c>
      <c r="E250" s="8">
        <v>2.92</v>
      </c>
      <c r="F250" s="3">
        <v>11070533</v>
      </c>
      <c r="G250" s="19">
        <v>0</v>
      </c>
      <c r="H250">
        <v>0.38522427440633245</v>
      </c>
    </row>
    <row r="251" spans="1:8">
      <c r="A251" s="12" t="s">
        <v>264</v>
      </c>
      <c r="B251" s="5">
        <v>2.89</v>
      </c>
      <c r="C251" s="8">
        <v>2.91</v>
      </c>
      <c r="D251" s="8">
        <v>2.82</v>
      </c>
      <c r="E251" s="8">
        <v>2.84</v>
      </c>
      <c r="F251" s="3">
        <v>18246117</v>
      </c>
      <c r="G251" s="19">
        <v>0</v>
      </c>
      <c r="H251">
        <v>0.37467018469656987</v>
      </c>
    </row>
    <row r="252" spans="1:8">
      <c r="A252" s="12" t="s">
        <v>265</v>
      </c>
      <c r="B252" s="5">
        <v>2.82</v>
      </c>
      <c r="C252" s="8">
        <v>2.9</v>
      </c>
      <c r="D252" s="8">
        <v>2.81</v>
      </c>
      <c r="E252" s="8">
        <v>2.9</v>
      </c>
      <c r="F252" s="3">
        <v>20132431</v>
      </c>
      <c r="G252" s="19">
        <v>0</v>
      </c>
      <c r="H252">
        <v>0.38258575197889183</v>
      </c>
    </row>
    <row r="253" spans="1:8">
      <c r="A253" s="12" t="s">
        <v>266</v>
      </c>
      <c r="B253" s="5">
        <v>2.95</v>
      </c>
      <c r="C253" s="8">
        <v>3.01</v>
      </c>
      <c r="D253" s="8">
        <v>2.94</v>
      </c>
      <c r="E253" s="8">
        <v>2.94</v>
      </c>
      <c r="F253" s="3">
        <v>26553801</v>
      </c>
      <c r="G253" s="19">
        <v>0</v>
      </c>
      <c r="H253">
        <v>0.38786279683377306</v>
      </c>
    </row>
    <row r="254" spans="1:8">
      <c r="A254" s="12" t="s">
        <v>267</v>
      </c>
      <c r="B254" s="5">
        <v>2.9</v>
      </c>
      <c r="C254" s="8">
        <v>2.93</v>
      </c>
      <c r="D254" s="8">
        <v>2.86</v>
      </c>
      <c r="E254" s="8">
        <v>2.91</v>
      </c>
      <c r="F254" s="3">
        <v>19839505</v>
      </c>
      <c r="G254" s="19">
        <v>0</v>
      </c>
      <c r="H254">
        <v>0.38390501319261217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C191-58FC-475F-B209-9338C742BBDC}">
  <dimension ref="A1:E254"/>
  <sheetViews>
    <sheetView workbookViewId="0">
      <pane ySplit="1" topLeftCell="A204" activePane="bottomLeft" state="frozen"/>
      <selection pane="bottomLeft" activeCell="A228" sqref="A228"/>
    </sheetView>
  </sheetViews>
  <sheetFormatPr defaultRowHeight="12.75"/>
  <cols>
    <col min="1" max="1" width="14.28515625" style="12" customWidth="1"/>
    <col min="2" max="2" width="10.7109375" style="9" customWidth="1"/>
    <col min="3" max="3" width="17.28515625" customWidth="1"/>
    <col min="4" max="4" width="18.85546875" customWidth="1"/>
    <col min="5" max="5" width="13.5703125" style="8" customWidth="1"/>
  </cols>
  <sheetData>
    <row r="1" spans="1:5" ht="15">
      <c r="A1" s="11" t="s">
        <v>2</v>
      </c>
      <c r="B1" s="7" t="s">
        <v>6</v>
      </c>
      <c r="C1" s="29" t="s">
        <v>282</v>
      </c>
      <c r="D1" s="29" t="s">
        <v>283</v>
      </c>
      <c r="E1" s="32" t="s">
        <v>284</v>
      </c>
    </row>
    <row r="2" spans="1:5">
      <c r="A2" s="12" t="s">
        <v>15</v>
      </c>
      <c r="B2" s="8">
        <v>3.71</v>
      </c>
    </row>
    <row r="3" spans="1:5">
      <c r="A3" s="12" t="s">
        <v>16</v>
      </c>
      <c r="B3" s="8">
        <v>3.73</v>
      </c>
    </row>
    <row r="4" spans="1:5">
      <c r="A4" s="12" t="s">
        <v>17</v>
      </c>
      <c r="B4" s="8">
        <v>3.78</v>
      </c>
    </row>
    <row r="5" spans="1:5">
      <c r="A5" s="12" t="s">
        <v>18</v>
      </c>
      <c r="B5" s="8">
        <v>3.85</v>
      </c>
    </row>
    <row r="6" spans="1:5">
      <c r="A6" s="12" t="s">
        <v>19</v>
      </c>
      <c r="B6" s="8">
        <v>3.82</v>
      </c>
    </row>
    <row r="7" spans="1:5">
      <c r="A7" s="12" t="s">
        <v>20</v>
      </c>
      <c r="B7" s="8">
        <v>3.7</v>
      </c>
    </row>
    <row r="8" spans="1:5">
      <c r="A8" s="12" t="s">
        <v>21</v>
      </c>
      <c r="B8" s="8">
        <v>3.72</v>
      </c>
    </row>
    <row r="9" spans="1:5">
      <c r="A9" s="12" t="s">
        <v>22</v>
      </c>
      <c r="B9" s="8">
        <v>3.64</v>
      </c>
    </row>
    <row r="10" spans="1:5">
      <c r="A10" s="12" t="s">
        <v>23</v>
      </c>
      <c r="B10" s="8">
        <v>3.62</v>
      </c>
    </row>
    <row r="11" spans="1:5">
      <c r="A11" s="12" t="s">
        <v>24</v>
      </c>
      <c r="B11" s="8">
        <v>3.62</v>
      </c>
    </row>
    <row r="12" spans="1:5">
      <c r="A12" s="12" t="s">
        <v>25</v>
      </c>
      <c r="B12" s="8">
        <v>3.62</v>
      </c>
    </row>
    <row r="13" spans="1:5">
      <c r="A13" s="12" t="s">
        <v>26</v>
      </c>
      <c r="B13" s="8">
        <v>3.57</v>
      </c>
    </row>
    <row r="14" spans="1:5">
      <c r="A14" s="12" t="s">
        <v>27</v>
      </c>
      <c r="B14" s="8">
        <v>3.55</v>
      </c>
    </row>
    <row r="15" spans="1:5">
      <c r="A15" s="12" t="s">
        <v>28</v>
      </c>
      <c r="B15" s="8">
        <v>3.49</v>
      </c>
    </row>
    <row r="16" spans="1:5">
      <c r="A16" s="12" t="s">
        <v>29</v>
      </c>
      <c r="B16" s="8">
        <v>3.42</v>
      </c>
    </row>
    <row r="17" spans="1:5">
      <c r="A17" s="12" t="s">
        <v>30</v>
      </c>
      <c r="B17" s="8">
        <v>2.99</v>
      </c>
    </row>
    <row r="18" spans="1:5">
      <c r="A18" s="12" t="s">
        <v>31</v>
      </c>
      <c r="B18" s="8">
        <v>2.98</v>
      </c>
    </row>
    <row r="19" spans="1:5">
      <c r="A19" s="12" t="s">
        <v>32</v>
      </c>
      <c r="B19" s="8">
        <v>2.96</v>
      </c>
    </row>
    <row r="20" spans="1:5">
      <c r="A20" s="12" t="s">
        <v>33</v>
      </c>
      <c r="B20" s="8">
        <v>2.91</v>
      </c>
    </row>
    <row r="21" spans="1:5">
      <c r="A21" s="12" t="s">
        <v>34</v>
      </c>
      <c r="B21" s="8">
        <v>2.98</v>
      </c>
    </row>
    <row r="22" spans="1:5">
      <c r="A22" s="12" t="s">
        <v>35</v>
      </c>
      <c r="B22" s="8">
        <v>3.02</v>
      </c>
    </row>
    <row r="23" spans="1:5">
      <c r="A23" s="12" t="s">
        <v>36</v>
      </c>
      <c r="B23" s="8">
        <v>3.01</v>
      </c>
    </row>
    <row r="24" spans="1:5">
      <c r="A24" s="12" t="s">
        <v>37</v>
      </c>
      <c r="B24" s="8">
        <v>3.07</v>
      </c>
    </row>
    <row r="25" spans="1:5">
      <c r="A25" s="12" t="s">
        <v>38</v>
      </c>
      <c r="B25" s="8">
        <v>3.14</v>
      </c>
    </row>
    <row r="26" spans="1:5">
      <c r="A26" s="12" t="s">
        <v>39</v>
      </c>
      <c r="B26" s="8">
        <v>3.02</v>
      </c>
    </row>
    <row r="27" spans="1:5">
      <c r="A27" s="12" t="s">
        <v>40</v>
      </c>
      <c r="B27" s="8">
        <v>2.84</v>
      </c>
    </row>
    <row r="28" spans="1:5">
      <c r="A28" s="12" t="s">
        <v>41</v>
      </c>
      <c r="B28" s="8">
        <v>2.86</v>
      </c>
    </row>
    <row r="29" spans="1:5">
      <c r="A29" s="12" t="s">
        <v>42</v>
      </c>
      <c r="B29" s="8">
        <v>2.88</v>
      </c>
    </row>
    <row r="30" spans="1:5">
      <c r="A30" s="12" t="s">
        <v>43</v>
      </c>
      <c r="B30" s="8">
        <v>2.83</v>
      </c>
      <c r="C30" s="30" t="s">
        <v>285</v>
      </c>
      <c r="D30">
        <f>E30/B30</f>
        <v>353.35689045936397</v>
      </c>
      <c r="E30" s="8">
        <v>1000</v>
      </c>
    </row>
    <row r="31" spans="1:5">
      <c r="A31" s="12" t="s">
        <v>44</v>
      </c>
      <c r="B31" s="8">
        <v>2.94</v>
      </c>
    </row>
    <row r="32" spans="1:5">
      <c r="A32" s="12" t="s">
        <v>45</v>
      </c>
      <c r="B32" s="8">
        <v>2.93</v>
      </c>
    </row>
    <row r="33" spans="1:2">
      <c r="A33" s="12" t="s">
        <v>46</v>
      </c>
      <c r="B33" s="8">
        <v>2.96</v>
      </c>
    </row>
    <row r="34" spans="1:2">
      <c r="A34" s="12" t="s">
        <v>47</v>
      </c>
      <c r="B34" s="8">
        <v>2.91</v>
      </c>
    </row>
    <row r="35" spans="1:2">
      <c r="A35" s="12" t="s">
        <v>48</v>
      </c>
      <c r="B35" s="8">
        <v>2.92</v>
      </c>
    </row>
    <row r="36" spans="1:2">
      <c r="A36" s="12" t="s">
        <v>49</v>
      </c>
      <c r="B36" s="8">
        <v>2.98</v>
      </c>
    </row>
    <row r="37" spans="1:2">
      <c r="A37" s="12" t="s">
        <v>50</v>
      </c>
      <c r="B37" s="8">
        <v>2.96</v>
      </c>
    </row>
    <row r="38" spans="1:2">
      <c r="A38" s="12" t="s">
        <v>51</v>
      </c>
      <c r="B38" s="8">
        <v>3.01</v>
      </c>
    </row>
    <row r="39" spans="1:2">
      <c r="A39" s="12" t="s">
        <v>52</v>
      </c>
      <c r="B39" s="8">
        <v>3.01</v>
      </c>
    </row>
    <row r="40" spans="1:2">
      <c r="A40" s="12" t="s">
        <v>53</v>
      </c>
      <c r="B40" s="8">
        <v>3.04</v>
      </c>
    </row>
    <row r="41" spans="1:2">
      <c r="A41" s="12" t="s">
        <v>54</v>
      </c>
      <c r="B41" s="8">
        <v>3.03</v>
      </c>
    </row>
    <row r="42" spans="1:2">
      <c r="A42" s="12" t="s">
        <v>55</v>
      </c>
      <c r="B42" s="8">
        <v>3.09</v>
      </c>
    </row>
    <row r="43" spans="1:2">
      <c r="A43" s="12" t="s">
        <v>56</v>
      </c>
      <c r="B43" s="8">
        <v>3.1</v>
      </c>
    </row>
    <row r="44" spans="1:2">
      <c r="A44" s="12" t="s">
        <v>57</v>
      </c>
      <c r="B44" s="8">
        <v>3.08</v>
      </c>
    </row>
    <row r="45" spans="1:2">
      <c r="A45" s="12" t="s">
        <v>58</v>
      </c>
      <c r="B45" s="8">
        <v>3.1</v>
      </c>
    </row>
    <row r="46" spans="1:2">
      <c r="A46" s="12" t="s">
        <v>59</v>
      </c>
      <c r="B46" s="8">
        <v>3.14</v>
      </c>
    </row>
    <row r="47" spans="1:2">
      <c r="A47" s="12" t="s">
        <v>60</v>
      </c>
      <c r="B47" s="8">
        <v>3.1</v>
      </c>
    </row>
    <row r="48" spans="1:2">
      <c r="A48" s="12" t="s">
        <v>61</v>
      </c>
      <c r="B48" s="8">
        <v>3.1</v>
      </c>
    </row>
    <row r="49" spans="1:2">
      <c r="A49" s="12" t="s">
        <v>62</v>
      </c>
      <c r="B49" s="8">
        <v>3</v>
      </c>
    </row>
    <row r="50" spans="1:2">
      <c r="A50" s="12" t="s">
        <v>63</v>
      </c>
      <c r="B50" s="8">
        <v>3.04</v>
      </c>
    </row>
    <row r="51" spans="1:2">
      <c r="A51" s="12" t="s">
        <v>64</v>
      </c>
      <c r="B51" s="8">
        <v>2.98</v>
      </c>
    </row>
    <row r="52" spans="1:2">
      <c r="A52" s="12" t="s">
        <v>65</v>
      </c>
      <c r="B52" s="8">
        <v>2.97</v>
      </c>
    </row>
    <row r="53" spans="1:2">
      <c r="A53" s="12" t="s">
        <v>66</v>
      </c>
      <c r="B53" s="8">
        <v>2.99</v>
      </c>
    </row>
    <row r="54" spans="1:2">
      <c r="A54" s="12" t="s">
        <v>67</v>
      </c>
      <c r="B54" s="8">
        <v>3.01</v>
      </c>
    </row>
    <row r="55" spans="1:2">
      <c r="A55" s="12" t="s">
        <v>68</v>
      </c>
      <c r="B55" s="8">
        <v>3.08</v>
      </c>
    </row>
    <row r="56" spans="1:2">
      <c r="A56" s="12" t="s">
        <v>69</v>
      </c>
      <c r="B56" s="8">
        <v>3.19</v>
      </c>
    </row>
    <row r="57" spans="1:2">
      <c r="A57" s="12" t="s">
        <v>70</v>
      </c>
      <c r="B57" s="8">
        <v>3.17</v>
      </c>
    </row>
    <row r="58" spans="1:2">
      <c r="A58" s="12" t="s">
        <v>71</v>
      </c>
      <c r="B58" s="8">
        <v>3.23</v>
      </c>
    </row>
    <row r="59" spans="1:2">
      <c r="A59" s="12" t="s">
        <v>72</v>
      </c>
      <c r="B59" s="8">
        <v>3.2</v>
      </c>
    </row>
    <row r="60" spans="1:2">
      <c r="A60" s="12" t="s">
        <v>73</v>
      </c>
      <c r="B60" s="8">
        <v>3.2</v>
      </c>
    </row>
    <row r="61" spans="1:2">
      <c r="A61" s="12" t="s">
        <v>74</v>
      </c>
      <c r="B61" s="8">
        <v>3.2</v>
      </c>
    </row>
    <row r="62" spans="1:2">
      <c r="A62" s="12" t="s">
        <v>75</v>
      </c>
      <c r="B62" s="8">
        <v>3.2</v>
      </c>
    </row>
    <row r="63" spans="1:2">
      <c r="A63" s="12" t="s">
        <v>76</v>
      </c>
      <c r="B63" s="8">
        <v>3.33</v>
      </c>
    </row>
    <row r="64" spans="1:2">
      <c r="A64" s="12" t="s">
        <v>77</v>
      </c>
      <c r="B64" s="8">
        <v>3.43</v>
      </c>
    </row>
    <row r="65" spans="1:5">
      <c r="A65" s="12" t="s">
        <v>78</v>
      </c>
      <c r="B65" s="8">
        <v>3.53</v>
      </c>
    </row>
    <row r="66" spans="1:5">
      <c r="A66" s="12" t="s">
        <v>79</v>
      </c>
      <c r="B66" s="8">
        <v>3.7</v>
      </c>
    </row>
    <row r="67" spans="1:5">
      <c r="A67" s="12" t="s">
        <v>80</v>
      </c>
      <c r="B67" s="8">
        <v>3.77</v>
      </c>
    </row>
    <row r="68" spans="1:5">
      <c r="A68" s="12" t="s">
        <v>81</v>
      </c>
      <c r="B68" s="8">
        <v>3.67</v>
      </c>
    </row>
    <row r="69" spans="1:5">
      <c r="A69" s="12" t="s">
        <v>82</v>
      </c>
      <c r="B69" s="8">
        <v>3.73</v>
      </c>
    </row>
    <row r="70" spans="1:5">
      <c r="A70" s="12" t="s">
        <v>83</v>
      </c>
      <c r="B70" s="8">
        <v>3.74</v>
      </c>
    </row>
    <row r="71" spans="1:5">
      <c r="A71" s="12" t="s">
        <v>84</v>
      </c>
      <c r="B71" s="8">
        <v>3.68</v>
      </c>
    </row>
    <row r="72" spans="1:5">
      <c r="A72" s="12" t="s">
        <v>85</v>
      </c>
      <c r="B72" s="8">
        <v>3.7</v>
      </c>
    </row>
    <row r="73" spans="1:5">
      <c r="A73" s="12" t="s">
        <v>86</v>
      </c>
      <c r="B73" s="8">
        <v>3.6</v>
      </c>
    </row>
    <row r="74" spans="1:5">
      <c r="A74" s="12" t="s">
        <v>87</v>
      </c>
      <c r="B74" s="8">
        <v>3.53</v>
      </c>
    </row>
    <row r="75" spans="1:5">
      <c r="A75" s="12" t="s">
        <v>88</v>
      </c>
      <c r="B75" s="8">
        <v>3.61</v>
      </c>
    </row>
    <row r="76" spans="1:5">
      <c r="A76" s="12" t="s">
        <v>89</v>
      </c>
      <c r="B76" s="8">
        <v>3.6</v>
      </c>
    </row>
    <row r="77" spans="1:5">
      <c r="A77" s="12" t="s">
        <v>90</v>
      </c>
      <c r="B77" s="8">
        <v>3.73</v>
      </c>
    </row>
    <row r="78" spans="1:5">
      <c r="A78" s="12" t="s">
        <v>91</v>
      </c>
      <c r="B78" s="8">
        <v>3.7</v>
      </c>
    </row>
    <row r="79" spans="1:5">
      <c r="A79" s="12" t="s">
        <v>92</v>
      </c>
      <c r="B79" s="8">
        <v>3.67</v>
      </c>
    </row>
    <row r="80" spans="1:5">
      <c r="A80" s="12" t="s">
        <v>93</v>
      </c>
      <c r="B80" s="8">
        <v>3.77</v>
      </c>
      <c r="C80" s="31" t="s">
        <v>286</v>
      </c>
      <c r="D80">
        <f>D30</f>
        <v>353.35689045936397</v>
      </c>
      <c r="E80" s="8">
        <f>D80*B80</f>
        <v>1332.1554770318021</v>
      </c>
    </row>
    <row r="81" spans="1:2">
      <c r="A81" s="12" t="s">
        <v>94</v>
      </c>
      <c r="B81" s="8">
        <v>3.7</v>
      </c>
    </row>
    <row r="82" spans="1:2">
      <c r="A82" s="12" t="s">
        <v>95</v>
      </c>
      <c r="B82" s="8">
        <v>3.69</v>
      </c>
    </row>
    <row r="83" spans="1:2">
      <c r="A83" s="12" t="s">
        <v>96</v>
      </c>
      <c r="B83" s="8">
        <v>3.62</v>
      </c>
    </row>
    <row r="84" spans="1:2">
      <c r="A84" s="12" t="s">
        <v>97</v>
      </c>
      <c r="B84" s="8">
        <v>3.65</v>
      </c>
    </row>
    <row r="85" spans="1:2">
      <c r="A85" s="12" t="s">
        <v>98</v>
      </c>
      <c r="B85" s="8">
        <v>3.69</v>
      </c>
    </row>
    <row r="86" spans="1:2">
      <c r="A86" s="12" t="s">
        <v>99</v>
      </c>
      <c r="B86" s="8">
        <v>3.71</v>
      </c>
    </row>
    <row r="87" spans="1:2">
      <c r="A87" s="12" t="s">
        <v>100</v>
      </c>
      <c r="B87" s="8">
        <v>3.73</v>
      </c>
    </row>
    <row r="88" spans="1:2">
      <c r="A88" s="12" t="s">
        <v>101</v>
      </c>
      <c r="B88" s="8">
        <v>3.72</v>
      </c>
    </row>
    <row r="89" spans="1:2">
      <c r="A89" s="12" t="s">
        <v>102</v>
      </c>
      <c r="B89" s="8">
        <v>3.67</v>
      </c>
    </row>
    <row r="90" spans="1:2">
      <c r="A90" s="12" t="s">
        <v>103</v>
      </c>
      <c r="B90" s="8">
        <v>3.68</v>
      </c>
    </row>
    <row r="91" spans="1:2">
      <c r="A91" s="12" t="s">
        <v>104</v>
      </c>
      <c r="B91" s="8">
        <v>3.72</v>
      </c>
    </row>
    <row r="92" spans="1:2">
      <c r="A92" s="12" t="s">
        <v>105</v>
      </c>
      <c r="B92" s="8">
        <v>3.73</v>
      </c>
    </row>
    <row r="93" spans="1:2">
      <c r="A93" s="12" t="s">
        <v>106</v>
      </c>
      <c r="B93" s="8">
        <v>3.75</v>
      </c>
    </row>
    <row r="94" spans="1:2">
      <c r="A94" s="12" t="s">
        <v>107</v>
      </c>
      <c r="B94" s="8">
        <v>3.76</v>
      </c>
    </row>
    <row r="95" spans="1:2">
      <c r="A95" s="12" t="s">
        <v>108</v>
      </c>
      <c r="B95" s="8">
        <v>3.83</v>
      </c>
    </row>
    <row r="96" spans="1:2">
      <c r="A96" s="12" t="s">
        <v>109</v>
      </c>
      <c r="B96" s="8">
        <v>3.8</v>
      </c>
    </row>
    <row r="97" spans="1:2">
      <c r="A97" s="12" t="s">
        <v>110</v>
      </c>
      <c r="B97" s="8">
        <v>3.7</v>
      </c>
    </row>
    <row r="98" spans="1:2">
      <c r="A98" s="12" t="s">
        <v>111</v>
      </c>
      <c r="B98" s="8">
        <v>3.61</v>
      </c>
    </row>
    <row r="99" spans="1:2">
      <c r="A99" s="12" t="s">
        <v>112</v>
      </c>
      <c r="B99" s="8">
        <v>3.54</v>
      </c>
    </row>
    <row r="100" spans="1:2">
      <c r="A100" s="12" t="s">
        <v>113</v>
      </c>
      <c r="B100" s="8">
        <v>3.49</v>
      </c>
    </row>
    <row r="101" spans="1:2">
      <c r="A101" s="12" t="s">
        <v>114</v>
      </c>
      <c r="B101" s="8">
        <v>3.55</v>
      </c>
    </row>
    <row r="102" spans="1:2">
      <c r="A102" s="12" t="s">
        <v>115</v>
      </c>
      <c r="B102" s="8">
        <v>3.77</v>
      </c>
    </row>
    <row r="103" spans="1:2">
      <c r="A103" s="12" t="s">
        <v>116</v>
      </c>
      <c r="B103" s="8">
        <v>3.67</v>
      </c>
    </row>
    <row r="104" spans="1:2">
      <c r="A104" s="12" t="s">
        <v>117</v>
      </c>
      <c r="B104" s="8">
        <v>3.7</v>
      </c>
    </row>
    <row r="105" spans="1:2">
      <c r="A105" s="12" t="s">
        <v>118</v>
      </c>
      <c r="B105" s="8">
        <v>3.73</v>
      </c>
    </row>
    <row r="106" spans="1:2">
      <c r="A106" s="12" t="s">
        <v>119</v>
      </c>
      <c r="B106" s="8">
        <v>3.83</v>
      </c>
    </row>
    <row r="107" spans="1:2">
      <c r="A107" s="12" t="s">
        <v>120</v>
      </c>
      <c r="B107" s="8">
        <v>3.74</v>
      </c>
    </row>
    <row r="108" spans="1:2">
      <c r="A108" s="12" t="s">
        <v>121</v>
      </c>
      <c r="B108" s="8">
        <v>3.78</v>
      </c>
    </row>
    <row r="109" spans="1:2">
      <c r="A109" s="12" t="s">
        <v>122</v>
      </c>
      <c r="B109" s="8">
        <v>3.77</v>
      </c>
    </row>
    <row r="110" spans="1:2">
      <c r="A110" s="12" t="s">
        <v>123</v>
      </c>
      <c r="B110" s="8">
        <v>3.74</v>
      </c>
    </row>
    <row r="111" spans="1:2">
      <c r="A111" s="12" t="s">
        <v>124</v>
      </c>
      <c r="B111" s="8">
        <v>3.72</v>
      </c>
    </row>
    <row r="112" spans="1:2">
      <c r="A112" s="12" t="s">
        <v>125</v>
      </c>
      <c r="B112" s="8">
        <v>3.68</v>
      </c>
    </row>
    <row r="113" spans="1:5">
      <c r="A113" s="12" t="s">
        <v>126</v>
      </c>
      <c r="B113" s="8">
        <v>3.62</v>
      </c>
    </row>
    <row r="114" spans="1:5">
      <c r="A114" s="12" t="s">
        <v>127</v>
      </c>
      <c r="B114" s="8">
        <v>3.6</v>
      </c>
    </row>
    <row r="115" spans="1:5">
      <c r="A115" s="12" t="s">
        <v>128</v>
      </c>
      <c r="B115" s="8">
        <v>3.7</v>
      </c>
    </row>
    <row r="116" spans="1:5">
      <c r="A116" s="12" t="s">
        <v>129</v>
      </c>
      <c r="B116" s="8">
        <v>3.63</v>
      </c>
    </row>
    <row r="117" spans="1:5">
      <c r="A117" s="12" t="s">
        <v>130</v>
      </c>
      <c r="B117" s="8">
        <v>3.6</v>
      </c>
    </row>
    <row r="118" spans="1:5">
      <c r="A118" s="12" t="s">
        <v>131</v>
      </c>
      <c r="B118" s="8">
        <v>3.68</v>
      </c>
    </row>
    <row r="119" spans="1:5">
      <c r="A119" s="12" t="s">
        <v>132</v>
      </c>
      <c r="B119" s="8">
        <v>3.52</v>
      </c>
    </row>
    <row r="120" spans="1:5">
      <c r="A120" s="12" t="s">
        <v>133</v>
      </c>
      <c r="B120" s="8">
        <v>3.44</v>
      </c>
    </row>
    <row r="121" spans="1:5">
      <c r="A121" s="12" t="s">
        <v>134</v>
      </c>
      <c r="B121" s="8">
        <v>3.4</v>
      </c>
    </row>
    <row r="122" spans="1:5">
      <c r="A122" s="12" t="s">
        <v>135</v>
      </c>
      <c r="B122" s="8">
        <v>3.37</v>
      </c>
    </row>
    <row r="123" spans="1:5">
      <c r="A123" s="12" t="s">
        <v>136</v>
      </c>
      <c r="B123" s="8">
        <v>3.4</v>
      </c>
    </row>
    <row r="124" spans="1:5">
      <c r="A124" s="12" t="s">
        <v>137</v>
      </c>
      <c r="B124" s="8">
        <v>3.38</v>
      </c>
    </row>
    <row r="125" spans="1:5">
      <c r="A125" s="12" t="s">
        <v>138</v>
      </c>
      <c r="B125" s="8">
        <v>3.36</v>
      </c>
    </row>
    <row r="126" spans="1:5">
      <c r="A126" s="12" t="s">
        <v>139</v>
      </c>
      <c r="B126" s="8">
        <v>3.34</v>
      </c>
      <c r="C126" s="31" t="s">
        <v>285</v>
      </c>
      <c r="D126">
        <f>E80/B126</f>
        <v>398.84894521910246</v>
      </c>
      <c r="E126" s="8">
        <f>E80</f>
        <v>1332.1554770318021</v>
      </c>
    </row>
    <row r="127" spans="1:5">
      <c r="A127" s="12" t="s">
        <v>140</v>
      </c>
      <c r="B127" s="8">
        <v>3.41</v>
      </c>
    </row>
    <row r="128" spans="1:5">
      <c r="A128" s="12" t="s">
        <v>141</v>
      </c>
      <c r="B128" s="8">
        <v>3.41</v>
      </c>
    </row>
    <row r="129" spans="1:2">
      <c r="A129" s="12" t="s">
        <v>142</v>
      </c>
      <c r="B129" s="8">
        <v>3.4</v>
      </c>
    </row>
    <row r="130" spans="1:2">
      <c r="A130" s="12" t="s">
        <v>143</v>
      </c>
      <c r="B130" s="8">
        <v>3.4</v>
      </c>
    </row>
    <row r="131" spans="1:2">
      <c r="A131" s="12" t="s">
        <v>144</v>
      </c>
      <c r="B131" s="8">
        <v>3.4</v>
      </c>
    </row>
    <row r="132" spans="1:2">
      <c r="A132" s="12" t="s">
        <v>145</v>
      </c>
      <c r="B132" s="8">
        <v>3.46</v>
      </c>
    </row>
    <row r="133" spans="1:2">
      <c r="A133" s="12" t="s">
        <v>146</v>
      </c>
      <c r="B133" s="8">
        <v>3.46</v>
      </c>
    </row>
    <row r="134" spans="1:2">
      <c r="A134" s="12" t="s">
        <v>147</v>
      </c>
      <c r="B134" s="8">
        <v>3.4</v>
      </c>
    </row>
    <row r="135" spans="1:2">
      <c r="A135" s="12" t="s">
        <v>148</v>
      </c>
      <c r="B135" s="8">
        <v>3.4</v>
      </c>
    </row>
    <row r="136" spans="1:2">
      <c r="A136" s="12" t="s">
        <v>149</v>
      </c>
      <c r="B136" s="8">
        <v>3.41</v>
      </c>
    </row>
    <row r="137" spans="1:2">
      <c r="A137" s="12" t="s">
        <v>150</v>
      </c>
      <c r="B137" s="8">
        <v>3.38</v>
      </c>
    </row>
    <row r="138" spans="1:2">
      <c r="A138" s="12" t="s">
        <v>151</v>
      </c>
      <c r="B138" s="8">
        <v>3.4</v>
      </c>
    </row>
    <row r="139" spans="1:2">
      <c r="A139" s="12" t="s">
        <v>152</v>
      </c>
      <c r="B139" s="8">
        <v>3.37</v>
      </c>
    </row>
    <row r="140" spans="1:2">
      <c r="A140" s="12" t="s">
        <v>153</v>
      </c>
      <c r="B140" s="8">
        <v>3.42</v>
      </c>
    </row>
    <row r="141" spans="1:2">
      <c r="A141" s="12" t="s">
        <v>154</v>
      </c>
      <c r="B141" s="8">
        <v>3.42</v>
      </c>
    </row>
    <row r="142" spans="1:2">
      <c r="A142" s="12" t="s">
        <v>155</v>
      </c>
      <c r="B142" s="8">
        <v>3.49</v>
      </c>
    </row>
    <row r="143" spans="1:2">
      <c r="A143" s="12" t="s">
        <v>156</v>
      </c>
      <c r="B143" s="8">
        <v>3.48</v>
      </c>
    </row>
    <row r="144" spans="1:2">
      <c r="A144" s="12" t="s">
        <v>157</v>
      </c>
      <c r="B144" s="8">
        <v>3.51</v>
      </c>
    </row>
    <row r="145" spans="1:2">
      <c r="A145" s="12" t="s">
        <v>158</v>
      </c>
      <c r="B145" s="8">
        <v>3.58</v>
      </c>
    </row>
    <row r="146" spans="1:2">
      <c r="A146" s="12" t="s">
        <v>159</v>
      </c>
      <c r="B146" s="8">
        <v>3.56</v>
      </c>
    </row>
    <row r="147" spans="1:2">
      <c r="A147" s="12" t="s">
        <v>160</v>
      </c>
      <c r="B147" s="8">
        <v>3.53</v>
      </c>
    </row>
    <row r="148" spans="1:2">
      <c r="A148" s="12" t="s">
        <v>161</v>
      </c>
      <c r="B148" s="8">
        <v>3.54</v>
      </c>
    </row>
    <row r="149" spans="1:2">
      <c r="A149" s="12" t="s">
        <v>162</v>
      </c>
      <c r="B149" s="8">
        <v>3.37</v>
      </c>
    </row>
    <row r="150" spans="1:2">
      <c r="A150" s="12" t="s">
        <v>163</v>
      </c>
      <c r="B150" s="8">
        <v>3.29</v>
      </c>
    </row>
    <row r="151" spans="1:2">
      <c r="A151" s="12" t="s">
        <v>164</v>
      </c>
      <c r="B151" s="8">
        <v>3.36</v>
      </c>
    </row>
    <row r="152" spans="1:2">
      <c r="A152" s="12" t="s">
        <v>165</v>
      </c>
      <c r="B152" s="8">
        <v>3.36</v>
      </c>
    </row>
    <row r="153" spans="1:2">
      <c r="A153" s="12" t="s">
        <v>166</v>
      </c>
      <c r="B153" s="8">
        <v>3.31</v>
      </c>
    </row>
    <row r="154" spans="1:2">
      <c r="A154" s="12" t="s">
        <v>167</v>
      </c>
      <c r="B154" s="8">
        <v>3.38</v>
      </c>
    </row>
    <row r="155" spans="1:2">
      <c r="A155" s="12" t="s">
        <v>168</v>
      </c>
      <c r="B155" s="8">
        <v>3.45</v>
      </c>
    </row>
    <row r="156" spans="1:2">
      <c r="A156" s="12" t="s">
        <v>169</v>
      </c>
      <c r="B156" s="8">
        <v>3.47</v>
      </c>
    </row>
    <row r="157" spans="1:2">
      <c r="A157" s="12" t="s">
        <v>170</v>
      </c>
      <c r="B157" s="8">
        <v>3.5</v>
      </c>
    </row>
    <row r="158" spans="1:2">
      <c r="A158" s="12" t="s">
        <v>171</v>
      </c>
      <c r="B158" s="8">
        <v>3.44</v>
      </c>
    </row>
    <row r="159" spans="1:2">
      <c r="A159" s="12" t="s">
        <v>172</v>
      </c>
      <c r="B159" s="8">
        <v>3.43</v>
      </c>
    </row>
    <row r="160" spans="1:2">
      <c r="A160" s="12" t="s">
        <v>173</v>
      </c>
      <c r="B160" s="8">
        <v>3.43</v>
      </c>
    </row>
    <row r="161" spans="1:5">
      <c r="A161" s="12" t="s">
        <v>174</v>
      </c>
      <c r="B161" s="8">
        <v>3.57</v>
      </c>
    </row>
    <row r="162" spans="1:5">
      <c r="A162" s="12" t="s">
        <v>175</v>
      </c>
      <c r="B162" s="8">
        <v>3.65</v>
      </c>
    </row>
    <row r="163" spans="1:5">
      <c r="A163" s="12" t="s">
        <v>176</v>
      </c>
      <c r="B163" s="8">
        <v>3.69</v>
      </c>
    </row>
    <row r="164" spans="1:5">
      <c r="A164" s="12" t="s">
        <v>177</v>
      </c>
      <c r="B164" s="8">
        <v>3.67</v>
      </c>
    </row>
    <row r="165" spans="1:5">
      <c r="A165" s="12" t="s">
        <v>178</v>
      </c>
      <c r="B165" s="8">
        <v>3.66</v>
      </c>
    </row>
    <row r="166" spans="1:5">
      <c r="A166" s="12" t="s">
        <v>179</v>
      </c>
      <c r="B166" s="8">
        <v>3.71</v>
      </c>
      <c r="C166" s="31" t="s">
        <v>286</v>
      </c>
      <c r="D166">
        <f>D126</f>
        <v>398.84894521910246</v>
      </c>
      <c r="E166" s="8">
        <f>D166*B166</f>
        <v>1479.7295867628702</v>
      </c>
    </row>
    <row r="167" spans="1:5">
      <c r="A167" s="12" t="s">
        <v>180</v>
      </c>
      <c r="B167" s="8">
        <v>3.74</v>
      </c>
    </row>
    <row r="168" spans="1:5">
      <c r="A168" s="12" t="s">
        <v>181</v>
      </c>
      <c r="B168" s="8">
        <v>3.67</v>
      </c>
    </row>
    <row r="169" spans="1:5">
      <c r="A169" s="12" t="s">
        <v>182</v>
      </c>
      <c r="B169" s="8">
        <v>3.65</v>
      </c>
    </row>
    <row r="170" spans="1:5">
      <c r="A170" s="12" t="s">
        <v>183</v>
      </c>
      <c r="B170" s="8">
        <v>3.61</v>
      </c>
    </row>
    <row r="171" spans="1:5">
      <c r="A171" s="12" t="s">
        <v>184</v>
      </c>
      <c r="B171" s="8">
        <v>3.64</v>
      </c>
    </row>
    <row r="172" spans="1:5">
      <c r="A172" s="12" t="s">
        <v>185</v>
      </c>
      <c r="B172" s="8">
        <v>3.52</v>
      </c>
    </row>
    <row r="173" spans="1:5">
      <c r="A173" s="12" t="s">
        <v>186</v>
      </c>
      <c r="B173" s="8">
        <v>3.63</v>
      </c>
    </row>
    <row r="174" spans="1:5">
      <c r="A174" s="12" t="s">
        <v>187</v>
      </c>
      <c r="B174" s="8">
        <v>3.52</v>
      </c>
    </row>
    <row r="175" spans="1:5">
      <c r="A175" s="12" t="s">
        <v>188</v>
      </c>
      <c r="B175" s="8">
        <v>3.51</v>
      </c>
    </row>
    <row r="176" spans="1:5">
      <c r="A176" s="12" t="s">
        <v>189</v>
      </c>
      <c r="B176" s="8">
        <v>3.64</v>
      </c>
    </row>
    <row r="177" spans="1:2">
      <c r="A177" s="12" t="s">
        <v>190</v>
      </c>
      <c r="B177" s="8">
        <v>3.59</v>
      </c>
    </row>
    <row r="178" spans="1:2">
      <c r="A178" s="12" t="s">
        <v>191</v>
      </c>
      <c r="B178" s="8">
        <v>3.61</v>
      </c>
    </row>
    <row r="179" spans="1:2">
      <c r="A179" s="12" t="s">
        <v>192</v>
      </c>
      <c r="B179" s="8">
        <v>3.59</v>
      </c>
    </row>
    <row r="180" spans="1:2">
      <c r="A180" s="12" t="s">
        <v>193</v>
      </c>
      <c r="B180" s="8">
        <v>3.58</v>
      </c>
    </row>
    <row r="181" spans="1:2">
      <c r="A181" s="12" t="s">
        <v>194</v>
      </c>
      <c r="B181" s="8">
        <v>3.53</v>
      </c>
    </row>
    <row r="182" spans="1:2">
      <c r="A182" s="12" t="s">
        <v>195</v>
      </c>
      <c r="B182" s="8">
        <v>3.53</v>
      </c>
    </row>
    <row r="183" spans="1:2">
      <c r="A183" s="12" t="s">
        <v>196</v>
      </c>
      <c r="B183" s="8">
        <v>3.6</v>
      </c>
    </row>
    <row r="184" spans="1:2">
      <c r="A184" s="12" t="s">
        <v>197</v>
      </c>
      <c r="B184" s="8">
        <v>3.61</v>
      </c>
    </row>
    <row r="185" spans="1:2">
      <c r="A185" s="12" t="s">
        <v>198</v>
      </c>
      <c r="B185" s="8">
        <v>3.61</v>
      </c>
    </row>
    <row r="186" spans="1:2">
      <c r="A186" s="12" t="s">
        <v>199</v>
      </c>
      <c r="B186" s="8">
        <v>3.62</v>
      </c>
    </row>
    <row r="187" spans="1:2">
      <c r="A187" s="12" t="s">
        <v>200</v>
      </c>
      <c r="B187" s="8">
        <v>3.53</v>
      </c>
    </row>
    <row r="188" spans="1:2">
      <c r="A188" s="12" t="s">
        <v>201</v>
      </c>
      <c r="B188" s="8">
        <v>3.49</v>
      </c>
    </row>
    <row r="189" spans="1:2">
      <c r="A189" s="12" t="s">
        <v>202</v>
      </c>
      <c r="B189" s="8">
        <v>3.51</v>
      </c>
    </row>
    <row r="190" spans="1:2">
      <c r="A190" s="12" t="s">
        <v>203</v>
      </c>
      <c r="B190" s="8">
        <v>3.51</v>
      </c>
    </row>
    <row r="191" spans="1:2">
      <c r="A191" s="12" t="s">
        <v>204</v>
      </c>
      <c r="B191" s="8">
        <v>3.47</v>
      </c>
    </row>
    <row r="192" spans="1:2">
      <c r="A192" s="12" t="s">
        <v>205</v>
      </c>
      <c r="B192" s="8">
        <v>3.37</v>
      </c>
    </row>
    <row r="193" spans="1:5">
      <c r="A193" s="12" t="s">
        <v>206</v>
      </c>
      <c r="B193" s="8">
        <v>3.22</v>
      </c>
    </row>
    <row r="194" spans="1:5">
      <c r="A194" s="12" t="s">
        <v>207</v>
      </c>
      <c r="B194" s="8">
        <v>3.21</v>
      </c>
    </row>
    <row r="195" spans="1:5">
      <c r="A195" s="12" t="s">
        <v>208</v>
      </c>
      <c r="B195" s="8">
        <v>3.12</v>
      </c>
    </row>
    <row r="196" spans="1:5">
      <c r="A196" s="12" t="s">
        <v>209</v>
      </c>
      <c r="B196" s="8">
        <v>2.97</v>
      </c>
    </row>
    <row r="197" spans="1:5">
      <c r="A197" s="12" t="s">
        <v>210</v>
      </c>
      <c r="B197" s="8">
        <v>2.81</v>
      </c>
    </row>
    <row r="198" spans="1:5">
      <c r="A198" s="12" t="s">
        <v>211</v>
      </c>
      <c r="B198" s="8">
        <v>2.59</v>
      </c>
    </row>
    <row r="199" spans="1:5">
      <c r="A199" s="12" t="s">
        <v>212</v>
      </c>
      <c r="B199" s="8">
        <v>2.65</v>
      </c>
    </row>
    <row r="200" spans="1:5">
      <c r="A200" s="12" t="s">
        <v>213</v>
      </c>
      <c r="B200" s="8">
        <v>2.52</v>
      </c>
      <c r="C200" s="31" t="s">
        <v>285</v>
      </c>
      <c r="D200" s="21">
        <f>E200/B200</f>
        <v>587.1942804614564</v>
      </c>
      <c r="E200" s="8">
        <f>E166</f>
        <v>1479.7295867628702</v>
      </c>
    </row>
    <row r="201" spans="1:5">
      <c r="A201" s="12" t="s">
        <v>214</v>
      </c>
      <c r="B201" s="8">
        <v>2.76</v>
      </c>
    </row>
    <row r="202" spans="1:5">
      <c r="A202" s="12" t="s">
        <v>215</v>
      </c>
      <c r="B202" s="8">
        <v>2.74</v>
      </c>
    </row>
    <row r="203" spans="1:5">
      <c r="A203" s="12" t="s">
        <v>216</v>
      </c>
      <c r="B203" s="8">
        <v>2.8</v>
      </c>
    </row>
    <row r="204" spans="1:5">
      <c r="A204" s="12" t="s">
        <v>217</v>
      </c>
      <c r="B204" s="8">
        <v>2.79</v>
      </c>
    </row>
    <row r="205" spans="1:5">
      <c r="A205" s="12" t="s">
        <v>218</v>
      </c>
      <c r="B205" s="8">
        <v>2.67</v>
      </c>
    </row>
    <row r="206" spans="1:5">
      <c r="A206" s="12" t="s">
        <v>219</v>
      </c>
      <c r="B206" s="8">
        <v>2.69</v>
      </c>
    </row>
    <row r="207" spans="1:5">
      <c r="A207" s="12" t="s">
        <v>220</v>
      </c>
      <c r="B207" s="8">
        <v>2.61</v>
      </c>
    </row>
    <row r="208" spans="1:5">
      <c r="A208" s="12" t="s">
        <v>221</v>
      </c>
      <c r="B208" s="8">
        <v>2.65</v>
      </c>
    </row>
    <row r="209" spans="1:2">
      <c r="A209" s="12" t="s">
        <v>222</v>
      </c>
      <c r="B209" s="8">
        <v>2.71</v>
      </c>
    </row>
    <row r="210" spans="1:2">
      <c r="A210" s="12" t="s">
        <v>223</v>
      </c>
      <c r="B210" s="8">
        <v>2.71</v>
      </c>
    </row>
    <row r="211" spans="1:2">
      <c r="A211" s="12" t="s">
        <v>224</v>
      </c>
      <c r="B211" s="8">
        <v>2.78</v>
      </c>
    </row>
    <row r="212" spans="1:2">
      <c r="A212" s="12" t="s">
        <v>225</v>
      </c>
      <c r="B212" s="8">
        <v>2.75</v>
      </c>
    </row>
    <row r="213" spans="1:2">
      <c r="A213" s="12" t="s">
        <v>226</v>
      </c>
      <c r="B213" s="8">
        <v>2.74</v>
      </c>
    </row>
    <row r="214" spans="1:2">
      <c r="A214" s="12" t="s">
        <v>227</v>
      </c>
      <c r="B214" s="8">
        <v>2.83</v>
      </c>
    </row>
    <row r="215" spans="1:2">
      <c r="A215" s="12" t="s">
        <v>228</v>
      </c>
      <c r="B215" s="8">
        <v>2.8</v>
      </c>
    </row>
    <row r="216" spans="1:2">
      <c r="A216" s="12" t="s">
        <v>229</v>
      </c>
      <c r="B216" s="8">
        <v>2.84</v>
      </c>
    </row>
    <row r="217" spans="1:2">
      <c r="A217" s="12" t="s">
        <v>230</v>
      </c>
      <c r="B217" s="8">
        <v>2.85</v>
      </c>
    </row>
    <row r="218" spans="1:2">
      <c r="A218" s="12" t="s">
        <v>231</v>
      </c>
      <c r="B218" s="8">
        <v>2.82</v>
      </c>
    </row>
    <row r="219" spans="1:2">
      <c r="A219" s="12" t="s">
        <v>232</v>
      </c>
      <c r="B219" s="8">
        <v>2.79</v>
      </c>
    </row>
    <row r="220" spans="1:2">
      <c r="A220" s="12" t="s">
        <v>233</v>
      </c>
      <c r="B220" s="8">
        <v>2.87</v>
      </c>
    </row>
    <row r="221" spans="1:2">
      <c r="A221" s="12" t="s">
        <v>234</v>
      </c>
      <c r="B221" s="8">
        <v>3.03</v>
      </c>
    </row>
    <row r="222" spans="1:2">
      <c r="A222" s="12" t="s">
        <v>235</v>
      </c>
      <c r="B222" s="8">
        <v>2.99</v>
      </c>
    </row>
    <row r="223" spans="1:2">
      <c r="A223" s="12" t="s">
        <v>236</v>
      </c>
      <c r="B223" s="8">
        <v>2.98</v>
      </c>
    </row>
    <row r="224" spans="1:2">
      <c r="A224" s="12" t="s">
        <v>237</v>
      </c>
      <c r="B224" s="8">
        <v>2.96</v>
      </c>
    </row>
    <row r="225" spans="1:5">
      <c r="A225" s="12" t="s">
        <v>238</v>
      </c>
      <c r="B225" s="8">
        <v>2.94</v>
      </c>
    </row>
    <row r="226" spans="1:5">
      <c r="A226" s="12" t="s">
        <v>239</v>
      </c>
      <c r="B226" s="8">
        <v>3.06</v>
      </c>
    </row>
    <row r="227" spans="1:5">
      <c r="A227" s="12" t="s">
        <v>240</v>
      </c>
      <c r="B227" s="8">
        <v>3.08</v>
      </c>
    </row>
    <row r="228" spans="1:5">
      <c r="A228" s="12" t="s">
        <v>241</v>
      </c>
      <c r="B228" s="8">
        <v>3.09</v>
      </c>
      <c r="C228" s="31" t="s">
        <v>286</v>
      </c>
      <c r="D228">
        <f>D200</f>
        <v>587.1942804614564</v>
      </c>
      <c r="E228" s="8">
        <f>D228*B228</f>
        <v>1814.4303266259003</v>
      </c>
    </row>
    <row r="229" spans="1:5">
      <c r="A229" s="12" t="s">
        <v>242</v>
      </c>
      <c r="B229" s="8">
        <v>3.03</v>
      </c>
    </row>
    <row r="230" spans="1:5">
      <c r="A230" s="12" t="s">
        <v>243</v>
      </c>
      <c r="B230" s="8">
        <v>3.05</v>
      </c>
    </row>
    <row r="231" spans="1:5">
      <c r="A231" s="12" t="s">
        <v>244</v>
      </c>
      <c r="B231" s="8">
        <v>3.09</v>
      </c>
    </row>
    <row r="232" spans="1:5">
      <c r="A232" s="12" t="s">
        <v>245</v>
      </c>
      <c r="B232" s="8">
        <v>3.07</v>
      </c>
    </row>
    <row r="233" spans="1:5">
      <c r="A233" s="12" t="s">
        <v>246</v>
      </c>
      <c r="B233" s="8">
        <v>3.04</v>
      </c>
    </row>
    <row r="234" spans="1:5">
      <c r="A234" s="12" t="s">
        <v>247</v>
      </c>
      <c r="B234" s="8">
        <v>3.05</v>
      </c>
    </row>
    <row r="235" spans="1:5">
      <c r="A235" s="12" t="s">
        <v>248</v>
      </c>
      <c r="B235" s="8">
        <v>2.94</v>
      </c>
    </row>
    <row r="236" spans="1:5">
      <c r="A236" s="12" t="s">
        <v>249</v>
      </c>
      <c r="B236" s="8">
        <v>2.95</v>
      </c>
    </row>
    <row r="237" spans="1:5">
      <c r="A237" s="12" t="s">
        <v>250</v>
      </c>
      <c r="B237" s="8">
        <v>3.02</v>
      </c>
    </row>
    <row r="238" spans="1:5">
      <c r="A238" s="12" t="s">
        <v>251</v>
      </c>
      <c r="B238" s="8">
        <v>3.02</v>
      </c>
    </row>
    <row r="239" spans="1:5">
      <c r="A239" s="12" t="s">
        <v>252</v>
      </c>
      <c r="B239" s="8">
        <v>3.02</v>
      </c>
    </row>
    <row r="240" spans="1:5">
      <c r="A240" s="12" t="s">
        <v>253</v>
      </c>
      <c r="B240" s="8">
        <v>3.04</v>
      </c>
    </row>
    <row r="241" spans="1:2">
      <c r="A241" s="12" t="s">
        <v>254</v>
      </c>
      <c r="B241" s="8">
        <v>3.06</v>
      </c>
    </row>
    <row r="242" spans="1:2">
      <c r="A242" s="12" t="s">
        <v>255</v>
      </c>
      <c r="B242" s="8">
        <v>3.01</v>
      </c>
    </row>
    <row r="243" spans="1:2">
      <c r="A243" s="12" t="s">
        <v>256</v>
      </c>
      <c r="B243" s="8">
        <v>2.94</v>
      </c>
    </row>
    <row r="244" spans="1:2">
      <c r="A244" s="12" t="s">
        <v>257</v>
      </c>
      <c r="B244" s="8">
        <v>3</v>
      </c>
    </row>
    <row r="245" spans="1:2">
      <c r="A245" s="12" t="s">
        <v>258</v>
      </c>
      <c r="B245" s="8">
        <v>3.02</v>
      </c>
    </row>
    <row r="246" spans="1:2">
      <c r="A246" s="12" t="s">
        <v>259</v>
      </c>
      <c r="B246" s="8">
        <v>2.98</v>
      </c>
    </row>
    <row r="247" spans="1:2">
      <c r="A247" s="12" t="s">
        <v>260</v>
      </c>
      <c r="B247" s="8">
        <v>2.9</v>
      </c>
    </row>
    <row r="248" spans="1:2">
      <c r="A248" s="12" t="s">
        <v>261</v>
      </c>
      <c r="B248" s="8">
        <v>2.88</v>
      </c>
    </row>
    <row r="249" spans="1:2">
      <c r="A249" s="12" t="s">
        <v>262</v>
      </c>
      <c r="B249" s="8">
        <v>2.85</v>
      </c>
    </row>
    <row r="250" spans="1:2">
      <c r="A250" s="12" t="s">
        <v>263</v>
      </c>
      <c r="B250" s="8">
        <v>2.92</v>
      </c>
    </row>
    <row r="251" spans="1:2">
      <c r="A251" s="12" t="s">
        <v>264</v>
      </c>
      <c r="B251" s="8">
        <v>2.84</v>
      </c>
    </row>
    <row r="252" spans="1:2">
      <c r="A252" s="12" t="s">
        <v>265</v>
      </c>
      <c r="B252" s="8">
        <v>2.9</v>
      </c>
    </row>
    <row r="253" spans="1:2">
      <c r="A253" s="12" t="s">
        <v>266</v>
      </c>
      <c r="B253" s="8">
        <v>2.94</v>
      </c>
    </row>
    <row r="254" spans="1:2">
      <c r="A254" s="12" t="s">
        <v>267</v>
      </c>
      <c r="B254" s="8">
        <v>2.91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Morningstar Research (Thailand)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Morningstar</dc:creator>
  <cp:keywords/>
  <dc:description/>
  <cp:lastModifiedBy>Viet Kien Nguyen</cp:lastModifiedBy>
  <cp:revision/>
  <dcterms:created xsi:type="dcterms:W3CDTF">2025-08-14T06:03:39Z</dcterms:created>
  <dcterms:modified xsi:type="dcterms:W3CDTF">2025-08-26T10:19:57Z</dcterms:modified>
  <cp:category/>
  <cp:contentStatus/>
</cp:coreProperties>
</file>